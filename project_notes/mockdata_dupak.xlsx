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DUPAK Telkom\"/>
    </mc:Choice>
  </mc:AlternateContent>
  <xr:revisionPtr revIDLastSave="0" documentId="8_{3A4084B5-2D89-447B-A244-C942FCE2F96B}" xr6:coauthVersionLast="47" xr6:coauthVersionMax="47" xr10:uidLastSave="{00000000-0000-0000-0000-000000000000}"/>
  <bookViews>
    <workbookView xWindow="-120" yWindow="-120" windowWidth="29040" windowHeight="15720" activeTab="1" xr2:uid="{00000000-000D-0000-FFFF-FFFF00000000}"/>
  </bookViews>
  <sheets>
    <sheet name="LAMPIRAN I DONE" sheetId="1" r:id="rId1"/>
    <sheet name="LAMPIRAN II DONE" sheetId="2" r:id="rId2"/>
    <sheet name="LAMPIRAN III DONE" sheetId="3" r:id="rId3"/>
    <sheet name="List" sheetId="4" state="hidden" r:id="rId4"/>
    <sheet name="LAMPIRAN IV DONE" sheetId="5" r:id="rId5"/>
    <sheet name="LAMPIRAN V DONE" sheetId="6" r:id="rId6"/>
    <sheet name="Reviewer Eksternal (LK&amp;GB)1" sheetId="7" state="hidden" r:id="rId7"/>
    <sheet name="ID &amp; Link Publikasi" sheetId="8" r:id="rId8"/>
    <sheet name="Rekap Similarity" sheetId="9" r:id="rId9"/>
    <sheet name="Rekapitulasi (S3)" sheetId="10" r:id="rId10"/>
    <sheet name="Rekapitulasi (S2)" sheetId="11" r:id="rId11"/>
    <sheet name="DUPAK"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QkKjaZRpCJGOhjuRQjaDHR8wU8HuqHgr4p1XyYJBD3Q="/>
    </ext>
  </extLst>
</workbook>
</file>

<file path=xl/calcChain.xml><?xml version="1.0" encoding="utf-8"?>
<calcChain xmlns="http://schemas.openxmlformats.org/spreadsheetml/2006/main">
  <c r="K39" i="2" l="1"/>
  <c r="D19" i="3"/>
  <c r="H190" i="3"/>
  <c r="F50" i="3"/>
  <c r="P176" i="3"/>
  <c r="N176" i="3"/>
  <c r="M176" i="3"/>
  <c r="O176" i="3" s="1"/>
  <c r="H176" i="3"/>
  <c r="G176" i="3"/>
  <c r="F176" i="3"/>
  <c r="P174" i="3"/>
  <c r="N174" i="3"/>
  <c r="M174" i="3"/>
  <c r="O174" i="3" s="1"/>
  <c r="H174" i="3" s="1"/>
  <c r="G174" i="3"/>
  <c r="F174" i="3"/>
  <c r="P172" i="3"/>
  <c r="N172" i="3"/>
  <c r="M172" i="3"/>
  <c r="O172" i="3" s="1"/>
  <c r="H172" i="3"/>
  <c r="G172" i="3"/>
  <c r="F172" i="3"/>
  <c r="P182" i="3"/>
  <c r="N182" i="3"/>
  <c r="M182" i="3"/>
  <c r="O182" i="3" s="1"/>
  <c r="H182" i="3"/>
  <c r="G182" i="3"/>
  <c r="F182" i="3"/>
  <c r="P180" i="3"/>
  <c r="N180" i="3"/>
  <c r="M180" i="3"/>
  <c r="O180" i="3" s="1"/>
  <c r="H180" i="3"/>
  <c r="G180" i="3"/>
  <c r="F180" i="3"/>
  <c r="P178" i="3"/>
  <c r="N178" i="3"/>
  <c r="M178" i="3"/>
  <c r="O178" i="3" s="1"/>
  <c r="H178" i="3"/>
  <c r="G178" i="3"/>
  <c r="F178" i="3"/>
  <c r="P184" i="3"/>
  <c r="N184" i="3"/>
  <c r="M184" i="3"/>
  <c r="O184" i="3" s="1"/>
  <c r="H184" i="3"/>
  <c r="G184" i="3"/>
  <c r="F184" i="3"/>
  <c r="J798" i="2"/>
  <c r="G798" i="2"/>
  <c r="F798" i="2"/>
  <c r="E798" i="2"/>
  <c r="D798" i="2"/>
  <c r="B806" i="2"/>
  <c r="J795" i="2"/>
  <c r="G795" i="2"/>
  <c r="F795" i="2"/>
  <c r="E795" i="2"/>
  <c r="D795" i="2"/>
  <c r="J794" i="2"/>
  <c r="G794" i="2"/>
  <c r="F794" i="2"/>
  <c r="E794" i="2"/>
  <c r="D794" i="2"/>
  <c r="J793" i="2"/>
  <c r="G793" i="2"/>
  <c r="F793" i="2"/>
  <c r="E793" i="2"/>
  <c r="D793" i="2"/>
  <c r="J792" i="2"/>
  <c r="G792" i="2"/>
  <c r="F792" i="2"/>
  <c r="E792" i="2"/>
  <c r="D792" i="2"/>
  <c r="J780" i="2"/>
  <c r="G780" i="2"/>
  <c r="F780" i="2"/>
  <c r="E780" i="2"/>
  <c r="D780" i="2"/>
  <c r="J779" i="2"/>
  <c r="G779" i="2"/>
  <c r="F779" i="2"/>
  <c r="E779" i="2"/>
  <c r="D779" i="2"/>
  <c r="J778" i="2"/>
  <c r="G778" i="2"/>
  <c r="F778" i="2"/>
  <c r="E778" i="2"/>
  <c r="D778" i="2"/>
  <c r="J777" i="2"/>
  <c r="G777" i="2"/>
  <c r="F777" i="2"/>
  <c r="E777" i="2"/>
  <c r="D777" i="2"/>
  <c r="J776" i="2"/>
  <c r="G776" i="2"/>
  <c r="F776" i="2"/>
  <c r="E776" i="2"/>
  <c r="D776" i="2"/>
  <c r="J775" i="2"/>
  <c r="G775" i="2"/>
  <c r="F775" i="2"/>
  <c r="E775" i="2"/>
  <c r="D775" i="2"/>
  <c r="J774" i="2"/>
  <c r="G774" i="2"/>
  <c r="F774" i="2"/>
  <c r="E774" i="2"/>
  <c r="D774" i="2"/>
  <c r="J773" i="2"/>
  <c r="G773" i="2"/>
  <c r="F773" i="2"/>
  <c r="E773" i="2"/>
  <c r="D773" i="2"/>
  <c r="J750" i="2"/>
  <c r="G750" i="2"/>
  <c r="F750" i="2"/>
  <c r="E750" i="2"/>
  <c r="D750" i="2"/>
  <c r="J749" i="2"/>
  <c r="G749" i="2"/>
  <c r="F749" i="2"/>
  <c r="E749" i="2"/>
  <c r="D749" i="2"/>
  <c r="J718" i="2"/>
  <c r="G718" i="2"/>
  <c r="F718" i="2"/>
  <c r="E718" i="2"/>
  <c r="D718" i="2"/>
  <c r="J717" i="2"/>
  <c r="G717" i="2"/>
  <c r="F717" i="2"/>
  <c r="E717" i="2"/>
  <c r="D717" i="2"/>
  <c r="J716" i="2"/>
  <c r="G716" i="2"/>
  <c r="F716" i="2"/>
  <c r="E716" i="2"/>
  <c r="D716" i="2"/>
  <c r="J715" i="2"/>
  <c r="G715" i="2"/>
  <c r="F715" i="2"/>
  <c r="E715" i="2"/>
  <c r="D715" i="2"/>
  <c r="J714" i="2"/>
  <c r="G714" i="2"/>
  <c r="F714" i="2"/>
  <c r="E714" i="2"/>
  <c r="D714" i="2"/>
  <c r="J713" i="2"/>
  <c r="G713" i="2"/>
  <c r="F713" i="2"/>
  <c r="E713" i="2"/>
  <c r="D713" i="2"/>
  <c r="J712" i="2"/>
  <c r="G712" i="2"/>
  <c r="F712" i="2"/>
  <c r="E712" i="2"/>
  <c r="D712" i="2"/>
  <c r="J711" i="2"/>
  <c r="G711" i="2"/>
  <c r="F711" i="2"/>
  <c r="E711" i="2"/>
  <c r="D711" i="2"/>
  <c r="J710" i="2"/>
  <c r="G710" i="2"/>
  <c r="F710" i="2"/>
  <c r="E710" i="2"/>
  <c r="D710" i="2"/>
  <c r="J709" i="2"/>
  <c r="G709" i="2"/>
  <c r="F709" i="2"/>
  <c r="E709" i="2"/>
  <c r="D709" i="2"/>
  <c r="J708" i="2"/>
  <c r="G708" i="2"/>
  <c r="F708" i="2"/>
  <c r="E708" i="2"/>
  <c r="D708" i="2"/>
  <c r="J707" i="2"/>
  <c r="G707" i="2"/>
  <c r="F707" i="2"/>
  <c r="E707" i="2"/>
  <c r="D707" i="2"/>
  <c r="J706" i="2"/>
  <c r="G706" i="2"/>
  <c r="F706" i="2"/>
  <c r="E706" i="2"/>
  <c r="D706" i="2"/>
  <c r="J705" i="2"/>
  <c r="G705" i="2"/>
  <c r="F705" i="2"/>
  <c r="E705" i="2"/>
  <c r="D705" i="2"/>
  <c r="J704" i="2"/>
  <c r="G704" i="2"/>
  <c r="F704" i="2"/>
  <c r="E704" i="2"/>
  <c r="D704" i="2"/>
  <c r="J703" i="2"/>
  <c r="G703" i="2"/>
  <c r="F703" i="2"/>
  <c r="E703" i="2"/>
  <c r="D703" i="2"/>
  <c r="J726" i="2"/>
  <c r="G726" i="2"/>
  <c r="F726" i="2"/>
  <c r="E726" i="2"/>
  <c r="D726" i="2"/>
  <c r="J725" i="2"/>
  <c r="G725" i="2"/>
  <c r="F725" i="2"/>
  <c r="E725" i="2"/>
  <c r="D725" i="2"/>
  <c r="J724" i="2"/>
  <c r="G724" i="2"/>
  <c r="F724" i="2"/>
  <c r="E724" i="2"/>
  <c r="D724" i="2"/>
  <c r="J723" i="2"/>
  <c r="G723" i="2"/>
  <c r="F723" i="2"/>
  <c r="E723" i="2"/>
  <c r="D723" i="2"/>
  <c r="J722" i="2"/>
  <c r="G722" i="2"/>
  <c r="F722" i="2"/>
  <c r="E722" i="2"/>
  <c r="D722" i="2"/>
  <c r="J721" i="2"/>
  <c r="G721" i="2"/>
  <c r="F721" i="2"/>
  <c r="E721" i="2"/>
  <c r="D721" i="2"/>
  <c r="J720" i="2"/>
  <c r="G720" i="2"/>
  <c r="F720" i="2"/>
  <c r="E720" i="2"/>
  <c r="D720" i="2"/>
  <c r="J719" i="2"/>
  <c r="G719" i="2"/>
  <c r="F719" i="2"/>
  <c r="E719" i="2"/>
  <c r="D719" i="2"/>
  <c r="L502" i="2"/>
  <c r="K502" i="2"/>
  <c r="G502" i="2"/>
  <c r="F502" i="2"/>
  <c r="E502" i="2"/>
  <c r="D502" i="2"/>
  <c r="L482" i="2"/>
  <c r="K482" i="2"/>
  <c r="G482" i="2"/>
  <c r="F482" i="2"/>
  <c r="E482" i="2"/>
  <c r="D482" i="2"/>
  <c r="L481" i="2"/>
  <c r="K481" i="2"/>
  <c r="G481" i="2"/>
  <c r="F481" i="2"/>
  <c r="E481" i="2"/>
  <c r="D481" i="2"/>
  <c r="L480" i="2"/>
  <c r="K480" i="2"/>
  <c r="G480" i="2"/>
  <c r="F480" i="2"/>
  <c r="E480" i="2"/>
  <c r="D480" i="2"/>
  <c r="L490" i="2"/>
  <c r="K490" i="2"/>
  <c r="G490" i="2"/>
  <c r="F490" i="2"/>
  <c r="E490" i="2"/>
  <c r="D490" i="2"/>
  <c r="L489" i="2"/>
  <c r="K489" i="2"/>
  <c r="G489" i="2"/>
  <c r="F489" i="2"/>
  <c r="E489" i="2"/>
  <c r="D489" i="2"/>
  <c r="L488" i="2"/>
  <c r="K488" i="2"/>
  <c r="G488" i="2"/>
  <c r="F488" i="2"/>
  <c r="E488" i="2"/>
  <c r="D488" i="2"/>
  <c r="L487" i="2"/>
  <c r="K487" i="2"/>
  <c r="G487" i="2"/>
  <c r="F487" i="2"/>
  <c r="E487" i="2"/>
  <c r="D487" i="2"/>
  <c r="L486" i="2"/>
  <c r="K486" i="2"/>
  <c r="G486" i="2"/>
  <c r="F486" i="2"/>
  <c r="E486" i="2"/>
  <c r="D486" i="2"/>
  <c r="L485" i="2"/>
  <c r="K485" i="2"/>
  <c r="G485" i="2"/>
  <c r="F485" i="2"/>
  <c r="E485" i="2"/>
  <c r="D485" i="2"/>
  <c r="L484" i="2"/>
  <c r="K484" i="2"/>
  <c r="G484" i="2"/>
  <c r="F484" i="2"/>
  <c r="E484" i="2"/>
  <c r="D484" i="2"/>
  <c r="L483" i="2"/>
  <c r="K483" i="2"/>
  <c r="G483" i="2"/>
  <c r="F483" i="2"/>
  <c r="E483" i="2"/>
  <c r="D483" i="2"/>
  <c r="L459" i="2"/>
  <c r="K459" i="2"/>
  <c r="G459" i="2"/>
  <c r="F459" i="2"/>
  <c r="E459" i="2"/>
  <c r="D459" i="2"/>
  <c r="L418" i="2"/>
  <c r="K418" i="2"/>
  <c r="G418" i="2"/>
  <c r="F418" i="2"/>
  <c r="E418" i="2"/>
  <c r="D418" i="2"/>
  <c r="L417" i="2"/>
  <c r="K417" i="2"/>
  <c r="G417" i="2"/>
  <c r="F417" i="2"/>
  <c r="E417" i="2"/>
  <c r="D417" i="2"/>
  <c r="L416" i="2"/>
  <c r="K416" i="2"/>
  <c r="G416" i="2"/>
  <c r="F416" i="2"/>
  <c r="E416" i="2"/>
  <c r="D416" i="2"/>
  <c r="L415" i="2"/>
  <c r="K415" i="2"/>
  <c r="G415" i="2"/>
  <c r="F415" i="2"/>
  <c r="E415" i="2"/>
  <c r="D415" i="2"/>
  <c r="L414" i="2"/>
  <c r="K414" i="2"/>
  <c r="G414" i="2"/>
  <c r="F414" i="2"/>
  <c r="E414" i="2"/>
  <c r="D414" i="2"/>
  <c r="L423" i="2"/>
  <c r="K423" i="2"/>
  <c r="G423" i="2"/>
  <c r="F423" i="2"/>
  <c r="E423" i="2"/>
  <c r="D423" i="2"/>
  <c r="L422" i="2"/>
  <c r="K422" i="2"/>
  <c r="G422" i="2"/>
  <c r="F422" i="2"/>
  <c r="E422" i="2"/>
  <c r="D422" i="2"/>
  <c r="L421" i="2"/>
  <c r="K421" i="2"/>
  <c r="G421" i="2"/>
  <c r="F421" i="2"/>
  <c r="E421" i="2"/>
  <c r="D421" i="2"/>
  <c r="L420" i="2"/>
  <c r="K420" i="2"/>
  <c r="G420" i="2"/>
  <c r="F420" i="2"/>
  <c r="E420" i="2"/>
  <c r="D420" i="2"/>
  <c r="L419" i="2"/>
  <c r="K419" i="2"/>
  <c r="G419" i="2"/>
  <c r="F419" i="2"/>
  <c r="E419" i="2"/>
  <c r="D419" i="2"/>
  <c r="L401" i="2"/>
  <c r="K401" i="2"/>
  <c r="G401" i="2"/>
  <c r="F401" i="2"/>
  <c r="E401" i="2"/>
  <c r="D401" i="2"/>
  <c r="L402" i="2"/>
  <c r="K402" i="2"/>
  <c r="G402" i="2"/>
  <c r="F402" i="2"/>
  <c r="E402" i="2"/>
  <c r="D402" i="2"/>
  <c r="L400" i="2"/>
  <c r="K400" i="2"/>
  <c r="G400" i="2"/>
  <c r="F400" i="2"/>
  <c r="E400" i="2"/>
  <c r="D400" i="2"/>
  <c r="L399" i="2"/>
  <c r="K399" i="2"/>
  <c r="G399" i="2"/>
  <c r="F399" i="2"/>
  <c r="E399" i="2"/>
  <c r="D399" i="2"/>
  <c r="L398" i="2"/>
  <c r="K398" i="2"/>
  <c r="G398" i="2"/>
  <c r="F398" i="2"/>
  <c r="E398" i="2"/>
  <c r="D398" i="2"/>
  <c r="F25" i="1"/>
  <c r="J216" i="12"/>
  <c r="J214" i="12"/>
  <c r="J213" i="12"/>
  <c r="J212" i="12"/>
  <c r="J210" i="12"/>
  <c r="J209" i="12"/>
  <c r="J208" i="12"/>
  <c r="J206" i="12"/>
  <c r="J205" i="12"/>
  <c r="J204" i="12"/>
  <c r="J202" i="12"/>
  <c r="J201" i="12"/>
  <c r="J200" i="12"/>
  <c r="J192" i="12"/>
  <c r="J191" i="12"/>
  <c r="J189" i="12"/>
  <c r="J188" i="12"/>
  <c r="J185" i="12"/>
  <c r="J184" i="12"/>
  <c r="J182" i="12"/>
  <c r="J180" i="12"/>
  <c r="J179" i="12"/>
  <c r="J178" i="12"/>
  <c r="J176" i="12"/>
  <c r="J175" i="12"/>
  <c r="J174" i="12"/>
  <c r="J171" i="12"/>
  <c r="J170" i="12"/>
  <c r="J168" i="12"/>
  <c r="J167" i="12"/>
  <c r="J164" i="12"/>
  <c r="J163" i="12"/>
  <c r="J159" i="12"/>
  <c r="J157" i="12"/>
  <c r="J156" i="12"/>
  <c r="J155" i="12"/>
  <c r="J152" i="12"/>
  <c r="J151" i="12"/>
  <c r="J150" i="12"/>
  <c r="J148" i="12"/>
  <c r="J147" i="12"/>
  <c r="J146" i="12"/>
  <c r="J139" i="12"/>
  <c r="J137" i="12"/>
  <c r="J135" i="12"/>
  <c r="J132" i="12"/>
  <c r="J131" i="12"/>
  <c r="J130" i="12"/>
  <c r="J128" i="12"/>
  <c r="J127" i="12"/>
  <c r="J125" i="12"/>
  <c r="J123" i="12"/>
  <c r="J119" i="12"/>
  <c r="J118" i="12"/>
  <c r="J116" i="12"/>
  <c r="J115" i="12"/>
  <c r="J112" i="12"/>
  <c r="J111" i="12"/>
  <c r="J110" i="12"/>
  <c r="J108" i="12"/>
  <c r="J107" i="12"/>
  <c r="J102" i="12"/>
  <c r="J101" i="12"/>
  <c r="J100" i="12"/>
  <c r="J99" i="12"/>
  <c r="J98" i="12"/>
  <c r="J97" i="12"/>
  <c r="J96" i="12"/>
  <c r="J94" i="12"/>
  <c r="J88" i="12"/>
  <c r="J86" i="12"/>
  <c r="J85" i="12"/>
  <c r="J83" i="12"/>
  <c r="J82" i="12"/>
  <c r="J81" i="12"/>
  <c r="J80" i="12"/>
  <c r="J79" i="12"/>
  <c r="J78" i="12"/>
  <c r="J77" i="12"/>
  <c r="J76" i="12"/>
  <c r="J74" i="12"/>
  <c r="J72" i="12"/>
  <c r="J71" i="12"/>
  <c r="J69" i="12"/>
  <c r="J67" i="12"/>
  <c r="J65" i="12"/>
  <c r="J64" i="12"/>
  <c r="J62" i="12"/>
  <c r="J61" i="12"/>
  <c r="J60" i="12"/>
  <c r="J59" i="12"/>
  <c r="J57" i="12"/>
  <c r="J56" i="12"/>
  <c r="J55" i="12"/>
  <c r="J54" i="12"/>
  <c r="J53" i="12"/>
  <c r="J51" i="12"/>
  <c r="J49" i="12"/>
  <c r="J41" i="12"/>
  <c r="J40" i="12"/>
  <c r="J39" i="12"/>
  <c r="J38" i="12"/>
  <c r="J37" i="12"/>
  <c r="J36" i="12"/>
  <c r="J35" i="12"/>
  <c r="J34" i="12"/>
  <c r="J33" i="12"/>
  <c r="G89" i="11"/>
  <c r="F89" i="11"/>
  <c r="D89" i="11"/>
  <c r="H88" i="11"/>
  <c r="H87" i="11"/>
  <c r="H86" i="11"/>
  <c r="H84" i="11"/>
  <c r="H89" i="11" s="1"/>
  <c r="C83" i="11"/>
  <c r="G81" i="11"/>
  <c r="F81" i="11"/>
  <c r="D81" i="11"/>
  <c r="H80" i="11"/>
  <c r="H79" i="11"/>
  <c r="H78" i="11"/>
  <c r="H76" i="11"/>
  <c r="H81" i="11" s="1"/>
  <c r="C75" i="11"/>
  <c r="G73" i="11"/>
  <c r="F73" i="11"/>
  <c r="D73" i="11"/>
  <c r="H72" i="11"/>
  <c r="H71" i="11"/>
  <c r="H70" i="11"/>
  <c r="H68" i="11"/>
  <c r="H73" i="11" s="1"/>
  <c r="C67" i="11"/>
  <c r="G65" i="11"/>
  <c r="F65" i="11"/>
  <c r="D65" i="11"/>
  <c r="H64" i="11"/>
  <c r="H63" i="11"/>
  <c r="H62" i="11"/>
  <c r="H60" i="11"/>
  <c r="H65" i="11" s="1"/>
  <c r="C59" i="11"/>
  <c r="G57" i="11"/>
  <c r="F57" i="11"/>
  <c r="D57" i="11"/>
  <c r="H56" i="11"/>
  <c r="H55" i="11"/>
  <c r="H54" i="11"/>
  <c r="H52" i="11"/>
  <c r="H57" i="11" s="1"/>
  <c r="C51" i="11"/>
  <c r="G49" i="11"/>
  <c r="F49" i="11"/>
  <c r="D49" i="11"/>
  <c r="J48" i="11"/>
  <c r="H48" i="11"/>
  <c r="J47" i="11"/>
  <c r="H47" i="11"/>
  <c r="J46" i="11"/>
  <c r="K46" i="11" s="1"/>
  <c r="H46" i="11"/>
  <c r="J45" i="11"/>
  <c r="J44" i="11"/>
  <c r="H44" i="11"/>
  <c r="H49" i="11" s="1"/>
  <c r="C43" i="11"/>
  <c r="G41" i="11"/>
  <c r="F41" i="11"/>
  <c r="D41" i="11"/>
  <c r="J40" i="11"/>
  <c r="H40" i="11"/>
  <c r="J39" i="11"/>
  <c r="H39" i="11"/>
  <c r="J38" i="11"/>
  <c r="K38" i="11" s="1"/>
  <c r="H38" i="11"/>
  <c r="J37" i="11"/>
  <c r="J36" i="11"/>
  <c r="H36" i="11"/>
  <c r="H41" i="11" s="1"/>
  <c r="C35" i="11"/>
  <c r="G33" i="11"/>
  <c r="F33" i="11"/>
  <c r="D33" i="11"/>
  <c r="J32" i="11"/>
  <c r="H32" i="11"/>
  <c r="J31" i="11"/>
  <c r="H31" i="11"/>
  <c r="J30" i="11"/>
  <c r="K30" i="11" s="1"/>
  <c r="H30" i="11"/>
  <c r="J29" i="11"/>
  <c r="J28" i="11"/>
  <c r="H28" i="11"/>
  <c r="H33" i="11" s="1"/>
  <c r="C27" i="11"/>
  <c r="D18" i="11"/>
  <c r="D16" i="11"/>
  <c r="G15" i="11"/>
  <c r="D15" i="11"/>
  <c r="D14" i="11"/>
  <c r="D13" i="11"/>
  <c r="D12" i="11"/>
  <c r="D11" i="11"/>
  <c r="D9" i="11"/>
  <c r="D8" i="11"/>
  <c r="G89" i="10"/>
  <c r="F89" i="10"/>
  <c r="D89" i="10"/>
  <c r="C83" i="10"/>
  <c r="G81" i="10"/>
  <c r="F81" i="10"/>
  <c r="D81" i="10"/>
  <c r="C75" i="10"/>
  <c r="G73" i="10"/>
  <c r="F73" i="10"/>
  <c r="D73" i="10"/>
  <c r="C67" i="10"/>
  <c r="G65" i="10"/>
  <c r="F65" i="10"/>
  <c r="D65" i="10"/>
  <c r="C59" i="10"/>
  <c r="G57" i="10"/>
  <c r="F57" i="10"/>
  <c r="D57" i="10"/>
  <c r="C51" i="10"/>
  <c r="G49" i="10"/>
  <c r="F49" i="10"/>
  <c r="J48" i="10"/>
  <c r="J47" i="10"/>
  <c r="J46" i="10"/>
  <c r="K46" i="10" s="1"/>
  <c r="J45" i="10"/>
  <c r="J44" i="10"/>
  <c r="C43" i="10"/>
  <c r="G41" i="10"/>
  <c r="F41" i="10"/>
  <c r="J40" i="10"/>
  <c r="H40" i="10"/>
  <c r="J39" i="10"/>
  <c r="H39" i="10"/>
  <c r="J38" i="10"/>
  <c r="K38" i="10" s="1"/>
  <c r="H38" i="10"/>
  <c r="J37" i="10"/>
  <c r="J36" i="10"/>
  <c r="H36" i="10"/>
  <c r="H41" i="10" s="1"/>
  <c r="C35" i="10"/>
  <c r="G33" i="10"/>
  <c r="F33" i="10"/>
  <c r="D33" i="10"/>
  <c r="J32" i="10"/>
  <c r="H32" i="10"/>
  <c r="J31" i="10"/>
  <c r="H31" i="10"/>
  <c r="J30" i="10"/>
  <c r="K30" i="10" s="1"/>
  <c r="H30" i="10"/>
  <c r="J29" i="10"/>
  <c r="J28" i="10"/>
  <c r="H28" i="10"/>
  <c r="H33" i="10" s="1"/>
  <c r="C27" i="10"/>
  <c r="D18" i="10"/>
  <c r="D16" i="10"/>
  <c r="G15" i="10"/>
  <c r="D15" i="10"/>
  <c r="D14" i="10"/>
  <c r="D13" i="10"/>
  <c r="D12" i="10"/>
  <c r="D11" i="10"/>
  <c r="D9" i="10"/>
  <c r="D8" i="10"/>
  <c r="B138" i="7"/>
  <c r="J137" i="7"/>
  <c r="E137" i="7"/>
  <c r="B137" i="7"/>
  <c r="B136" i="7"/>
  <c r="J135" i="7"/>
  <c r="E135" i="7"/>
  <c r="B135" i="7"/>
  <c r="B134" i="7"/>
  <c r="J133" i="7"/>
  <c r="E133" i="7"/>
  <c r="B133" i="7"/>
  <c r="B132" i="7"/>
  <c r="J131" i="7"/>
  <c r="E131" i="7"/>
  <c r="B131" i="7"/>
  <c r="B130" i="7"/>
  <c r="J129" i="7"/>
  <c r="E129" i="7"/>
  <c r="B129" i="7"/>
  <c r="B127" i="7"/>
  <c r="J126" i="7"/>
  <c r="E126" i="7"/>
  <c r="B126" i="7"/>
  <c r="B125" i="7"/>
  <c r="J124" i="7"/>
  <c r="E124" i="7"/>
  <c r="B124" i="7"/>
  <c r="B123" i="7"/>
  <c r="J122" i="7"/>
  <c r="E122" i="7"/>
  <c r="B122" i="7"/>
  <c r="B121" i="7"/>
  <c r="J120" i="7"/>
  <c r="E120" i="7"/>
  <c r="B120" i="7"/>
  <c r="B119" i="7"/>
  <c r="J118" i="7"/>
  <c r="E118" i="7"/>
  <c r="B118" i="7"/>
  <c r="B116" i="7"/>
  <c r="J115" i="7"/>
  <c r="E115" i="7"/>
  <c r="B115" i="7"/>
  <c r="B114" i="7"/>
  <c r="J113" i="7"/>
  <c r="E113" i="7"/>
  <c r="B113" i="7"/>
  <c r="B112" i="7"/>
  <c r="J111" i="7"/>
  <c r="E111" i="7"/>
  <c r="B111" i="7"/>
  <c r="B110" i="7"/>
  <c r="J109" i="7"/>
  <c r="E109" i="7"/>
  <c r="B109" i="7"/>
  <c r="B108" i="7"/>
  <c r="J107" i="7"/>
  <c r="E107" i="7"/>
  <c r="B107" i="7"/>
  <c r="B105" i="7"/>
  <c r="J104" i="7"/>
  <c r="E104" i="7"/>
  <c r="B104" i="7"/>
  <c r="B103" i="7"/>
  <c r="J102" i="7"/>
  <c r="E102" i="7"/>
  <c r="B102" i="7"/>
  <c r="B101" i="7"/>
  <c r="J100" i="7"/>
  <c r="E100" i="7"/>
  <c r="B100" i="7"/>
  <c r="B99" i="7"/>
  <c r="J98" i="7"/>
  <c r="E98" i="7"/>
  <c r="B98" i="7"/>
  <c r="B97" i="7"/>
  <c r="J96" i="7"/>
  <c r="E96" i="7"/>
  <c r="B96" i="7"/>
  <c r="B94" i="7"/>
  <c r="J93" i="7"/>
  <c r="E93" i="7"/>
  <c r="B93" i="7"/>
  <c r="B92" i="7"/>
  <c r="J91" i="7"/>
  <c r="E91" i="7"/>
  <c r="B91" i="7"/>
  <c r="B90" i="7"/>
  <c r="J89" i="7"/>
  <c r="E89" i="7"/>
  <c r="B89" i="7"/>
  <c r="B88" i="7"/>
  <c r="J87" i="7"/>
  <c r="E87" i="7"/>
  <c r="B87" i="7"/>
  <c r="B86" i="7"/>
  <c r="J85" i="7"/>
  <c r="E85" i="7"/>
  <c r="B85" i="7"/>
  <c r="B84" i="7"/>
  <c r="J83" i="7"/>
  <c r="E83" i="7"/>
  <c r="B83" i="7"/>
  <c r="B82" i="7"/>
  <c r="J81" i="7"/>
  <c r="E81" i="7"/>
  <c r="B81" i="7"/>
  <c r="B80" i="7"/>
  <c r="J79" i="7"/>
  <c r="E79" i="7"/>
  <c r="B79" i="7"/>
  <c r="B78" i="7"/>
  <c r="J77" i="7"/>
  <c r="E77" i="7"/>
  <c r="B77" i="7"/>
  <c r="B76" i="7"/>
  <c r="J75" i="7"/>
  <c r="E75" i="7"/>
  <c r="B75" i="7"/>
  <c r="B73" i="7"/>
  <c r="J72" i="7"/>
  <c r="E72" i="7"/>
  <c r="B72" i="7"/>
  <c r="B71" i="7"/>
  <c r="J70" i="7"/>
  <c r="E70" i="7"/>
  <c r="B70" i="7"/>
  <c r="B69" i="7"/>
  <c r="J68" i="7"/>
  <c r="E68" i="7"/>
  <c r="B68" i="7"/>
  <c r="B67" i="7"/>
  <c r="J66" i="7"/>
  <c r="E66" i="7"/>
  <c r="B66" i="7"/>
  <c r="B65" i="7"/>
  <c r="J64" i="7"/>
  <c r="E64" i="7"/>
  <c r="B64" i="7"/>
  <c r="B63" i="7"/>
  <c r="J62" i="7"/>
  <c r="E62" i="7"/>
  <c r="B62" i="7"/>
  <c r="B61" i="7"/>
  <c r="J60" i="7"/>
  <c r="E60" i="7"/>
  <c r="B60" i="7"/>
  <c r="B59" i="7"/>
  <c r="J58" i="7"/>
  <c r="E58" i="7"/>
  <c r="B58" i="7"/>
  <c r="B57" i="7"/>
  <c r="J56" i="7"/>
  <c r="E56" i="7"/>
  <c r="B56" i="7"/>
  <c r="B55" i="7"/>
  <c r="J54" i="7"/>
  <c r="E54" i="7"/>
  <c r="B54" i="7"/>
  <c r="B52" i="7"/>
  <c r="J51" i="7"/>
  <c r="E51" i="7"/>
  <c r="B51" i="7"/>
  <c r="B50" i="7"/>
  <c r="J49" i="7"/>
  <c r="E49" i="7"/>
  <c r="B49" i="7"/>
  <c r="B48" i="7"/>
  <c r="J47" i="7"/>
  <c r="E47" i="7"/>
  <c r="B47" i="7"/>
  <c r="B46" i="7"/>
  <c r="J45" i="7"/>
  <c r="E45" i="7"/>
  <c r="B45" i="7"/>
  <c r="B44" i="7"/>
  <c r="J43" i="7"/>
  <c r="E43" i="7"/>
  <c r="B43" i="7"/>
  <c r="B42" i="7"/>
  <c r="J41" i="7"/>
  <c r="E41" i="7"/>
  <c r="B41" i="7"/>
  <c r="B40" i="7"/>
  <c r="J39" i="7"/>
  <c r="E39" i="7"/>
  <c r="B39" i="7"/>
  <c r="B38" i="7"/>
  <c r="J37" i="7"/>
  <c r="E37" i="7"/>
  <c r="B37" i="7"/>
  <c r="B36" i="7"/>
  <c r="J35" i="7"/>
  <c r="E35" i="7"/>
  <c r="B35" i="7"/>
  <c r="B34" i="7"/>
  <c r="J33" i="7"/>
  <c r="E33" i="7"/>
  <c r="B33" i="7"/>
  <c r="B31" i="7"/>
  <c r="J30" i="7"/>
  <c r="E30" i="7"/>
  <c r="B30" i="7"/>
  <c r="B29" i="7"/>
  <c r="J28" i="7"/>
  <c r="E28" i="7"/>
  <c r="B28" i="7"/>
  <c r="B27" i="7"/>
  <c r="J26" i="7"/>
  <c r="E26" i="7"/>
  <c r="B26" i="7"/>
  <c r="B25" i="7"/>
  <c r="J24" i="7"/>
  <c r="E24" i="7"/>
  <c r="B24" i="7"/>
  <c r="B23" i="7"/>
  <c r="J22" i="7"/>
  <c r="E22" i="7"/>
  <c r="B22" i="7"/>
  <c r="B21" i="7"/>
  <c r="J20" i="7"/>
  <c r="E20" i="7"/>
  <c r="B20" i="7"/>
  <c r="B19" i="7"/>
  <c r="J18" i="7"/>
  <c r="E18" i="7"/>
  <c r="B18" i="7"/>
  <c r="B17" i="7"/>
  <c r="J16" i="7"/>
  <c r="E16" i="7"/>
  <c r="B16" i="7"/>
  <c r="B15" i="7"/>
  <c r="J14" i="7"/>
  <c r="E14" i="7"/>
  <c r="B14" i="7"/>
  <c r="B13" i="7"/>
  <c r="J12" i="7"/>
  <c r="E12" i="7"/>
  <c r="B12" i="7"/>
  <c r="H161" i="6"/>
  <c r="J155" i="6"/>
  <c r="G155" i="6"/>
  <c r="F155" i="6"/>
  <c r="E155" i="6"/>
  <c r="J154" i="6"/>
  <c r="G154" i="6"/>
  <c r="F154" i="6"/>
  <c r="E154" i="6"/>
  <c r="J153" i="6"/>
  <c r="G153" i="6"/>
  <c r="F153" i="6"/>
  <c r="E153" i="6"/>
  <c r="J152" i="6"/>
  <c r="G152" i="6"/>
  <c r="F152" i="6"/>
  <c r="E152" i="6"/>
  <c r="J151" i="6"/>
  <c r="G151" i="6"/>
  <c r="F151" i="6"/>
  <c r="E151" i="6"/>
  <c r="J150" i="6"/>
  <c r="G150" i="6"/>
  <c r="F150" i="6"/>
  <c r="E150" i="6"/>
  <c r="J149" i="6"/>
  <c r="G149" i="6"/>
  <c r="F149" i="6"/>
  <c r="E149" i="6"/>
  <c r="J148" i="6"/>
  <c r="G148" i="6"/>
  <c r="F148" i="6"/>
  <c r="E148" i="6"/>
  <c r="J147" i="6"/>
  <c r="G147" i="6"/>
  <c r="F147" i="6"/>
  <c r="E147" i="6"/>
  <c r="J146" i="6"/>
  <c r="G156" i="6" s="1"/>
  <c r="G146" i="6"/>
  <c r="F146" i="6"/>
  <c r="E146" i="6"/>
  <c r="J143" i="6"/>
  <c r="G143" i="6"/>
  <c r="F143" i="6"/>
  <c r="E143" i="6"/>
  <c r="J142" i="6"/>
  <c r="G142" i="6"/>
  <c r="F142" i="6"/>
  <c r="E142" i="6"/>
  <c r="J141" i="6"/>
  <c r="G141" i="6"/>
  <c r="F141" i="6"/>
  <c r="E141" i="6"/>
  <c r="J140" i="6"/>
  <c r="G140" i="6"/>
  <c r="F140" i="6"/>
  <c r="E140" i="6"/>
  <c r="J139" i="6"/>
  <c r="G139" i="6"/>
  <c r="F139" i="6"/>
  <c r="E139" i="6"/>
  <c r="J138" i="6"/>
  <c r="G138" i="6"/>
  <c r="F138" i="6"/>
  <c r="E138" i="6"/>
  <c r="J137" i="6"/>
  <c r="G137" i="6"/>
  <c r="F137" i="6"/>
  <c r="E137" i="6"/>
  <c r="J136" i="6"/>
  <c r="G136" i="6"/>
  <c r="F136" i="6"/>
  <c r="E136" i="6"/>
  <c r="J135" i="6"/>
  <c r="G135" i="6"/>
  <c r="F135" i="6"/>
  <c r="E135" i="6"/>
  <c r="J134" i="6"/>
  <c r="G144" i="6" s="1"/>
  <c r="G134" i="6"/>
  <c r="F134" i="6"/>
  <c r="E134" i="6"/>
  <c r="J131" i="6"/>
  <c r="G131" i="6"/>
  <c r="F131" i="6"/>
  <c r="E131" i="6"/>
  <c r="J130" i="6"/>
  <c r="G130" i="6"/>
  <c r="F130" i="6"/>
  <c r="E130" i="6"/>
  <c r="J129" i="6"/>
  <c r="G129" i="6"/>
  <c r="F129" i="6"/>
  <c r="E129" i="6"/>
  <c r="J128" i="6"/>
  <c r="G128" i="6"/>
  <c r="F128" i="6"/>
  <c r="E128" i="6"/>
  <c r="J127" i="6"/>
  <c r="G127" i="6"/>
  <c r="F127" i="6"/>
  <c r="E127" i="6"/>
  <c r="J126" i="6"/>
  <c r="G126" i="6"/>
  <c r="F126" i="6"/>
  <c r="E126" i="6"/>
  <c r="J125" i="6"/>
  <c r="G125" i="6"/>
  <c r="F125" i="6"/>
  <c r="E125" i="6"/>
  <c r="J124" i="6"/>
  <c r="G124" i="6"/>
  <c r="F124" i="6"/>
  <c r="E124" i="6"/>
  <c r="J123" i="6"/>
  <c r="G123" i="6"/>
  <c r="F123" i="6"/>
  <c r="E123" i="6"/>
  <c r="J122" i="6"/>
  <c r="G132" i="6" s="1"/>
  <c r="G122" i="6"/>
  <c r="F122" i="6"/>
  <c r="E122" i="6"/>
  <c r="J119" i="6"/>
  <c r="G119" i="6"/>
  <c r="F119" i="6"/>
  <c r="E119" i="6"/>
  <c r="J118" i="6"/>
  <c r="G118" i="6"/>
  <c r="F118" i="6"/>
  <c r="E118" i="6"/>
  <c r="J117" i="6"/>
  <c r="G117" i="6"/>
  <c r="F117" i="6"/>
  <c r="E117" i="6"/>
  <c r="J116" i="6"/>
  <c r="G116" i="6"/>
  <c r="F116" i="6"/>
  <c r="E116" i="6"/>
  <c r="J115" i="6"/>
  <c r="G115" i="6"/>
  <c r="F115" i="6"/>
  <c r="E115" i="6"/>
  <c r="J114" i="6"/>
  <c r="G114" i="6"/>
  <c r="F114" i="6"/>
  <c r="E114" i="6"/>
  <c r="J113" i="6"/>
  <c r="G113" i="6"/>
  <c r="F113" i="6"/>
  <c r="E113" i="6"/>
  <c r="J112" i="6"/>
  <c r="G112" i="6"/>
  <c r="F112" i="6"/>
  <c r="E112" i="6"/>
  <c r="J111" i="6"/>
  <c r="G111" i="6"/>
  <c r="F111" i="6"/>
  <c r="E111" i="6"/>
  <c r="J110" i="6"/>
  <c r="G120" i="6" s="1"/>
  <c r="G110" i="6"/>
  <c r="F110" i="6"/>
  <c r="E110" i="6"/>
  <c r="J107" i="6"/>
  <c r="G107" i="6"/>
  <c r="F107" i="6"/>
  <c r="E107" i="6"/>
  <c r="J106" i="6"/>
  <c r="G106" i="6"/>
  <c r="F106" i="6"/>
  <c r="E106" i="6"/>
  <c r="J105" i="6"/>
  <c r="G105" i="6"/>
  <c r="F105" i="6"/>
  <c r="E105" i="6"/>
  <c r="J104" i="6"/>
  <c r="G104" i="6"/>
  <c r="F104" i="6"/>
  <c r="E104" i="6"/>
  <c r="J103" i="6"/>
  <c r="G103" i="6"/>
  <c r="F103" i="6"/>
  <c r="E103" i="6"/>
  <c r="J102" i="6"/>
  <c r="G102" i="6"/>
  <c r="F102" i="6"/>
  <c r="E102" i="6"/>
  <c r="J101" i="6"/>
  <c r="G101" i="6"/>
  <c r="F101" i="6"/>
  <c r="E101" i="6"/>
  <c r="J100" i="6"/>
  <c r="G100" i="6"/>
  <c r="F100" i="6"/>
  <c r="E100" i="6"/>
  <c r="J99" i="6"/>
  <c r="G99" i="6"/>
  <c r="F99" i="6"/>
  <c r="E99" i="6"/>
  <c r="J98" i="6"/>
  <c r="G108" i="6" s="1"/>
  <c r="G98" i="6"/>
  <c r="F98" i="6"/>
  <c r="E98" i="6"/>
  <c r="J95" i="6"/>
  <c r="G95" i="6"/>
  <c r="F95" i="6"/>
  <c r="E95" i="6"/>
  <c r="J94" i="6"/>
  <c r="G94" i="6"/>
  <c r="F94" i="6"/>
  <c r="E94" i="6"/>
  <c r="J93" i="6"/>
  <c r="G93" i="6"/>
  <c r="F93" i="6"/>
  <c r="E93" i="6"/>
  <c r="J92" i="6"/>
  <c r="G92" i="6"/>
  <c r="F92" i="6"/>
  <c r="E92" i="6"/>
  <c r="J91" i="6"/>
  <c r="G91" i="6"/>
  <c r="F91" i="6"/>
  <c r="E91" i="6"/>
  <c r="J90" i="6"/>
  <c r="G90" i="6"/>
  <c r="F90" i="6"/>
  <c r="E90" i="6"/>
  <c r="J89" i="6"/>
  <c r="G89" i="6"/>
  <c r="F89" i="6"/>
  <c r="E89" i="6"/>
  <c r="J88" i="6"/>
  <c r="G88" i="6"/>
  <c r="F88" i="6"/>
  <c r="E88" i="6"/>
  <c r="J87" i="6"/>
  <c r="G87" i="6"/>
  <c r="F87" i="6"/>
  <c r="E87" i="6"/>
  <c r="J86" i="6"/>
  <c r="G96" i="6" s="1"/>
  <c r="G86" i="6"/>
  <c r="F86" i="6"/>
  <c r="E86" i="6"/>
  <c r="J83" i="6"/>
  <c r="G83" i="6"/>
  <c r="F83" i="6"/>
  <c r="E83" i="6"/>
  <c r="J82" i="6"/>
  <c r="G82" i="6"/>
  <c r="F82" i="6"/>
  <c r="E82" i="6"/>
  <c r="J81" i="6"/>
  <c r="G81" i="6"/>
  <c r="F81" i="6"/>
  <c r="E81" i="6"/>
  <c r="J80" i="6"/>
  <c r="G80" i="6"/>
  <c r="F80" i="6"/>
  <c r="E80" i="6"/>
  <c r="J79" i="6"/>
  <c r="G79" i="6"/>
  <c r="F79" i="6"/>
  <c r="E79" i="6"/>
  <c r="J78" i="6"/>
  <c r="G78" i="6"/>
  <c r="F78" i="6"/>
  <c r="E78" i="6"/>
  <c r="J77" i="6"/>
  <c r="G77" i="6"/>
  <c r="F77" i="6"/>
  <c r="E77" i="6"/>
  <c r="J76" i="6"/>
  <c r="G76" i="6"/>
  <c r="F76" i="6"/>
  <c r="E76" i="6"/>
  <c r="J75" i="6"/>
  <c r="G75" i="6"/>
  <c r="F75" i="6"/>
  <c r="E75" i="6"/>
  <c r="J74" i="6"/>
  <c r="G84" i="6" s="1"/>
  <c r="G74" i="6"/>
  <c r="F74" i="6"/>
  <c r="E74" i="6"/>
  <c r="J71" i="6"/>
  <c r="G71" i="6"/>
  <c r="F71" i="6"/>
  <c r="E71" i="6"/>
  <c r="J70" i="6"/>
  <c r="G70" i="6"/>
  <c r="F70" i="6"/>
  <c r="E70" i="6"/>
  <c r="J69" i="6"/>
  <c r="G69" i="6"/>
  <c r="F69" i="6"/>
  <c r="E69" i="6"/>
  <c r="J68" i="6"/>
  <c r="G68" i="6"/>
  <c r="F68" i="6"/>
  <c r="E68" i="6"/>
  <c r="J67" i="6"/>
  <c r="G67" i="6"/>
  <c r="F67" i="6"/>
  <c r="E67" i="6"/>
  <c r="J66" i="6"/>
  <c r="G66" i="6"/>
  <c r="F66" i="6"/>
  <c r="E66" i="6"/>
  <c r="J65" i="6"/>
  <c r="G65" i="6"/>
  <c r="F65" i="6"/>
  <c r="E65" i="6"/>
  <c r="J64" i="6"/>
  <c r="G64" i="6"/>
  <c r="F64" i="6"/>
  <c r="E64" i="6"/>
  <c r="J63" i="6"/>
  <c r="G63" i="6"/>
  <c r="F63" i="6"/>
  <c r="E63" i="6"/>
  <c r="J62" i="6"/>
  <c r="G72" i="6" s="1"/>
  <c r="G62" i="6"/>
  <c r="F62" i="6"/>
  <c r="E62" i="6"/>
  <c r="J59" i="6"/>
  <c r="G59" i="6"/>
  <c r="F59" i="6"/>
  <c r="E59" i="6"/>
  <c r="J58" i="6"/>
  <c r="G58" i="6"/>
  <c r="F58" i="6"/>
  <c r="E58" i="6"/>
  <c r="J57" i="6"/>
  <c r="G57" i="6"/>
  <c r="F57" i="6"/>
  <c r="E57" i="6"/>
  <c r="J56" i="6"/>
  <c r="G56" i="6"/>
  <c r="F56" i="6"/>
  <c r="E56" i="6"/>
  <c r="J55" i="6"/>
  <c r="G55" i="6"/>
  <c r="F55" i="6"/>
  <c r="E55" i="6"/>
  <c r="J54" i="6"/>
  <c r="G54" i="6"/>
  <c r="F54" i="6"/>
  <c r="E54" i="6"/>
  <c r="J53" i="6"/>
  <c r="G53" i="6"/>
  <c r="F53" i="6"/>
  <c r="E53" i="6"/>
  <c r="J52" i="6"/>
  <c r="G52" i="6"/>
  <c r="F52" i="6"/>
  <c r="E52" i="6"/>
  <c r="J51" i="6"/>
  <c r="G51" i="6"/>
  <c r="F51" i="6"/>
  <c r="E51" i="6"/>
  <c r="J50" i="6"/>
  <c r="G60" i="6" s="1"/>
  <c r="G50" i="6"/>
  <c r="F50" i="6"/>
  <c r="E50" i="6"/>
  <c r="J47" i="6"/>
  <c r="G47" i="6"/>
  <c r="F47" i="6"/>
  <c r="E47" i="6"/>
  <c r="J46" i="6"/>
  <c r="G46" i="6"/>
  <c r="F46" i="6"/>
  <c r="E46" i="6"/>
  <c r="J45" i="6"/>
  <c r="G45" i="6"/>
  <c r="F45" i="6"/>
  <c r="E45" i="6"/>
  <c r="J44" i="6"/>
  <c r="G44" i="6"/>
  <c r="F44" i="6"/>
  <c r="E44" i="6"/>
  <c r="J43" i="6"/>
  <c r="G43" i="6"/>
  <c r="F43" i="6"/>
  <c r="E43" i="6"/>
  <c r="J42" i="6"/>
  <c r="G42" i="6"/>
  <c r="F42" i="6"/>
  <c r="E42" i="6"/>
  <c r="J41" i="6"/>
  <c r="G41" i="6"/>
  <c r="F41" i="6"/>
  <c r="E41" i="6"/>
  <c r="J40" i="6"/>
  <c r="G40" i="6"/>
  <c r="F40" i="6"/>
  <c r="E40" i="6"/>
  <c r="J39" i="6"/>
  <c r="G39" i="6"/>
  <c r="F39" i="6"/>
  <c r="E39" i="6"/>
  <c r="J38" i="6"/>
  <c r="G48" i="6" s="1"/>
  <c r="G38" i="6"/>
  <c r="F38" i="6"/>
  <c r="E38" i="6"/>
  <c r="J35" i="6"/>
  <c r="G35" i="6"/>
  <c r="F35" i="6"/>
  <c r="E35" i="6"/>
  <c r="J34" i="6"/>
  <c r="G34" i="6"/>
  <c r="F34" i="6"/>
  <c r="E34" i="6"/>
  <c r="J33" i="6"/>
  <c r="G33" i="6"/>
  <c r="F33" i="6"/>
  <c r="E33" i="6"/>
  <c r="J32" i="6"/>
  <c r="G32" i="6"/>
  <c r="F32" i="6"/>
  <c r="E32" i="6"/>
  <c r="J31" i="6"/>
  <c r="G31" i="6"/>
  <c r="F31" i="6"/>
  <c r="E31" i="6"/>
  <c r="J30" i="6"/>
  <c r="G30" i="6"/>
  <c r="F30" i="6"/>
  <c r="E30" i="6"/>
  <c r="J29" i="6"/>
  <c r="G29" i="6"/>
  <c r="F29" i="6"/>
  <c r="E29" i="6"/>
  <c r="J28" i="6"/>
  <c r="G28" i="6"/>
  <c r="F28" i="6"/>
  <c r="E28" i="6"/>
  <c r="J27" i="6"/>
  <c r="G27" i="6"/>
  <c r="F27" i="6"/>
  <c r="E27" i="6"/>
  <c r="J26" i="6"/>
  <c r="G36" i="6" s="1"/>
  <c r="G157" i="6" s="1"/>
  <c r="G26" i="6"/>
  <c r="F26" i="6"/>
  <c r="E26" i="6"/>
  <c r="C19" i="6"/>
  <c r="C18" i="6"/>
  <c r="C17" i="6"/>
  <c r="C16" i="6"/>
  <c r="C14" i="6"/>
  <c r="C13" i="6"/>
  <c r="C12" i="6"/>
  <c r="C11" i="6"/>
  <c r="C10" i="6"/>
  <c r="G88" i="5"/>
  <c r="J83" i="5"/>
  <c r="G83" i="5"/>
  <c r="F83" i="5"/>
  <c r="E83" i="5"/>
  <c r="J82" i="5"/>
  <c r="G82" i="5"/>
  <c r="F82" i="5"/>
  <c r="E82" i="5"/>
  <c r="J81" i="5"/>
  <c r="G81" i="5"/>
  <c r="F81" i="5"/>
  <c r="E81" i="5"/>
  <c r="J80" i="5"/>
  <c r="G80" i="5"/>
  <c r="F80" i="5"/>
  <c r="E80" i="5"/>
  <c r="J79" i="5"/>
  <c r="G79" i="5"/>
  <c r="F79" i="5"/>
  <c r="E79" i="5"/>
  <c r="J78" i="5"/>
  <c r="G78" i="5"/>
  <c r="F78" i="5"/>
  <c r="E78" i="5"/>
  <c r="J77" i="5"/>
  <c r="G77" i="5"/>
  <c r="F77" i="5"/>
  <c r="E77" i="5"/>
  <c r="J76" i="5"/>
  <c r="G76" i="5"/>
  <c r="F76" i="5"/>
  <c r="E76" i="5"/>
  <c r="J75" i="5"/>
  <c r="G75" i="5"/>
  <c r="F75" i="5"/>
  <c r="E75" i="5"/>
  <c r="J74" i="5"/>
  <c r="G84" i="5" s="1"/>
  <c r="G74" i="5"/>
  <c r="F74" i="5"/>
  <c r="E74" i="5"/>
  <c r="J71" i="5"/>
  <c r="G71" i="5"/>
  <c r="F71" i="5"/>
  <c r="E71" i="5"/>
  <c r="J70" i="5"/>
  <c r="G70" i="5"/>
  <c r="F70" i="5"/>
  <c r="E70" i="5"/>
  <c r="J69" i="5"/>
  <c r="G69" i="5"/>
  <c r="F69" i="5"/>
  <c r="E69" i="5"/>
  <c r="J68" i="5"/>
  <c r="G68" i="5"/>
  <c r="F68" i="5"/>
  <c r="E68" i="5"/>
  <c r="J67" i="5"/>
  <c r="G67" i="5"/>
  <c r="F67" i="5"/>
  <c r="E67" i="5"/>
  <c r="J66" i="5"/>
  <c r="G66" i="5"/>
  <c r="F66" i="5"/>
  <c r="E66" i="5"/>
  <c r="J65" i="5"/>
  <c r="G65" i="5"/>
  <c r="F65" i="5"/>
  <c r="E65" i="5"/>
  <c r="J64" i="5"/>
  <c r="G64" i="5"/>
  <c r="F64" i="5"/>
  <c r="E64" i="5"/>
  <c r="J63" i="5"/>
  <c r="G63" i="5"/>
  <c r="F63" i="5"/>
  <c r="E63" i="5"/>
  <c r="J62" i="5"/>
  <c r="G72" i="5" s="1"/>
  <c r="G62" i="5"/>
  <c r="F62" i="5"/>
  <c r="E62" i="5"/>
  <c r="J59" i="5"/>
  <c r="G59" i="5"/>
  <c r="F59" i="5"/>
  <c r="E59" i="5"/>
  <c r="J58" i="5"/>
  <c r="G58" i="5"/>
  <c r="F58" i="5"/>
  <c r="E58" i="5"/>
  <c r="J57" i="5"/>
  <c r="G57" i="5"/>
  <c r="F57" i="5"/>
  <c r="E57" i="5"/>
  <c r="J56" i="5"/>
  <c r="G56" i="5"/>
  <c r="F56" i="5"/>
  <c r="E56" i="5"/>
  <c r="J55" i="5"/>
  <c r="G55" i="5"/>
  <c r="F55" i="5"/>
  <c r="E55" i="5"/>
  <c r="J54" i="5"/>
  <c r="G54" i="5"/>
  <c r="F54" i="5"/>
  <c r="E54" i="5"/>
  <c r="J53" i="5"/>
  <c r="G53" i="5"/>
  <c r="F53" i="5"/>
  <c r="E53" i="5"/>
  <c r="J52" i="5"/>
  <c r="G52" i="5"/>
  <c r="F52" i="5"/>
  <c r="E52" i="5"/>
  <c r="J51" i="5"/>
  <c r="G51" i="5"/>
  <c r="F51" i="5"/>
  <c r="E51" i="5"/>
  <c r="J50" i="5"/>
  <c r="G60" i="5" s="1"/>
  <c r="G50" i="5"/>
  <c r="F50" i="5"/>
  <c r="E50" i="5"/>
  <c r="J47" i="5"/>
  <c r="G47" i="5"/>
  <c r="F47" i="5"/>
  <c r="E47" i="5"/>
  <c r="J46" i="5"/>
  <c r="G46" i="5"/>
  <c r="F46" i="5"/>
  <c r="E46" i="5"/>
  <c r="J45" i="5"/>
  <c r="G45" i="5"/>
  <c r="F45" i="5"/>
  <c r="E45" i="5"/>
  <c r="J44" i="5"/>
  <c r="G44" i="5"/>
  <c r="F44" i="5"/>
  <c r="E44" i="5"/>
  <c r="J43" i="5"/>
  <c r="G43" i="5"/>
  <c r="F43" i="5"/>
  <c r="E43" i="5"/>
  <c r="J42" i="5"/>
  <c r="G42" i="5"/>
  <c r="F42" i="5"/>
  <c r="E42" i="5"/>
  <c r="J41" i="5"/>
  <c r="G41" i="5"/>
  <c r="F41" i="5"/>
  <c r="E41" i="5"/>
  <c r="J40" i="5"/>
  <c r="G40" i="5"/>
  <c r="F40" i="5"/>
  <c r="E40" i="5"/>
  <c r="J39" i="5"/>
  <c r="G39" i="5"/>
  <c r="F39" i="5"/>
  <c r="E39" i="5"/>
  <c r="J38" i="5"/>
  <c r="G48" i="5" s="1"/>
  <c r="G38" i="5"/>
  <c r="F38" i="5"/>
  <c r="E38" i="5"/>
  <c r="J35" i="5"/>
  <c r="G35" i="5"/>
  <c r="F35" i="5"/>
  <c r="E35" i="5"/>
  <c r="J34" i="5"/>
  <c r="G34" i="5"/>
  <c r="F34" i="5"/>
  <c r="E34" i="5"/>
  <c r="J33" i="5"/>
  <c r="G33" i="5"/>
  <c r="F33" i="5"/>
  <c r="E33" i="5"/>
  <c r="J32" i="5"/>
  <c r="G32" i="5"/>
  <c r="F32" i="5"/>
  <c r="E32" i="5"/>
  <c r="J31" i="5"/>
  <c r="G31" i="5"/>
  <c r="F31" i="5"/>
  <c r="E31" i="5"/>
  <c r="J30" i="5"/>
  <c r="G30" i="5"/>
  <c r="F30" i="5"/>
  <c r="E30" i="5"/>
  <c r="J29" i="5"/>
  <c r="G29" i="5"/>
  <c r="F29" i="5"/>
  <c r="E29" i="5"/>
  <c r="J28" i="5"/>
  <c r="G28" i="5"/>
  <c r="F28" i="5"/>
  <c r="E28" i="5"/>
  <c r="J27" i="5"/>
  <c r="G27" i="5"/>
  <c r="F27" i="5"/>
  <c r="E27" i="5"/>
  <c r="J26" i="5"/>
  <c r="G36" i="5" s="1"/>
  <c r="G85" i="5" s="1"/>
  <c r="G26" i="5"/>
  <c r="F26" i="5"/>
  <c r="E26" i="5"/>
  <c r="C19" i="5"/>
  <c r="C18" i="5"/>
  <c r="C17" i="5"/>
  <c r="C16" i="5"/>
  <c r="C14" i="5"/>
  <c r="C13" i="5"/>
  <c r="C12" i="5"/>
  <c r="C11" i="5"/>
  <c r="C10" i="5"/>
  <c r="X9" i="4"/>
  <c r="W9" i="4"/>
  <c r="V9" i="4"/>
  <c r="U9" i="4"/>
  <c r="T9" i="4"/>
  <c r="S9" i="4"/>
  <c r="R9" i="4"/>
  <c r="X8" i="4"/>
  <c r="W8" i="4"/>
  <c r="V8" i="4"/>
  <c r="U8" i="4"/>
  <c r="T8" i="4"/>
  <c r="S8" i="4"/>
  <c r="R8" i="4"/>
  <c r="X7" i="4"/>
  <c r="W7" i="4"/>
  <c r="V7" i="4"/>
  <c r="U7" i="4"/>
  <c r="T7" i="4"/>
  <c r="S7" i="4"/>
  <c r="R7" i="4"/>
  <c r="X6" i="4"/>
  <c r="W6" i="4"/>
  <c r="V6" i="4"/>
  <c r="U6" i="4"/>
  <c r="T6" i="4"/>
  <c r="S6" i="4"/>
  <c r="R6" i="4"/>
  <c r="X5" i="4"/>
  <c r="W5" i="4"/>
  <c r="V5" i="4"/>
  <c r="U5" i="4"/>
  <c r="T5" i="4"/>
  <c r="S5" i="4"/>
  <c r="R5" i="4"/>
  <c r="X4" i="4"/>
  <c r="W4" i="4"/>
  <c r="V4" i="4"/>
  <c r="U4" i="4"/>
  <c r="T4" i="4"/>
  <c r="S4" i="4"/>
  <c r="R4" i="4"/>
  <c r="A4" i="4"/>
  <c r="X3" i="4"/>
  <c r="W3" i="4"/>
  <c r="V3" i="4"/>
  <c r="U3" i="4"/>
  <c r="T3" i="4"/>
  <c r="S3" i="4"/>
  <c r="R3" i="4"/>
  <c r="A3" i="4"/>
  <c r="X2" i="4"/>
  <c r="W2" i="4"/>
  <c r="V2" i="4"/>
  <c r="U2" i="4"/>
  <c r="T2" i="4"/>
  <c r="S2" i="4"/>
  <c r="R2" i="4"/>
  <c r="A2" i="4"/>
  <c r="B1" i="4"/>
  <c r="I213" i="3"/>
  <c r="P206" i="3"/>
  <c r="N206" i="3"/>
  <c r="M206" i="3"/>
  <c r="O206" i="3" s="1"/>
  <c r="I206" i="3"/>
  <c r="H206" i="3"/>
  <c r="G206" i="3"/>
  <c r="F206" i="3"/>
  <c r="P204" i="3"/>
  <c r="N204" i="3"/>
  <c r="M204" i="3"/>
  <c r="O204" i="3" s="1"/>
  <c r="I204" i="3"/>
  <c r="H204" i="3"/>
  <c r="G204" i="3"/>
  <c r="F204" i="3"/>
  <c r="P202" i="3"/>
  <c r="N202" i="3"/>
  <c r="M202" i="3"/>
  <c r="I202" i="3"/>
  <c r="G202" i="3"/>
  <c r="F202" i="3"/>
  <c r="N198" i="3"/>
  <c r="M198" i="3"/>
  <c r="H198" i="3"/>
  <c r="G198" i="3"/>
  <c r="F198" i="3"/>
  <c r="N196" i="3"/>
  <c r="M196" i="3"/>
  <c r="H196" i="3"/>
  <c r="G196" i="3"/>
  <c r="F196" i="3"/>
  <c r="N194" i="3"/>
  <c r="M194" i="3"/>
  <c r="I200" i="3" s="1"/>
  <c r="H194" i="3"/>
  <c r="G194" i="3"/>
  <c r="F194" i="3"/>
  <c r="P190" i="3"/>
  <c r="N190" i="3"/>
  <c r="G190" i="3" s="1"/>
  <c r="M190" i="3"/>
  <c r="F190" i="3" s="1"/>
  <c r="P188" i="3"/>
  <c r="N188" i="3"/>
  <c r="M188" i="3"/>
  <c r="O188" i="3" s="1"/>
  <c r="H188" i="3"/>
  <c r="G188" i="3"/>
  <c r="F188" i="3"/>
  <c r="P186" i="3"/>
  <c r="N186" i="3"/>
  <c r="M186" i="3"/>
  <c r="O186" i="3" s="1"/>
  <c r="H186" i="3"/>
  <c r="G186" i="3"/>
  <c r="F186" i="3"/>
  <c r="P170" i="3"/>
  <c r="N170" i="3"/>
  <c r="M170" i="3"/>
  <c r="F170" i="3" s="1"/>
  <c r="G170" i="3"/>
  <c r="N166" i="3"/>
  <c r="M166" i="3"/>
  <c r="H166" i="3"/>
  <c r="G166" i="3"/>
  <c r="F166" i="3"/>
  <c r="N164" i="3"/>
  <c r="M164" i="3"/>
  <c r="I168" i="3" s="1"/>
  <c r="H164" i="3"/>
  <c r="G164" i="3"/>
  <c r="F164" i="3"/>
  <c r="N160" i="3"/>
  <c r="M160" i="3"/>
  <c r="H160" i="3"/>
  <c r="G160" i="3"/>
  <c r="F160" i="3"/>
  <c r="N158" i="3"/>
  <c r="M158" i="3"/>
  <c r="I162" i="3" s="1"/>
  <c r="H158" i="3"/>
  <c r="G158" i="3"/>
  <c r="F158" i="3"/>
  <c r="Q154" i="3"/>
  <c r="P154" i="3"/>
  <c r="N154" i="3"/>
  <c r="M154" i="3"/>
  <c r="O154" i="3" s="1"/>
  <c r="D137" i="7" s="1"/>
  <c r="H154" i="3"/>
  <c r="G154" i="3"/>
  <c r="F154" i="3"/>
  <c r="Q152" i="3"/>
  <c r="P152" i="3"/>
  <c r="N152" i="3"/>
  <c r="M152" i="3"/>
  <c r="O152" i="3" s="1"/>
  <c r="D135" i="7" s="1"/>
  <c r="H152" i="3"/>
  <c r="G152" i="3"/>
  <c r="F152" i="3"/>
  <c r="Q150" i="3"/>
  <c r="P150" i="3"/>
  <c r="N150" i="3"/>
  <c r="M150" i="3"/>
  <c r="O150" i="3" s="1"/>
  <c r="D133" i="7" s="1"/>
  <c r="H150" i="3"/>
  <c r="G150" i="3"/>
  <c r="F150" i="3"/>
  <c r="Q148" i="3"/>
  <c r="P148" i="3"/>
  <c r="N148" i="3"/>
  <c r="M148" i="3"/>
  <c r="O148" i="3" s="1"/>
  <c r="D131" i="7" s="1"/>
  <c r="H148" i="3"/>
  <c r="G148" i="3"/>
  <c r="F148" i="3"/>
  <c r="Q146" i="3"/>
  <c r="P146" i="3"/>
  <c r="N146" i="3"/>
  <c r="M146" i="3"/>
  <c r="O146" i="3" s="1"/>
  <c r="D129" i="7" s="1"/>
  <c r="H146" i="3"/>
  <c r="G146" i="3"/>
  <c r="F146" i="3"/>
  <c r="Q143" i="3"/>
  <c r="P143" i="3"/>
  <c r="N143" i="3"/>
  <c r="M143" i="3"/>
  <c r="O143" i="3" s="1"/>
  <c r="D126" i="7" s="1"/>
  <c r="H143" i="3"/>
  <c r="G143" i="3"/>
  <c r="F143" i="3"/>
  <c r="Q141" i="3"/>
  <c r="P141" i="3"/>
  <c r="N141" i="3"/>
  <c r="M141" i="3"/>
  <c r="O141" i="3" s="1"/>
  <c r="D124" i="7" s="1"/>
  <c r="H141" i="3"/>
  <c r="G141" i="3"/>
  <c r="F141" i="3"/>
  <c r="Q139" i="3"/>
  <c r="P139" i="3"/>
  <c r="N139" i="3"/>
  <c r="M139" i="3"/>
  <c r="O139" i="3" s="1"/>
  <c r="D122" i="7" s="1"/>
  <c r="H139" i="3"/>
  <c r="G139" i="3"/>
  <c r="F139" i="3"/>
  <c r="Q137" i="3"/>
  <c r="P137" i="3"/>
  <c r="N137" i="3"/>
  <c r="M137" i="3"/>
  <c r="O137" i="3" s="1"/>
  <c r="D120" i="7" s="1"/>
  <c r="H137" i="3"/>
  <c r="G137" i="3"/>
  <c r="F137" i="3"/>
  <c r="Q135" i="3"/>
  <c r="P135" i="3"/>
  <c r="N135" i="3"/>
  <c r="M135" i="3"/>
  <c r="O135" i="3" s="1"/>
  <c r="D118" i="7" s="1"/>
  <c r="H135" i="3"/>
  <c r="G135" i="3"/>
  <c r="F135" i="3"/>
  <c r="Q132" i="3"/>
  <c r="P132" i="3"/>
  <c r="N132" i="3"/>
  <c r="M132" i="3"/>
  <c r="O132" i="3" s="1"/>
  <c r="D115" i="7" s="1"/>
  <c r="H132" i="3"/>
  <c r="G132" i="3"/>
  <c r="F132" i="3"/>
  <c r="Q130" i="3"/>
  <c r="P130" i="3"/>
  <c r="N130" i="3"/>
  <c r="M130" i="3"/>
  <c r="O130" i="3" s="1"/>
  <c r="D113" i="7" s="1"/>
  <c r="H130" i="3"/>
  <c r="G130" i="3"/>
  <c r="F130" i="3"/>
  <c r="Q128" i="3"/>
  <c r="P128" i="3"/>
  <c r="N128" i="3"/>
  <c r="M128" i="3"/>
  <c r="O128" i="3" s="1"/>
  <c r="D111" i="7" s="1"/>
  <c r="H128" i="3"/>
  <c r="G128" i="3"/>
  <c r="F128" i="3"/>
  <c r="Q126" i="3"/>
  <c r="P126" i="3"/>
  <c r="N126" i="3"/>
  <c r="M126" i="3"/>
  <c r="O126" i="3" s="1"/>
  <c r="D109" i="7" s="1"/>
  <c r="H126" i="3"/>
  <c r="G126" i="3"/>
  <c r="F126" i="3"/>
  <c r="Q124" i="3"/>
  <c r="P124" i="3"/>
  <c r="N124" i="3"/>
  <c r="M124" i="3"/>
  <c r="O124" i="3" s="1"/>
  <c r="D107" i="7" s="1"/>
  <c r="H124" i="3"/>
  <c r="G124" i="3"/>
  <c r="F124" i="3"/>
  <c r="Q121" i="3"/>
  <c r="P121" i="3"/>
  <c r="N121" i="3"/>
  <c r="M121" i="3"/>
  <c r="O121" i="3" s="1"/>
  <c r="D104" i="7" s="1"/>
  <c r="H121" i="3"/>
  <c r="G121" i="3"/>
  <c r="F121" i="3"/>
  <c r="Q119" i="3"/>
  <c r="P119" i="3"/>
  <c r="N119" i="3"/>
  <c r="M119" i="3"/>
  <c r="O119" i="3" s="1"/>
  <c r="D102" i="7" s="1"/>
  <c r="H119" i="3"/>
  <c r="G119" i="3"/>
  <c r="F119" i="3"/>
  <c r="Q117" i="3"/>
  <c r="P117" i="3"/>
  <c r="N117" i="3"/>
  <c r="M117" i="3"/>
  <c r="O117" i="3" s="1"/>
  <c r="D100" i="7" s="1"/>
  <c r="H117" i="3"/>
  <c r="G117" i="3"/>
  <c r="F117" i="3"/>
  <c r="Q115" i="3"/>
  <c r="P115" i="3"/>
  <c r="N115" i="3"/>
  <c r="M115" i="3"/>
  <c r="O115" i="3" s="1"/>
  <c r="D98" i="7" s="1"/>
  <c r="H115" i="3"/>
  <c r="G115" i="3"/>
  <c r="F115" i="3"/>
  <c r="Q113" i="3"/>
  <c r="P113" i="3"/>
  <c r="N113" i="3"/>
  <c r="M113" i="3"/>
  <c r="O113" i="3" s="1"/>
  <c r="D96" i="7" s="1"/>
  <c r="H113" i="3"/>
  <c r="G113" i="3"/>
  <c r="F113" i="3"/>
  <c r="Q110" i="3"/>
  <c r="P110" i="3"/>
  <c r="N110" i="3"/>
  <c r="M110" i="3"/>
  <c r="O110" i="3" s="1"/>
  <c r="D93" i="7" s="1"/>
  <c r="H110" i="3"/>
  <c r="G110" i="3"/>
  <c r="F110" i="3"/>
  <c r="Q108" i="3"/>
  <c r="P108" i="3"/>
  <c r="N108" i="3"/>
  <c r="M108" i="3"/>
  <c r="O108" i="3" s="1"/>
  <c r="D91" i="7" s="1"/>
  <c r="H108" i="3"/>
  <c r="G108" i="3"/>
  <c r="F108" i="3"/>
  <c r="Q106" i="3"/>
  <c r="P106" i="3"/>
  <c r="N106" i="3"/>
  <c r="M106" i="3"/>
  <c r="O106" i="3" s="1"/>
  <c r="D89" i="7" s="1"/>
  <c r="H106" i="3"/>
  <c r="G106" i="3"/>
  <c r="F106" i="3"/>
  <c r="Q104" i="3"/>
  <c r="P104" i="3"/>
  <c r="N104" i="3"/>
  <c r="M104" i="3"/>
  <c r="O104" i="3" s="1"/>
  <c r="D87" i="7" s="1"/>
  <c r="H104" i="3"/>
  <c r="G104" i="3"/>
  <c r="F104" i="3"/>
  <c r="Q102" i="3"/>
  <c r="P102" i="3"/>
  <c r="N102" i="3"/>
  <c r="M102" i="3"/>
  <c r="O102" i="3" s="1"/>
  <c r="D85" i="7" s="1"/>
  <c r="H102" i="3"/>
  <c r="G102" i="3"/>
  <c r="F102" i="3"/>
  <c r="Q100" i="3"/>
  <c r="P100" i="3"/>
  <c r="N100" i="3"/>
  <c r="M100" i="3"/>
  <c r="O100" i="3" s="1"/>
  <c r="D83" i="7" s="1"/>
  <c r="H100" i="3"/>
  <c r="G100" i="3"/>
  <c r="F100" i="3"/>
  <c r="Q98" i="3"/>
  <c r="P98" i="3"/>
  <c r="N98" i="3"/>
  <c r="M98" i="3"/>
  <c r="O98" i="3" s="1"/>
  <c r="D81" i="7" s="1"/>
  <c r="H98" i="3"/>
  <c r="G98" i="3"/>
  <c r="F98" i="3"/>
  <c r="Q96" i="3"/>
  <c r="P96" i="3"/>
  <c r="N96" i="3"/>
  <c r="M96" i="3"/>
  <c r="O96" i="3" s="1"/>
  <c r="D79" i="7" s="1"/>
  <c r="H96" i="3"/>
  <c r="G96" i="3"/>
  <c r="F96" i="3"/>
  <c r="Q94" i="3"/>
  <c r="P94" i="3"/>
  <c r="N94" i="3"/>
  <c r="M94" i="3"/>
  <c r="O94" i="3" s="1"/>
  <c r="D77" i="7" s="1"/>
  <c r="H94" i="3"/>
  <c r="G94" i="3"/>
  <c r="F94" i="3"/>
  <c r="Q92" i="3"/>
  <c r="P92" i="3"/>
  <c r="N92" i="3"/>
  <c r="M92" i="3"/>
  <c r="O92" i="3" s="1"/>
  <c r="D75" i="7" s="1"/>
  <c r="H92" i="3"/>
  <c r="G92" i="3"/>
  <c r="F92" i="3"/>
  <c r="Q89" i="3"/>
  <c r="P89" i="3"/>
  <c r="N89" i="3"/>
  <c r="M89" i="3"/>
  <c r="O89" i="3" s="1"/>
  <c r="D72" i="7" s="1"/>
  <c r="H89" i="3"/>
  <c r="G89" i="3"/>
  <c r="F89" i="3"/>
  <c r="Q87" i="3"/>
  <c r="P87" i="3"/>
  <c r="N87" i="3"/>
  <c r="M87" i="3"/>
  <c r="O87" i="3" s="1"/>
  <c r="D70" i="7" s="1"/>
  <c r="H87" i="3"/>
  <c r="G87" i="3"/>
  <c r="F87" i="3"/>
  <c r="Q85" i="3"/>
  <c r="P85" i="3"/>
  <c r="N85" i="3"/>
  <c r="M85" i="3"/>
  <c r="O85" i="3" s="1"/>
  <c r="D68" i="7" s="1"/>
  <c r="H85" i="3"/>
  <c r="G85" i="3"/>
  <c r="F85" i="3"/>
  <c r="Q83" i="3"/>
  <c r="P83" i="3"/>
  <c r="N83" i="3"/>
  <c r="M83" i="3"/>
  <c r="O83" i="3" s="1"/>
  <c r="D66" i="7" s="1"/>
  <c r="H83" i="3"/>
  <c r="G83" i="3"/>
  <c r="F83" i="3"/>
  <c r="Q81" i="3"/>
  <c r="P81" i="3"/>
  <c r="N81" i="3"/>
  <c r="M81" i="3"/>
  <c r="O81" i="3" s="1"/>
  <c r="D64" i="7" s="1"/>
  <c r="H81" i="3"/>
  <c r="G81" i="3"/>
  <c r="F81" i="3"/>
  <c r="Q79" i="3"/>
  <c r="P79" i="3"/>
  <c r="N79" i="3"/>
  <c r="M79" i="3"/>
  <c r="O79" i="3" s="1"/>
  <c r="D62" i="7" s="1"/>
  <c r="H79" i="3"/>
  <c r="G79" i="3"/>
  <c r="F79" i="3"/>
  <c r="Q77" i="3"/>
  <c r="P77" i="3"/>
  <c r="N77" i="3"/>
  <c r="M77" i="3"/>
  <c r="O77" i="3" s="1"/>
  <c r="D60" i="7" s="1"/>
  <c r="H77" i="3"/>
  <c r="G77" i="3"/>
  <c r="F77" i="3"/>
  <c r="Q75" i="3"/>
  <c r="P75" i="3"/>
  <c r="N75" i="3"/>
  <c r="M75" i="3"/>
  <c r="O75" i="3" s="1"/>
  <c r="D58" i="7" s="1"/>
  <c r="H75" i="3"/>
  <c r="G75" i="3"/>
  <c r="F75" i="3"/>
  <c r="Q73" i="3"/>
  <c r="P73" i="3"/>
  <c r="N73" i="3"/>
  <c r="M73" i="3"/>
  <c r="O73" i="3" s="1"/>
  <c r="D56" i="7" s="1"/>
  <c r="H73" i="3"/>
  <c r="G73" i="3"/>
  <c r="F73" i="3"/>
  <c r="Q71" i="3"/>
  <c r="P71" i="3"/>
  <c r="N71" i="3"/>
  <c r="M71" i="3"/>
  <c r="O71" i="3" s="1"/>
  <c r="D54" i="7" s="1"/>
  <c r="H71" i="3"/>
  <c r="G71" i="3"/>
  <c r="F71" i="3"/>
  <c r="R68" i="3"/>
  <c r="Q68" i="3"/>
  <c r="P68" i="3"/>
  <c r="N68" i="3"/>
  <c r="M68" i="3"/>
  <c r="O68" i="3" s="1"/>
  <c r="D51" i="7" s="1"/>
  <c r="H68" i="3"/>
  <c r="G68" i="3"/>
  <c r="F68" i="3"/>
  <c r="R66" i="3"/>
  <c r="Q66" i="3"/>
  <c r="P66" i="3"/>
  <c r="N66" i="3"/>
  <c r="M66" i="3"/>
  <c r="O66" i="3" s="1"/>
  <c r="D49" i="7" s="1"/>
  <c r="H66" i="3"/>
  <c r="G66" i="3"/>
  <c r="F66" i="3"/>
  <c r="R64" i="3"/>
  <c r="Q64" i="3"/>
  <c r="P64" i="3"/>
  <c r="N64" i="3"/>
  <c r="M64" i="3"/>
  <c r="O64" i="3" s="1"/>
  <c r="D47" i="7" s="1"/>
  <c r="H64" i="3"/>
  <c r="G64" i="3"/>
  <c r="F64" i="3"/>
  <c r="R62" i="3"/>
  <c r="Q62" i="3"/>
  <c r="P62" i="3"/>
  <c r="N62" i="3"/>
  <c r="M62" i="3"/>
  <c r="O62" i="3" s="1"/>
  <c r="D45" i="7" s="1"/>
  <c r="H62" i="3"/>
  <c r="G62" i="3"/>
  <c r="F62" i="3"/>
  <c r="R60" i="3"/>
  <c r="Q60" i="3"/>
  <c r="P60" i="3"/>
  <c r="N60" i="3"/>
  <c r="M60" i="3"/>
  <c r="O60" i="3" s="1"/>
  <c r="D43" i="7" s="1"/>
  <c r="H60" i="3"/>
  <c r="G60" i="3"/>
  <c r="F60" i="3"/>
  <c r="R58" i="3"/>
  <c r="Q58" i="3"/>
  <c r="P58" i="3"/>
  <c r="N58" i="3"/>
  <c r="M58" i="3"/>
  <c r="O58" i="3" s="1"/>
  <c r="D41" i="7" s="1"/>
  <c r="H58" i="3"/>
  <c r="G58" i="3"/>
  <c r="F58" i="3"/>
  <c r="R56" i="3"/>
  <c r="Q56" i="3"/>
  <c r="P56" i="3"/>
  <c r="N56" i="3"/>
  <c r="M56" i="3"/>
  <c r="O56" i="3" s="1"/>
  <c r="D39" i="7" s="1"/>
  <c r="H56" i="3"/>
  <c r="G56" i="3"/>
  <c r="F56" i="3"/>
  <c r="R54" i="3"/>
  <c r="Q54" i="3"/>
  <c r="P54" i="3"/>
  <c r="N54" i="3"/>
  <c r="M54" i="3"/>
  <c r="O54" i="3" s="1"/>
  <c r="D37" i="7" s="1"/>
  <c r="H54" i="3"/>
  <c r="G54" i="3"/>
  <c r="F54" i="3"/>
  <c r="R52" i="3"/>
  <c r="Q52" i="3"/>
  <c r="P52" i="3"/>
  <c r="N52" i="3"/>
  <c r="M52" i="3"/>
  <c r="F52" i="3"/>
  <c r="R50" i="3"/>
  <c r="Q50" i="3"/>
  <c r="P50" i="3"/>
  <c r="N50" i="3"/>
  <c r="G50" i="3" s="1"/>
  <c r="M50" i="3"/>
  <c r="Q47" i="3"/>
  <c r="P47" i="3"/>
  <c r="N47" i="3"/>
  <c r="M47" i="3"/>
  <c r="O47" i="3" s="1"/>
  <c r="D30" i="7" s="1"/>
  <c r="H47" i="3"/>
  <c r="G47" i="3"/>
  <c r="F47" i="3"/>
  <c r="Q45" i="3"/>
  <c r="P45" i="3"/>
  <c r="N45" i="3"/>
  <c r="M45" i="3"/>
  <c r="O45" i="3" s="1"/>
  <c r="D28" i="7" s="1"/>
  <c r="H45" i="3"/>
  <c r="G45" i="3"/>
  <c r="F45" i="3"/>
  <c r="Q43" i="3"/>
  <c r="P43" i="3"/>
  <c r="N43" i="3"/>
  <c r="M43" i="3"/>
  <c r="O43" i="3" s="1"/>
  <c r="D26" i="7" s="1"/>
  <c r="H43" i="3"/>
  <c r="G43" i="3"/>
  <c r="F43" i="3"/>
  <c r="Q41" i="3"/>
  <c r="P41" i="3"/>
  <c r="N41" i="3"/>
  <c r="M41" i="3"/>
  <c r="O41" i="3" s="1"/>
  <c r="D24" i="7" s="1"/>
  <c r="H41" i="3"/>
  <c r="G41" i="3"/>
  <c r="F41" i="3"/>
  <c r="Q39" i="3"/>
  <c r="P39" i="3"/>
  <c r="N39" i="3"/>
  <c r="M39" i="3"/>
  <c r="O39" i="3" s="1"/>
  <c r="D22" i="7" s="1"/>
  <c r="H39" i="3"/>
  <c r="G39" i="3"/>
  <c r="F39" i="3"/>
  <c r="Q37" i="3"/>
  <c r="P37" i="3"/>
  <c r="N37" i="3"/>
  <c r="M37" i="3"/>
  <c r="O37" i="3" s="1"/>
  <c r="D20" i="7" s="1"/>
  <c r="H37" i="3"/>
  <c r="G37" i="3"/>
  <c r="F37" i="3"/>
  <c r="Q35" i="3"/>
  <c r="P35" i="3"/>
  <c r="N35" i="3"/>
  <c r="M35" i="3"/>
  <c r="O35" i="3" s="1"/>
  <c r="D18" i="7" s="1"/>
  <c r="H35" i="3"/>
  <c r="G35" i="3"/>
  <c r="F35" i="3"/>
  <c r="Q33" i="3"/>
  <c r="P33" i="3"/>
  <c r="N33" i="3"/>
  <c r="M33" i="3"/>
  <c r="O33" i="3" s="1"/>
  <c r="D16" i="7" s="1"/>
  <c r="H33" i="3"/>
  <c r="G33" i="3"/>
  <c r="F33" i="3"/>
  <c r="Q31" i="3"/>
  <c r="P31" i="3"/>
  <c r="N31" i="3"/>
  <c r="M31" i="3"/>
  <c r="O31" i="3" s="1"/>
  <c r="D14" i="7" s="1"/>
  <c r="H31" i="3"/>
  <c r="G31" i="3"/>
  <c r="F31" i="3"/>
  <c r="Q29" i="3"/>
  <c r="P29" i="3"/>
  <c r="N29" i="3"/>
  <c r="M29" i="3"/>
  <c r="G29" i="3"/>
  <c r="F29" i="3"/>
  <c r="D18" i="3"/>
  <c r="D17" i="3"/>
  <c r="D15" i="3"/>
  <c r="D14" i="3"/>
  <c r="D13" i="3"/>
  <c r="D12" i="3"/>
  <c r="D11" i="3"/>
  <c r="G1235" i="2"/>
  <c r="G1229" i="2"/>
  <c r="H1228" i="2"/>
  <c r="J1222" i="2"/>
  <c r="G1222" i="2"/>
  <c r="F1222" i="2"/>
  <c r="E1222" i="2"/>
  <c r="D1222" i="2"/>
  <c r="J1221" i="2"/>
  <c r="G1221" i="2"/>
  <c r="F1221" i="2"/>
  <c r="E1221" i="2"/>
  <c r="D1221" i="2"/>
  <c r="J1220" i="2"/>
  <c r="G1220" i="2"/>
  <c r="F1220" i="2"/>
  <c r="E1220" i="2"/>
  <c r="D1220" i="2"/>
  <c r="J1219" i="2"/>
  <c r="G1219" i="2"/>
  <c r="F1219" i="2"/>
  <c r="E1219" i="2"/>
  <c r="D1219" i="2"/>
  <c r="J1218" i="2"/>
  <c r="G1218" i="2"/>
  <c r="F1218" i="2"/>
  <c r="E1218" i="2"/>
  <c r="D1218" i="2"/>
  <c r="J1217" i="2"/>
  <c r="G1217" i="2"/>
  <c r="F1217" i="2"/>
  <c r="E1217" i="2"/>
  <c r="D1217" i="2"/>
  <c r="J1216" i="2"/>
  <c r="G1216" i="2"/>
  <c r="F1216" i="2"/>
  <c r="E1216" i="2"/>
  <c r="D1216" i="2"/>
  <c r="J1215" i="2"/>
  <c r="G1215" i="2"/>
  <c r="F1215" i="2"/>
  <c r="E1215" i="2"/>
  <c r="D1215" i="2"/>
  <c r="J1214" i="2"/>
  <c r="G1214" i="2"/>
  <c r="F1214" i="2"/>
  <c r="E1214" i="2"/>
  <c r="D1214" i="2"/>
  <c r="J1213" i="2"/>
  <c r="G1213" i="2"/>
  <c r="F1213" i="2"/>
  <c r="E1213" i="2"/>
  <c r="D1213" i="2"/>
  <c r="J1212" i="2"/>
  <c r="G1212" i="2"/>
  <c r="F1212" i="2"/>
  <c r="E1212" i="2"/>
  <c r="D1212" i="2"/>
  <c r="J1211" i="2"/>
  <c r="K1223" i="2" s="1"/>
  <c r="G1211" i="2"/>
  <c r="F1211" i="2"/>
  <c r="E1211" i="2"/>
  <c r="D1211" i="2"/>
  <c r="J1209" i="2"/>
  <c r="G1209" i="2"/>
  <c r="F1209" i="2"/>
  <c r="E1209" i="2"/>
  <c r="D1209" i="2"/>
  <c r="J1208" i="2"/>
  <c r="G1208" i="2" s="1"/>
  <c r="D1208" i="2" s="1"/>
  <c r="F1208" i="2"/>
  <c r="E1208" i="2"/>
  <c r="J1207" i="2"/>
  <c r="G1207" i="2"/>
  <c r="F1207" i="2"/>
  <c r="E1207" i="2"/>
  <c r="D1207" i="2"/>
  <c r="J1206" i="2"/>
  <c r="G1206" i="2" s="1"/>
  <c r="D1206" i="2" s="1"/>
  <c r="F1206" i="2"/>
  <c r="E1206" i="2"/>
  <c r="J1205" i="2"/>
  <c r="G1205" i="2" s="1"/>
  <c r="D1205" i="2" s="1"/>
  <c r="F1205" i="2"/>
  <c r="E1205" i="2"/>
  <c r="J1204" i="2"/>
  <c r="G1204" i="2" s="1"/>
  <c r="D1204" i="2" s="1"/>
  <c r="F1204" i="2"/>
  <c r="E1204" i="2"/>
  <c r="J1203" i="2"/>
  <c r="G1203" i="2"/>
  <c r="F1203" i="2"/>
  <c r="E1203" i="2"/>
  <c r="D1203" i="2"/>
  <c r="J1202" i="2"/>
  <c r="G1202" i="2" s="1"/>
  <c r="D1202" i="2" s="1"/>
  <c r="F1202" i="2"/>
  <c r="E1202" i="2"/>
  <c r="J1201" i="2"/>
  <c r="G1201" i="2" s="1"/>
  <c r="D1201" i="2" s="1"/>
  <c r="F1201" i="2"/>
  <c r="E1201" i="2"/>
  <c r="J1200" i="2"/>
  <c r="G1200" i="2" s="1"/>
  <c r="D1200" i="2" s="1"/>
  <c r="F1200" i="2"/>
  <c r="E1200" i="2"/>
  <c r="J1199" i="2"/>
  <c r="G1199" i="2" s="1"/>
  <c r="D1199" i="2" s="1"/>
  <c r="F1199" i="2"/>
  <c r="E1199" i="2"/>
  <c r="J1198" i="2"/>
  <c r="F1198" i="2"/>
  <c r="E1198" i="2"/>
  <c r="J1194" i="2"/>
  <c r="G1194" i="2" s="1"/>
  <c r="D1194" i="2" s="1"/>
  <c r="F1194" i="2"/>
  <c r="E1194" i="2"/>
  <c r="J1193" i="2"/>
  <c r="G1193" i="2" s="1"/>
  <c r="D1193" i="2" s="1"/>
  <c r="F1193" i="2"/>
  <c r="E1193" i="2"/>
  <c r="J1192" i="2"/>
  <c r="G1192" i="2" s="1"/>
  <c r="D1192" i="2" s="1"/>
  <c r="F1192" i="2"/>
  <c r="E1192" i="2"/>
  <c r="J1191" i="2"/>
  <c r="G1191" i="2" s="1"/>
  <c r="D1191" i="2" s="1"/>
  <c r="F1191" i="2"/>
  <c r="E1191" i="2"/>
  <c r="J1190" i="2"/>
  <c r="G1190" i="2" s="1"/>
  <c r="D1190" i="2" s="1"/>
  <c r="F1190" i="2"/>
  <c r="E1190" i="2"/>
  <c r="J1189" i="2"/>
  <c r="G1189" i="2" s="1"/>
  <c r="D1189" i="2" s="1"/>
  <c r="F1189" i="2"/>
  <c r="E1189" i="2"/>
  <c r="J1188" i="2"/>
  <c r="G1188" i="2" s="1"/>
  <c r="D1188" i="2" s="1"/>
  <c r="F1188" i="2"/>
  <c r="E1188" i="2"/>
  <c r="J1187" i="2"/>
  <c r="G1187" i="2" s="1"/>
  <c r="D1187" i="2" s="1"/>
  <c r="F1187" i="2"/>
  <c r="E1187" i="2"/>
  <c r="J1186" i="2"/>
  <c r="G1186" i="2" s="1"/>
  <c r="D1186" i="2" s="1"/>
  <c r="F1186" i="2"/>
  <c r="E1186" i="2"/>
  <c r="J1185" i="2"/>
  <c r="G1185" i="2" s="1"/>
  <c r="D1185" i="2" s="1"/>
  <c r="F1185" i="2"/>
  <c r="E1185" i="2"/>
  <c r="J1184" i="2"/>
  <c r="G1184" i="2" s="1"/>
  <c r="D1184" i="2" s="1"/>
  <c r="F1184" i="2"/>
  <c r="E1184" i="2"/>
  <c r="J1183" i="2"/>
  <c r="K1195" i="2" s="1"/>
  <c r="G1183" i="2"/>
  <c r="F1183" i="2"/>
  <c r="E1183" i="2"/>
  <c r="D1183" i="2"/>
  <c r="J1181" i="2"/>
  <c r="G1181" i="2" s="1"/>
  <c r="D1181" i="2" s="1"/>
  <c r="F1181" i="2"/>
  <c r="E1181" i="2"/>
  <c r="J1180" i="2"/>
  <c r="G1180" i="2" s="1"/>
  <c r="D1180" i="2" s="1"/>
  <c r="F1180" i="2"/>
  <c r="E1180" i="2"/>
  <c r="J1179" i="2"/>
  <c r="G1179" i="2" s="1"/>
  <c r="D1179" i="2" s="1"/>
  <c r="F1179" i="2"/>
  <c r="E1179" i="2"/>
  <c r="J1178" i="2"/>
  <c r="G1178" i="2" s="1"/>
  <c r="D1178" i="2" s="1"/>
  <c r="F1178" i="2"/>
  <c r="E1178" i="2"/>
  <c r="J1177" i="2"/>
  <c r="G1177" i="2" s="1"/>
  <c r="D1177" i="2" s="1"/>
  <c r="F1177" i="2"/>
  <c r="E1177" i="2"/>
  <c r="J1176" i="2"/>
  <c r="G1176" i="2" s="1"/>
  <c r="D1176" i="2" s="1"/>
  <c r="F1176" i="2"/>
  <c r="E1176" i="2"/>
  <c r="J1175" i="2"/>
  <c r="G1175" i="2" s="1"/>
  <c r="D1175" i="2" s="1"/>
  <c r="F1175" i="2"/>
  <c r="E1175" i="2"/>
  <c r="J1174" i="2"/>
  <c r="G1174" i="2" s="1"/>
  <c r="D1174" i="2" s="1"/>
  <c r="F1174" i="2"/>
  <c r="E1174" i="2"/>
  <c r="J1173" i="2"/>
  <c r="G1173" i="2" s="1"/>
  <c r="D1173" i="2" s="1"/>
  <c r="F1173" i="2"/>
  <c r="E1173" i="2"/>
  <c r="J1172" i="2"/>
  <c r="G1172" i="2" s="1"/>
  <c r="D1172" i="2" s="1"/>
  <c r="F1172" i="2"/>
  <c r="E1172" i="2"/>
  <c r="J1171" i="2"/>
  <c r="G1171" i="2" s="1"/>
  <c r="D1171" i="2" s="1"/>
  <c r="F1171" i="2"/>
  <c r="E1171" i="2"/>
  <c r="J1170" i="2"/>
  <c r="F1170" i="2"/>
  <c r="E1170" i="2"/>
  <c r="J1166" i="2"/>
  <c r="G1166" i="2"/>
  <c r="F1166" i="2"/>
  <c r="E1166" i="2"/>
  <c r="D1166" i="2"/>
  <c r="J1165" i="2"/>
  <c r="G1165" i="2" s="1"/>
  <c r="D1165" i="2" s="1"/>
  <c r="F1165" i="2"/>
  <c r="E1165" i="2"/>
  <c r="J1164" i="2"/>
  <c r="G1164" i="2" s="1"/>
  <c r="D1164" i="2" s="1"/>
  <c r="F1164" i="2"/>
  <c r="E1164" i="2"/>
  <c r="J1163" i="2"/>
  <c r="G1163" i="2" s="1"/>
  <c r="D1163" i="2" s="1"/>
  <c r="F1163" i="2"/>
  <c r="E1163" i="2"/>
  <c r="J1162" i="2"/>
  <c r="G1162" i="2" s="1"/>
  <c r="D1162" i="2" s="1"/>
  <c r="F1162" i="2"/>
  <c r="E1162" i="2"/>
  <c r="J1161" i="2"/>
  <c r="G1161" i="2" s="1"/>
  <c r="D1161" i="2" s="1"/>
  <c r="F1161" i="2"/>
  <c r="E1161" i="2"/>
  <c r="J1160" i="2"/>
  <c r="G1160" i="2" s="1"/>
  <c r="D1160" i="2" s="1"/>
  <c r="F1160" i="2"/>
  <c r="E1160" i="2"/>
  <c r="J1159" i="2"/>
  <c r="G1159" i="2" s="1"/>
  <c r="D1159" i="2" s="1"/>
  <c r="F1159" i="2"/>
  <c r="E1159" i="2"/>
  <c r="J1158" i="2"/>
  <c r="G1158" i="2" s="1"/>
  <c r="D1158" i="2" s="1"/>
  <c r="F1158" i="2"/>
  <c r="E1158" i="2"/>
  <c r="J1157" i="2"/>
  <c r="G1157" i="2" s="1"/>
  <c r="D1157" i="2" s="1"/>
  <c r="F1157" i="2"/>
  <c r="E1157" i="2"/>
  <c r="J1156" i="2"/>
  <c r="G1156" i="2"/>
  <c r="F1156" i="2"/>
  <c r="E1156" i="2"/>
  <c r="D1156" i="2"/>
  <c r="J1155" i="2"/>
  <c r="F1155" i="2"/>
  <c r="E1155" i="2"/>
  <c r="J1153" i="2"/>
  <c r="G1153" i="2" s="1"/>
  <c r="D1153" i="2" s="1"/>
  <c r="F1153" i="2"/>
  <c r="E1153" i="2"/>
  <c r="J1152" i="2"/>
  <c r="G1152" i="2" s="1"/>
  <c r="D1152" i="2" s="1"/>
  <c r="F1152" i="2"/>
  <c r="E1152" i="2"/>
  <c r="J1151" i="2"/>
  <c r="G1151" i="2" s="1"/>
  <c r="D1151" i="2" s="1"/>
  <c r="F1151" i="2"/>
  <c r="E1151" i="2"/>
  <c r="J1150" i="2"/>
  <c r="G1150" i="2" s="1"/>
  <c r="D1150" i="2" s="1"/>
  <c r="F1150" i="2"/>
  <c r="E1150" i="2"/>
  <c r="J1149" i="2"/>
  <c r="G1149" i="2" s="1"/>
  <c r="D1149" i="2" s="1"/>
  <c r="F1149" i="2"/>
  <c r="E1149" i="2"/>
  <c r="J1148" i="2"/>
  <c r="G1148" i="2" s="1"/>
  <c r="D1148" i="2" s="1"/>
  <c r="F1148" i="2"/>
  <c r="E1148" i="2"/>
  <c r="J1147" i="2"/>
  <c r="G1147" i="2" s="1"/>
  <c r="D1147" i="2" s="1"/>
  <c r="F1147" i="2"/>
  <c r="E1147" i="2"/>
  <c r="J1146" i="2"/>
  <c r="G1146" i="2"/>
  <c r="F1146" i="2"/>
  <c r="E1146" i="2"/>
  <c r="D1146" i="2"/>
  <c r="J1145" i="2"/>
  <c r="G1145" i="2" s="1"/>
  <c r="D1145" i="2" s="1"/>
  <c r="F1145" i="2"/>
  <c r="E1145" i="2"/>
  <c r="J1144" i="2"/>
  <c r="G1144" i="2" s="1"/>
  <c r="D1144" i="2" s="1"/>
  <c r="F1144" i="2"/>
  <c r="E1144" i="2"/>
  <c r="J1143" i="2"/>
  <c r="G1143" i="2" s="1"/>
  <c r="D1143" i="2" s="1"/>
  <c r="F1143" i="2"/>
  <c r="E1143" i="2"/>
  <c r="J1142" i="2"/>
  <c r="F1142" i="2"/>
  <c r="E1142" i="2"/>
  <c r="J1138" i="2"/>
  <c r="G1138" i="2" s="1"/>
  <c r="D1138" i="2" s="1"/>
  <c r="F1138" i="2"/>
  <c r="E1138" i="2"/>
  <c r="J1137" i="2"/>
  <c r="G1137" i="2" s="1"/>
  <c r="D1137" i="2" s="1"/>
  <c r="F1137" i="2"/>
  <c r="E1137" i="2"/>
  <c r="J1136" i="2"/>
  <c r="G1136" i="2" s="1"/>
  <c r="D1136" i="2" s="1"/>
  <c r="F1136" i="2"/>
  <c r="E1136" i="2"/>
  <c r="J1135" i="2"/>
  <c r="G1135" i="2" s="1"/>
  <c r="D1135" i="2" s="1"/>
  <c r="F1135" i="2"/>
  <c r="E1135" i="2"/>
  <c r="J1134" i="2"/>
  <c r="G1134" i="2" s="1"/>
  <c r="D1134" i="2" s="1"/>
  <c r="F1134" i="2"/>
  <c r="E1134" i="2"/>
  <c r="J1133" i="2"/>
  <c r="E1133" i="2"/>
  <c r="J1132" i="2"/>
  <c r="E1132" i="2"/>
  <c r="J1131" i="2"/>
  <c r="E1131" i="2"/>
  <c r="J1130" i="2"/>
  <c r="E1130" i="2"/>
  <c r="J1129" i="2"/>
  <c r="E1129" i="2"/>
  <c r="J1128" i="2"/>
  <c r="E1128" i="2"/>
  <c r="J1127" i="2"/>
  <c r="E1127" i="2"/>
  <c r="J1125" i="2"/>
  <c r="G1125" i="2" s="1"/>
  <c r="D1125" i="2" s="1"/>
  <c r="F1125" i="2"/>
  <c r="E1125" i="2"/>
  <c r="J1124" i="2"/>
  <c r="G1124" i="2" s="1"/>
  <c r="D1124" i="2" s="1"/>
  <c r="F1124" i="2"/>
  <c r="E1124" i="2"/>
  <c r="J1123" i="2"/>
  <c r="G1123" i="2" s="1"/>
  <c r="D1123" i="2" s="1"/>
  <c r="F1123" i="2"/>
  <c r="E1123" i="2"/>
  <c r="J1122" i="2"/>
  <c r="G1122" i="2" s="1"/>
  <c r="D1122" i="2" s="1"/>
  <c r="F1122" i="2"/>
  <c r="E1122" i="2"/>
  <c r="J1121" i="2"/>
  <c r="G1121" i="2" s="1"/>
  <c r="D1121" i="2" s="1"/>
  <c r="F1121" i="2"/>
  <c r="E1121" i="2"/>
  <c r="J1120" i="2"/>
  <c r="G1120" i="2" s="1"/>
  <c r="D1120" i="2" s="1"/>
  <c r="F1120" i="2"/>
  <c r="E1120" i="2"/>
  <c r="J1119" i="2"/>
  <c r="E1119" i="2"/>
  <c r="J1118" i="2"/>
  <c r="E1118" i="2"/>
  <c r="J1117" i="2"/>
  <c r="E1117" i="2"/>
  <c r="J1116" i="2"/>
  <c r="E1116" i="2"/>
  <c r="J1115" i="2"/>
  <c r="E1115" i="2"/>
  <c r="J1114" i="2"/>
  <c r="E1114" i="2"/>
  <c r="J1110" i="2"/>
  <c r="G1110" i="2"/>
  <c r="F1110" i="2"/>
  <c r="E1110" i="2"/>
  <c r="D1110" i="2"/>
  <c r="J1109" i="2"/>
  <c r="F1109" i="2"/>
  <c r="E1109" i="2"/>
  <c r="B1108" i="2"/>
  <c r="J1107" i="2"/>
  <c r="G1107" i="2" s="1"/>
  <c r="D1107" i="2" s="1"/>
  <c r="F1107" i="2"/>
  <c r="E1107" i="2"/>
  <c r="J1106" i="2"/>
  <c r="G1106" i="2"/>
  <c r="F1106" i="2"/>
  <c r="E1106" i="2"/>
  <c r="D1106" i="2"/>
  <c r="B1105" i="2"/>
  <c r="J1104" i="2"/>
  <c r="G1104" i="2"/>
  <c r="F1104" i="2"/>
  <c r="E1104" i="2"/>
  <c r="D1104" i="2"/>
  <c r="J1103" i="2"/>
  <c r="K1105" i="2" s="1"/>
  <c r="G1103" i="2"/>
  <c r="F1103" i="2"/>
  <c r="E1103" i="2"/>
  <c r="D1103" i="2"/>
  <c r="B1102" i="2"/>
  <c r="J1101" i="2"/>
  <c r="G1101" i="2"/>
  <c r="F1101" i="2"/>
  <c r="E1101" i="2"/>
  <c r="D1101" i="2"/>
  <c r="J1100" i="2"/>
  <c r="K1102" i="2" s="1"/>
  <c r="G1100" i="2"/>
  <c r="F1100" i="2"/>
  <c r="E1100" i="2"/>
  <c r="D1100" i="2"/>
  <c r="B1099" i="2"/>
  <c r="J1098" i="2"/>
  <c r="G1098" i="2"/>
  <c r="F1098" i="2"/>
  <c r="E1098" i="2"/>
  <c r="D1098" i="2"/>
  <c r="J1097" i="2"/>
  <c r="K1099" i="2" s="1"/>
  <c r="G1097" i="2"/>
  <c r="F1097" i="2"/>
  <c r="E1097" i="2"/>
  <c r="D1097" i="2"/>
  <c r="B1096" i="2"/>
  <c r="J1095" i="2"/>
  <c r="G1095" i="2"/>
  <c r="F1095" i="2"/>
  <c r="E1095" i="2"/>
  <c r="D1095" i="2"/>
  <c r="J1094" i="2"/>
  <c r="F1094" i="2"/>
  <c r="E1094" i="2"/>
  <c r="B1093" i="2"/>
  <c r="J1092" i="2"/>
  <c r="G1092" i="2"/>
  <c r="D1092" i="2" s="1"/>
  <c r="F1092" i="2"/>
  <c r="E1092" i="2"/>
  <c r="J1091" i="2"/>
  <c r="F1091" i="2"/>
  <c r="E1091" i="2"/>
  <c r="B1090" i="2"/>
  <c r="J1089" i="2"/>
  <c r="G1089" i="2"/>
  <c r="D1089" i="2" s="1"/>
  <c r="F1089" i="2"/>
  <c r="E1089" i="2"/>
  <c r="J1088" i="2"/>
  <c r="F1088" i="2"/>
  <c r="E1088" i="2"/>
  <c r="B1087" i="2"/>
  <c r="J1086" i="2"/>
  <c r="G1086" i="2"/>
  <c r="F1086" i="2"/>
  <c r="E1086" i="2"/>
  <c r="D1086" i="2"/>
  <c r="J1085" i="2"/>
  <c r="F1085" i="2"/>
  <c r="E1085" i="2"/>
  <c r="B1084" i="2"/>
  <c r="J1083" i="2"/>
  <c r="G1083" i="2"/>
  <c r="D1083" i="2" s="1"/>
  <c r="F1083" i="2"/>
  <c r="E1083" i="2"/>
  <c r="J1082" i="2"/>
  <c r="K1084" i="2" s="1"/>
  <c r="G1082" i="2"/>
  <c r="D1082" i="2" s="1"/>
  <c r="F1082" i="2"/>
  <c r="E1082" i="2"/>
  <c r="B1081" i="2"/>
  <c r="J1080" i="2"/>
  <c r="G1080" i="2"/>
  <c r="D1080" i="2" s="1"/>
  <c r="F1080" i="2"/>
  <c r="E1080" i="2"/>
  <c r="J1079" i="2"/>
  <c r="K1081" i="2" s="1"/>
  <c r="G1079" i="2"/>
  <c r="F1079" i="2"/>
  <c r="E1079" i="2"/>
  <c r="D1079" i="2"/>
  <c r="B1078" i="2"/>
  <c r="J1077" i="2"/>
  <c r="G1077" i="2"/>
  <c r="F1077" i="2"/>
  <c r="E1077" i="2"/>
  <c r="D1077" i="2"/>
  <c r="J1076" i="2"/>
  <c r="F1076" i="2"/>
  <c r="E1076" i="2"/>
  <c r="B1075" i="2"/>
  <c r="J1074" i="2"/>
  <c r="G1074" i="2"/>
  <c r="F1074" i="2"/>
  <c r="E1074" i="2"/>
  <c r="D1074" i="2"/>
  <c r="J1073" i="2"/>
  <c r="K1075" i="2" s="1"/>
  <c r="G1073" i="2"/>
  <c r="F1073" i="2"/>
  <c r="E1073" i="2"/>
  <c r="D1073" i="2"/>
  <c r="B1072" i="2"/>
  <c r="J1071" i="2"/>
  <c r="G1071" i="2"/>
  <c r="F1071" i="2"/>
  <c r="E1071" i="2"/>
  <c r="D1071" i="2"/>
  <c r="J1070" i="2"/>
  <c r="K1072" i="2" s="1"/>
  <c r="G1070" i="2"/>
  <c r="D1070" i="2" s="1"/>
  <c r="F1070" i="2"/>
  <c r="E1070" i="2"/>
  <c r="B1069" i="2"/>
  <c r="J1068" i="2"/>
  <c r="G1068" i="2"/>
  <c r="F1068" i="2"/>
  <c r="E1068" i="2"/>
  <c r="D1068" i="2"/>
  <c r="J1067" i="2"/>
  <c r="K1069" i="2" s="1"/>
  <c r="G1067" i="2"/>
  <c r="F1067" i="2"/>
  <c r="E1067" i="2"/>
  <c r="D1067" i="2"/>
  <c r="B1066" i="2"/>
  <c r="J1065" i="2"/>
  <c r="G1065" i="2"/>
  <c r="F1065" i="2"/>
  <c r="E1065" i="2"/>
  <c r="D1065" i="2"/>
  <c r="J1064" i="2"/>
  <c r="K1066" i="2" s="1"/>
  <c r="G1064" i="2"/>
  <c r="D1064" i="2" s="1"/>
  <c r="F1064" i="2"/>
  <c r="E1064" i="2"/>
  <c r="B1063" i="2"/>
  <c r="J1062" i="2"/>
  <c r="G1062" i="2"/>
  <c r="F1062" i="2"/>
  <c r="E1062" i="2"/>
  <c r="D1062" i="2"/>
  <c r="J1061" i="2"/>
  <c r="F1061" i="2"/>
  <c r="E1061" i="2"/>
  <c r="B1060" i="2"/>
  <c r="J1059" i="2"/>
  <c r="G1059" i="2"/>
  <c r="D1059" i="2" s="1"/>
  <c r="F1059" i="2"/>
  <c r="E1059" i="2"/>
  <c r="J1058" i="2"/>
  <c r="F1058" i="2"/>
  <c r="E1058" i="2"/>
  <c r="B1057" i="2"/>
  <c r="J1056" i="2"/>
  <c r="G1056" i="2"/>
  <c r="D1056" i="2" s="1"/>
  <c r="F1056" i="2"/>
  <c r="E1056" i="2"/>
  <c r="J1055" i="2"/>
  <c r="F1055" i="2"/>
  <c r="E1055" i="2"/>
  <c r="B1054" i="2"/>
  <c r="J1053" i="2"/>
  <c r="G1053" i="2" s="1"/>
  <c r="D1053" i="2" s="1"/>
  <c r="F1053" i="2"/>
  <c r="E1053" i="2"/>
  <c r="J1052" i="2"/>
  <c r="G1052" i="2"/>
  <c r="F1052" i="2"/>
  <c r="E1052" i="2"/>
  <c r="D1052" i="2"/>
  <c r="B1051" i="2"/>
  <c r="J1050" i="2"/>
  <c r="G1050" i="2" s="1"/>
  <c r="D1050" i="2" s="1"/>
  <c r="F1050" i="2"/>
  <c r="E1050" i="2"/>
  <c r="J1049" i="2"/>
  <c r="F1049" i="2"/>
  <c r="E1049" i="2"/>
  <c r="B1048" i="2"/>
  <c r="J1047" i="2"/>
  <c r="G1047" i="2"/>
  <c r="D1047" i="2" s="1"/>
  <c r="F1047" i="2"/>
  <c r="E1047" i="2"/>
  <c r="J1046" i="2"/>
  <c r="F1046" i="2"/>
  <c r="E1046" i="2"/>
  <c r="B1045" i="2"/>
  <c r="J1044" i="2"/>
  <c r="G1044" i="2" s="1"/>
  <c r="D1044" i="2" s="1"/>
  <c r="F1044" i="2"/>
  <c r="E1044" i="2"/>
  <c r="J1043" i="2"/>
  <c r="G1043" i="2" s="1"/>
  <c r="D1043" i="2" s="1"/>
  <c r="F1043" i="2"/>
  <c r="E1043" i="2"/>
  <c r="B1042" i="2"/>
  <c r="J1041" i="2"/>
  <c r="G1041" i="2" s="1"/>
  <c r="D1041" i="2" s="1"/>
  <c r="F1041" i="2"/>
  <c r="E1041" i="2"/>
  <c r="J1040" i="2"/>
  <c r="F1040" i="2"/>
  <c r="E1040" i="2"/>
  <c r="B1039" i="2"/>
  <c r="J1036" i="2"/>
  <c r="G1036" i="2"/>
  <c r="D1036" i="2" s="1"/>
  <c r="F1036" i="2"/>
  <c r="E1036" i="2"/>
  <c r="J1035" i="2"/>
  <c r="G1035" i="2"/>
  <c r="F1035" i="2"/>
  <c r="E1035" i="2"/>
  <c r="D1035" i="2"/>
  <c r="J1034" i="2"/>
  <c r="G1034" i="2" s="1"/>
  <c r="D1034" i="2" s="1"/>
  <c r="F1034" i="2"/>
  <c r="E1034" i="2"/>
  <c r="J1033" i="2"/>
  <c r="G1033" i="2"/>
  <c r="D1033" i="2" s="1"/>
  <c r="F1033" i="2"/>
  <c r="E1033" i="2"/>
  <c r="J1032" i="2"/>
  <c r="G1032" i="2" s="1"/>
  <c r="D1032" i="2" s="1"/>
  <c r="F1032" i="2"/>
  <c r="E1032" i="2"/>
  <c r="J1031" i="2"/>
  <c r="G1031" i="2" s="1"/>
  <c r="D1031" i="2" s="1"/>
  <c r="F1031" i="2"/>
  <c r="E1031" i="2"/>
  <c r="J1030" i="2"/>
  <c r="G1030" i="2"/>
  <c r="F1030" i="2"/>
  <c r="E1030" i="2"/>
  <c r="D1030" i="2"/>
  <c r="J1029" i="2"/>
  <c r="G1029" i="2" s="1"/>
  <c r="D1029" i="2" s="1"/>
  <c r="F1029" i="2"/>
  <c r="E1029" i="2"/>
  <c r="J1028" i="2"/>
  <c r="G1028" i="2" s="1"/>
  <c r="D1028" i="2" s="1"/>
  <c r="F1028" i="2"/>
  <c r="E1028" i="2"/>
  <c r="J1027" i="2"/>
  <c r="G1027" i="2" s="1"/>
  <c r="D1027" i="2" s="1"/>
  <c r="F1027" i="2"/>
  <c r="E1027" i="2"/>
  <c r="J1026" i="2"/>
  <c r="G1026" i="2" s="1"/>
  <c r="D1026" i="2" s="1"/>
  <c r="F1026" i="2"/>
  <c r="E1026" i="2"/>
  <c r="J1025" i="2"/>
  <c r="F1025" i="2"/>
  <c r="E1025" i="2"/>
  <c r="J1023" i="2"/>
  <c r="G1023" i="2" s="1"/>
  <c r="D1023" i="2" s="1"/>
  <c r="F1023" i="2"/>
  <c r="E1023" i="2"/>
  <c r="J1022" i="2"/>
  <c r="G1022" i="2"/>
  <c r="D1022" i="2" s="1"/>
  <c r="F1022" i="2"/>
  <c r="E1022" i="2"/>
  <c r="J1021" i="2"/>
  <c r="G1021" i="2" s="1"/>
  <c r="D1021" i="2" s="1"/>
  <c r="F1021" i="2"/>
  <c r="E1021" i="2"/>
  <c r="J1020" i="2"/>
  <c r="G1020" i="2" s="1"/>
  <c r="D1020" i="2" s="1"/>
  <c r="F1020" i="2"/>
  <c r="E1020" i="2"/>
  <c r="J1019" i="2"/>
  <c r="G1019" i="2"/>
  <c r="D1019" i="2" s="1"/>
  <c r="F1019" i="2"/>
  <c r="E1019" i="2"/>
  <c r="J1018" i="2"/>
  <c r="G1018" i="2" s="1"/>
  <c r="D1018" i="2" s="1"/>
  <c r="F1018" i="2"/>
  <c r="E1018" i="2"/>
  <c r="J1017" i="2"/>
  <c r="G1017" i="2"/>
  <c r="D1017" i="2" s="1"/>
  <c r="F1017" i="2"/>
  <c r="E1017" i="2"/>
  <c r="J1016" i="2"/>
  <c r="G1016" i="2" s="1"/>
  <c r="D1016" i="2" s="1"/>
  <c r="F1016" i="2"/>
  <c r="E1016" i="2"/>
  <c r="J1015" i="2"/>
  <c r="G1015" i="2"/>
  <c r="D1015" i="2" s="1"/>
  <c r="F1015" i="2"/>
  <c r="E1015" i="2"/>
  <c r="J1014" i="2"/>
  <c r="G1014" i="2" s="1"/>
  <c r="D1014" i="2" s="1"/>
  <c r="F1014" i="2"/>
  <c r="E1014" i="2"/>
  <c r="J1013" i="2"/>
  <c r="G1013" i="2" s="1"/>
  <c r="D1013" i="2" s="1"/>
  <c r="F1013" i="2"/>
  <c r="E1013" i="2"/>
  <c r="J1012" i="2"/>
  <c r="F1012" i="2"/>
  <c r="E1012" i="2"/>
  <c r="J1008" i="2"/>
  <c r="G1008" i="2" s="1"/>
  <c r="D1008" i="2" s="1"/>
  <c r="F1008" i="2"/>
  <c r="E1008" i="2"/>
  <c r="J1007" i="2"/>
  <c r="K1009" i="2" s="1"/>
  <c r="G1007" i="2"/>
  <c r="D1007" i="2" s="1"/>
  <c r="F1007" i="2"/>
  <c r="E1007" i="2"/>
  <c r="B1006" i="2"/>
  <c r="J1005" i="2"/>
  <c r="G1005" i="2"/>
  <c r="F1005" i="2"/>
  <c r="E1005" i="2"/>
  <c r="D1005" i="2"/>
  <c r="J1004" i="2"/>
  <c r="K1006" i="2" s="1"/>
  <c r="G1004" i="2"/>
  <c r="F1004" i="2"/>
  <c r="E1004" i="2"/>
  <c r="D1004" i="2"/>
  <c r="B1003" i="2"/>
  <c r="J1002" i="2"/>
  <c r="G1002" i="2" s="1"/>
  <c r="D1002" i="2" s="1"/>
  <c r="F1002" i="2"/>
  <c r="E1002" i="2"/>
  <c r="J1001" i="2"/>
  <c r="F1001" i="2"/>
  <c r="E1001" i="2"/>
  <c r="B1000" i="2"/>
  <c r="J999" i="2"/>
  <c r="G999" i="2"/>
  <c r="F999" i="2"/>
  <c r="E999" i="2"/>
  <c r="D999" i="2"/>
  <c r="J998" i="2"/>
  <c r="K1000" i="2" s="1"/>
  <c r="G998" i="2"/>
  <c r="F998" i="2"/>
  <c r="E998" i="2"/>
  <c r="D998" i="2"/>
  <c r="B997" i="2"/>
  <c r="J996" i="2"/>
  <c r="G996" i="2" s="1"/>
  <c r="D996" i="2" s="1"/>
  <c r="F996" i="2"/>
  <c r="E996" i="2"/>
  <c r="J995" i="2"/>
  <c r="F995" i="2"/>
  <c r="E995" i="2"/>
  <c r="B994" i="2"/>
  <c r="J993" i="2"/>
  <c r="G993" i="2"/>
  <c r="D993" i="2" s="1"/>
  <c r="F993" i="2"/>
  <c r="E993" i="2"/>
  <c r="J992" i="2"/>
  <c r="F992" i="2"/>
  <c r="E992" i="2"/>
  <c r="B991" i="2"/>
  <c r="J990" i="2"/>
  <c r="G990" i="2"/>
  <c r="F990" i="2"/>
  <c r="E990" i="2"/>
  <c r="D990" i="2"/>
  <c r="J989" i="2"/>
  <c r="F989" i="2"/>
  <c r="E989" i="2"/>
  <c r="B988" i="2"/>
  <c r="J987" i="2"/>
  <c r="G987" i="2"/>
  <c r="F987" i="2"/>
  <c r="E987" i="2"/>
  <c r="D987" i="2"/>
  <c r="J986" i="2"/>
  <c r="F986" i="2"/>
  <c r="E986" i="2"/>
  <c r="B985" i="2"/>
  <c r="J984" i="2"/>
  <c r="G984" i="2"/>
  <c r="D984" i="2" s="1"/>
  <c r="F984" i="2"/>
  <c r="E984" i="2"/>
  <c r="J983" i="2"/>
  <c r="F983" i="2"/>
  <c r="E983" i="2"/>
  <c r="B982" i="2"/>
  <c r="J981" i="2"/>
  <c r="G981" i="2"/>
  <c r="D981" i="2" s="1"/>
  <c r="F981" i="2"/>
  <c r="E981" i="2"/>
  <c r="J980" i="2"/>
  <c r="K982" i="2" s="1"/>
  <c r="G980" i="2"/>
  <c r="F980" i="2"/>
  <c r="E980" i="2"/>
  <c r="D980" i="2"/>
  <c r="B979" i="2"/>
  <c r="J978" i="2"/>
  <c r="G978" i="2" s="1"/>
  <c r="D978" i="2" s="1"/>
  <c r="F978" i="2"/>
  <c r="E978" i="2"/>
  <c r="J977" i="2"/>
  <c r="F977" i="2"/>
  <c r="E977" i="2"/>
  <c r="B976" i="2"/>
  <c r="J975" i="2"/>
  <c r="G975" i="2" s="1"/>
  <c r="D975" i="2" s="1"/>
  <c r="F975" i="2"/>
  <c r="E975" i="2"/>
  <c r="J974" i="2"/>
  <c r="G974" i="2" s="1"/>
  <c r="D974" i="2" s="1"/>
  <c r="F974" i="2"/>
  <c r="E974" i="2"/>
  <c r="B973" i="2"/>
  <c r="J972" i="2"/>
  <c r="G972" i="2" s="1"/>
  <c r="D972" i="2" s="1"/>
  <c r="F972" i="2"/>
  <c r="E972" i="2"/>
  <c r="J971" i="2"/>
  <c r="F971" i="2"/>
  <c r="E971" i="2"/>
  <c r="B970" i="2"/>
  <c r="J969" i="2"/>
  <c r="G969" i="2" s="1"/>
  <c r="D969" i="2" s="1"/>
  <c r="F969" i="2"/>
  <c r="E969" i="2"/>
  <c r="J968" i="2"/>
  <c r="F968" i="2"/>
  <c r="E968" i="2"/>
  <c r="B967" i="2"/>
  <c r="J966" i="2"/>
  <c r="G966" i="2" s="1"/>
  <c r="D966" i="2" s="1"/>
  <c r="F966" i="2"/>
  <c r="E966" i="2"/>
  <c r="J965" i="2"/>
  <c r="F965" i="2"/>
  <c r="E965" i="2"/>
  <c r="B964" i="2"/>
  <c r="J963" i="2"/>
  <c r="G963" i="2" s="1"/>
  <c r="D963" i="2" s="1"/>
  <c r="F963" i="2"/>
  <c r="E963" i="2"/>
  <c r="J962" i="2"/>
  <c r="F962" i="2"/>
  <c r="E962" i="2"/>
  <c r="B961" i="2"/>
  <c r="J960" i="2"/>
  <c r="G960" i="2" s="1"/>
  <c r="D960" i="2" s="1"/>
  <c r="F960" i="2"/>
  <c r="E960" i="2"/>
  <c r="J959" i="2"/>
  <c r="K961" i="2" s="1"/>
  <c r="G959" i="2"/>
  <c r="F959" i="2"/>
  <c r="E959" i="2"/>
  <c r="D959" i="2"/>
  <c r="B958" i="2"/>
  <c r="J957" i="2"/>
  <c r="G957" i="2" s="1"/>
  <c r="D957" i="2" s="1"/>
  <c r="F957" i="2"/>
  <c r="E957" i="2"/>
  <c r="J956" i="2"/>
  <c r="F956" i="2"/>
  <c r="E956" i="2"/>
  <c r="B955" i="2"/>
  <c r="J954" i="2"/>
  <c r="G954" i="2"/>
  <c r="F954" i="2"/>
  <c r="E954" i="2"/>
  <c r="D954" i="2"/>
  <c r="J953" i="2"/>
  <c r="K955" i="2" s="1"/>
  <c r="G953" i="2"/>
  <c r="D953" i="2" s="1"/>
  <c r="F953" i="2"/>
  <c r="E953" i="2"/>
  <c r="B952" i="2"/>
  <c r="J951" i="2"/>
  <c r="G951" i="2" s="1"/>
  <c r="D951" i="2" s="1"/>
  <c r="F951" i="2"/>
  <c r="E951" i="2"/>
  <c r="J950" i="2"/>
  <c r="F950" i="2"/>
  <c r="E950" i="2"/>
  <c r="B949" i="2"/>
  <c r="J948" i="2"/>
  <c r="G948" i="2" s="1"/>
  <c r="D948" i="2" s="1"/>
  <c r="F948" i="2"/>
  <c r="E948" i="2"/>
  <c r="J947" i="2"/>
  <c r="F947" i="2"/>
  <c r="E947" i="2"/>
  <c r="B946" i="2"/>
  <c r="J945" i="2"/>
  <c r="G945" i="2"/>
  <c r="D945" i="2" s="1"/>
  <c r="F945" i="2"/>
  <c r="E945" i="2"/>
  <c r="J944" i="2"/>
  <c r="F944" i="2"/>
  <c r="E944" i="2"/>
  <c r="B943" i="2"/>
  <c r="J942" i="2"/>
  <c r="G942" i="2" s="1"/>
  <c r="D942" i="2" s="1"/>
  <c r="F942" i="2"/>
  <c r="E942" i="2"/>
  <c r="J941" i="2"/>
  <c r="F941" i="2"/>
  <c r="E941" i="2"/>
  <c r="B940" i="2"/>
  <c r="J939" i="2"/>
  <c r="G939" i="2" s="1"/>
  <c r="D939" i="2" s="1"/>
  <c r="F939" i="2"/>
  <c r="E939" i="2"/>
  <c r="J938" i="2"/>
  <c r="F938" i="2"/>
  <c r="E938" i="2"/>
  <c r="B937" i="2"/>
  <c r="J934" i="2"/>
  <c r="G934" i="2"/>
  <c r="F934" i="2"/>
  <c r="E934" i="2"/>
  <c r="D934" i="2"/>
  <c r="J933" i="2"/>
  <c r="F933" i="2"/>
  <c r="E933" i="2"/>
  <c r="B932" i="2"/>
  <c r="J931" i="2"/>
  <c r="G931" i="2" s="1"/>
  <c r="D931" i="2" s="1"/>
  <c r="F931" i="2"/>
  <c r="E931" i="2"/>
  <c r="J930" i="2"/>
  <c r="G930" i="2" s="1"/>
  <c r="D930" i="2" s="1"/>
  <c r="F930" i="2"/>
  <c r="E930" i="2"/>
  <c r="B929" i="2"/>
  <c r="J928" i="2"/>
  <c r="G928" i="2" s="1"/>
  <c r="D928" i="2" s="1"/>
  <c r="F928" i="2"/>
  <c r="E928" i="2"/>
  <c r="J927" i="2"/>
  <c r="F927" i="2"/>
  <c r="E927" i="2"/>
  <c r="B926" i="2"/>
  <c r="J925" i="2"/>
  <c r="G925" i="2" s="1"/>
  <c r="D925" i="2" s="1"/>
  <c r="F925" i="2"/>
  <c r="E925" i="2"/>
  <c r="J924" i="2"/>
  <c r="F924" i="2"/>
  <c r="E924" i="2"/>
  <c r="B923" i="2"/>
  <c r="J922" i="2"/>
  <c r="G922" i="2" s="1"/>
  <c r="D922" i="2" s="1"/>
  <c r="F922" i="2"/>
  <c r="E922" i="2"/>
  <c r="J921" i="2"/>
  <c r="F921" i="2"/>
  <c r="E921" i="2"/>
  <c r="B920" i="2"/>
  <c r="J919" i="2"/>
  <c r="G919" i="2" s="1"/>
  <c r="D919" i="2" s="1"/>
  <c r="F919" i="2"/>
  <c r="E919" i="2"/>
  <c r="J918" i="2"/>
  <c r="F918" i="2"/>
  <c r="E918" i="2"/>
  <c r="B917" i="2"/>
  <c r="J916" i="2"/>
  <c r="G916" i="2" s="1"/>
  <c r="D916" i="2" s="1"/>
  <c r="F916" i="2"/>
  <c r="E916" i="2"/>
  <c r="J915" i="2"/>
  <c r="F915" i="2"/>
  <c r="E915" i="2"/>
  <c r="B914" i="2"/>
  <c r="J913" i="2"/>
  <c r="G913" i="2" s="1"/>
  <c r="D913" i="2" s="1"/>
  <c r="F913" i="2"/>
  <c r="E913" i="2"/>
  <c r="J912" i="2"/>
  <c r="F912" i="2"/>
  <c r="E912" i="2"/>
  <c r="B911" i="2"/>
  <c r="J910" i="2"/>
  <c r="G910" i="2" s="1"/>
  <c r="D910" i="2" s="1"/>
  <c r="F910" i="2"/>
  <c r="E910" i="2"/>
  <c r="J909" i="2"/>
  <c r="F909" i="2"/>
  <c r="E909" i="2"/>
  <c r="B908" i="2"/>
  <c r="J907" i="2"/>
  <c r="G907" i="2" s="1"/>
  <c r="D907" i="2" s="1"/>
  <c r="F907" i="2"/>
  <c r="E907" i="2"/>
  <c r="J906" i="2"/>
  <c r="F906" i="2"/>
  <c r="E906" i="2"/>
  <c r="B905" i="2"/>
  <c r="J904" i="2"/>
  <c r="G904" i="2"/>
  <c r="F904" i="2"/>
  <c r="E904" i="2"/>
  <c r="D904" i="2"/>
  <c r="J903" i="2"/>
  <c r="F903" i="2"/>
  <c r="E903" i="2"/>
  <c r="B902" i="2"/>
  <c r="J901" i="2"/>
  <c r="G901" i="2"/>
  <c r="D901" i="2" s="1"/>
  <c r="F901" i="2"/>
  <c r="E901" i="2"/>
  <c r="J900" i="2"/>
  <c r="F900" i="2"/>
  <c r="E900" i="2"/>
  <c r="B899" i="2"/>
  <c r="J898" i="2"/>
  <c r="G898" i="2"/>
  <c r="F898" i="2"/>
  <c r="E898" i="2"/>
  <c r="D898" i="2"/>
  <c r="J897" i="2"/>
  <c r="F897" i="2"/>
  <c r="E897" i="2"/>
  <c r="B896" i="2"/>
  <c r="J895" i="2"/>
  <c r="G895" i="2" s="1"/>
  <c r="D895" i="2" s="1"/>
  <c r="F895" i="2"/>
  <c r="E895" i="2"/>
  <c r="J894" i="2"/>
  <c r="G894" i="2"/>
  <c r="D894" i="2" s="1"/>
  <c r="F894" i="2"/>
  <c r="E894" i="2"/>
  <c r="B893" i="2"/>
  <c r="J892" i="2"/>
  <c r="G892" i="2" s="1"/>
  <c r="D892" i="2" s="1"/>
  <c r="F892" i="2"/>
  <c r="E892" i="2"/>
  <c r="J891" i="2"/>
  <c r="G891" i="2" s="1"/>
  <c r="D891" i="2" s="1"/>
  <c r="F891" i="2"/>
  <c r="E891" i="2"/>
  <c r="B890" i="2"/>
  <c r="J889" i="2"/>
  <c r="G889" i="2"/>
  <c r="D889" i="2" s="1"/>
  <c r="F889" i="2"/>
  <c r="E889" i="2"/>
  <c r="J888" i="2"/>
  <c r="F888" i="2"/>
  <c r="E888" i="2"/>
  <c r="B887" i="2"/>
  <c r="J886" i="2"/>
  <c r="G886" i="2" s="1"/>
  <c r="D886" i="2" s="1"/>
  <c r="F886" i="2"/>
  <c r="E886" i="2"/>
  <c r="J885" i="2"/>
  <c r="F885" i="2"/>
  <c r="E885" i="2"/>
  <c r="B884" i="2"/>
  <c r="J883" i="2"/>
  <c r="G883" i="2" s="1"/>
  <c r="D883" i="2" s="1"/>
  <c r="F883" i="2"/>
  <c r="E883" i="2"/>
  <c r="J882" i="2"/>
  <c r="F882" i="2"/>
  <c r="E882" i="2"/>
  <c r="B881" i="2"/>
  <c r="J880" i="2"/>
  <c r="G880" i="2" s="1"/>
  <c r="D880" i="2" s="1"/>
  <c r="F880" i="2"/>
  <c r="E880" i="2"/>
  <c r="J879" i="2"/>
  <c r="K881" i="2" s="1"/>
  <c r="G879" i="2"/>
  <c r="F879" i="2"/>
  <c r="E879" i="2"/>
  <c r="D879" i="2"/>
  <c r="B878" i="2"/>
  <c r="J877" i="2"/>
  <c r="G877" i="2" s="1"/>
  <c r="D877" i="2" s="1"/>
  <c r="F877" i="2"/>
  <c r="E877" i="2"/>
  <c r="J876" i="2"/>
  <c r="K878" i="2" s="1"/>
  <c r="G876" i="2"/>
  <c r="D876" i="2" s="1"/>
  <c r="F876" i="2"/>
  <c r="E876" i="2"/>
  <c r="B875" i="2"/>
  <c r="J874" i="2"/>
  <c r="G874" i="2" s="1"/>
  <c r="D874" i="2" s="1"/>
  <c r="F874" i="2"/>
  <c r="E874" i="2"/>
  <c r="J873" i="2"/>
  <c r="F873" i="2"/>
  <c r="E873" i="2"/>
  <c r="B872" i="2"/>
  <c r="J871" i="2"/>
  <c r="G871" i="2"/>
  <c r="D871" i="2" s="1"/>
  <c r="F871" i="2"/>
  <c r="E871" i="2"/>
  <c r="J870" i="2"/>
  <c r="G870" i="2"/>
  <c r="F870" i="2"/>
  <c r="E870" i="2"/>
  <c r="D870" i="2"/>
  <c r="B869" i="2"/>
  <c r="J868" i="2"/>
  <c r="G868" i="2"/>
  <c r="F868" i="2"/>
  <c r="E868" i="2"/>
  <c r="D868" i="2"/>
  <c r="J867" i="2"/>
  <c r="K869" i="2" s="1"/>
  <c r="G867" i="2"/>
  <c r="F867" i="2"/>
  <c r="E867" i="2"/>
  <c r="D867" i="2"/>
  <c r="B866" i="2"/>
  <c r="J865" i="2"/>
  <c r="G865" i="2"/>
  <c r="F865" i="2"/>
  <c r="E865" i="2"/>
  <c r="D865" i="2"/>
  <c r="J864" i="2"/>
  <c r="K866" i="2" s="1"/>
  <c r="G864" i="2"/>
  <c r="F864" i="2"/>
  <c r="E864" i="2"/>
  <c r="D864" i="2"/>
  <c r="B863" i="2"/>
  <c r="N861" i="2"/>
  <c r="M861" i="2"/>
  <c r="K861" i="2"/>
  <c r="J860" i="2"/>
  <c r="G860" i="2"/>
  <c r="F860" i="2"/>
  <c r="E860" i="2"/>
  <c r="D860" i="2"/>
  <c r="J859" i="2"/>
  <c r="G859" i="2"/>
  <c r="F859" i="2"/>
  <c r="E859" i="2"/>
  <c r="D859" i="2"/>
  <c r="J858" i="2"/>
  <c r="G858" i="2"/>
  <c r="F858" i="2"/>
  <c r="E858" i="2"/>
  <c r="D858" i="2"/>
  <c r="J857" i="2"/>
  <c r="G857" i="2"/>
  <c r="F857" i="2"/>
  <c r="E857" i="2"/>
  <c r="D857" i="2"/>
  <c r="J856" i="2"/>
  <c r="G856" i="2"/>
  <c r="F856" i="2"/>
  <c r="E856" i="2"/>
  <c r="D856" i="2"/>
  <c r="J855" i="2"/>
  <c r="G855" i="2"/>
  <c r="F855" i="2"/>
  <c r="E855" i="2"/>
  <c r="D855" i="2"/>
  <c r="J854" i="2"/>
  <c r="G854" i="2"/>
  <c r="F854" i="2"/>
  <c r="E854" i="2"/>
  <c r="D854" i="2"/>
  <c r="J853" i="2"/>
  <c r="G853" i="2"/>
  <c r="F853" i="2"/>
  <c r="E853" i="2"/>
  <c r="D853" i="2"/>
  <c r="J852" i="2"/>
  <c r="G852" i="2"/>
  <c r="F852" i="2"/>
  <c r="E852" i="2"/>
  <c r="D852" i="2"/>
  <c r="J851" i="2"/>
  <c r="G851" i="2"/>
  <c r="F851" i="2"/>
  <c r="E851" i="2"/>
  <c r="D851" i="2"/>
  <c r="N850" i="2"/>
  <c r="M850" i="2"/>
  <c r="K850" i="2"/>
  <c r="B850" i="2"/>
  <c r="J849" i="2"/>
  <c r="G849" i="2"/>
  <c r="F849" i="2"/>
  <c r="E849" i="2"/>
  <c r="D849" i="2"/>
  <c r="J848" i="2"/>
  <c r="G848" i="2"/>
  <c r="F848" i="2"/>
  <c r="E848" i="2"/>
  <c r="D848" i="2"/>
  <c r="J847" i="2"/>
  <c r="G847" i="2"/>
  <c r="F847" i="2"/>
  <c r="E847" i="2"/>
  <c r="D847" i="2"/>
  <c r="J846" i="2"/>
  <c r="G846" i="2"/>
  <c r="F846" i="2"/>
  <c r="E846" i="2"/>
  <c r="D846" i="2"/>
  <c r="J845" i="2"/>
  <c r="G845" i="2"/>
  <c r="F845" i="2"/>
  <c r="E845" i="2"/>
  <c r="D845" i="2"/>
  <c r="J844" i="2"/>
  <c r="G844" i="2"/>
  <c r="F844" i="2"/>
  <c r="E844" i="2"/>
  <c r="D844" i="2"/>
  <c r="J843" i="2"/>
  <c r="G843" i="2"/>
  <c r="F843" i="2"/>
  <c r="E843" i="2"/>
  <c r="D843" i="2"/>
  <c r="J842" i="2"/>
  <c r="G842" i="2"/>
  <c r="F842" i="2"/>
  <c r="E842" i="2"/>
  <c r="D842" i="2"/>
  <c r="J841" i="2"/>
  <c r="G841" i="2"/>
  <c r="F841" i="2"/>
  <c r="E841" i="2"/>
  <c r="D841" i="2"/>
  <c r="J840" i="2"/>
  <c r="G840" i="2"/>
  <c r="F840" i="2"/>
  <c r="E840" i="2"/>
  <c r="D840" i="2"/>
  <c r="N839" i="2"/>
  <c r="M839" i="2"/>
  <c r="K839" i="2"/>
  <c r="B839" i="2"/>
  <c r="J838" i="2"/>
  <c r="G838" i="2"/>
  <c r="F838" i="2"/>
  <c r="E838" i="2"/>
  <c r="D838" i="2"/>
  <c r="J837" i="2"/>
  <c r="G837" i="2"/>
  <c r="F837" i="2"/>
  <c r="E837" i="2"/>
  <c r="D837" i="2"/>
  <c r="J836" i="2"/>
  <c r="G836" i="2"/>
  <c r="F836" i="2"/>
  <c r="E836" i="2"/>
  <c r="D836" i="2"/>
  <c r="J835" i="2"/>
  <c r="G835" i="2"/>
  <c r="F835" i="2"/>
  <c r="E835" i="2"/>
  <c r="D835" i="2"/>
  <c r="J834" i="2"/>
  <c r="G834" i="2"/>
  <c r="F834" i="2"/>
  <c r="E834" i="2"/>
  <c r="D834" i="2"/>
  <c r="J833" i="2"/>
  <c r="G833" i="2"/>
  <c r="F833" i="2"/>
  <c r="E833" i="2"/>
  <c r="D833" i="2"/>
  <c r="J832" i="2"/>
  <c r="G832" i="2"/>
  <c r="F832" i="2"/>
  <c r="E832" i="2"/>
  <c r="D832" i="2"/>
  <c r="J831" i="2"/>
  <c r="G831" i="2"/>
  <c r="F831" i="2"/>
  <c r="E831" i="2"/>
  <c r="D831" i="2"/>
  <c r="J830" i="2"/>
  <c r="G830" i="2"/>
  <c r="F830" i="2"/>
  <c r="E830" i="2"/>
  <c r="D830" i="2"/>
  <c r="J829" i="2"/>
  <c r="G829" i="2"/>
  <c r="F829" i="2"/>
  <c r="E829" i="2"/>
  <c r="D829" i="2"/>
  <c r="N828" i="2"/>
  <c r="M828" i="2"/>
  <c r="K828" i="2"/>
  <c r="B828" i="2"/>
  <c r="J827" i="2"/>
  <c r="G827" i="2"/>
  <c r="F827" i="2"/>
  <c r="E827" i="2"/>
  <c r="D827" i="2"/>
  <c r="J826" i="2"/>
  <c r="G826" i="2"/>
  <c r="F826" i="2"/>
  <c r="E826" i="2"/>
  <c r="D826" i="2"/>
  <c r="J825" i="2"/>
  <c r="G825" i="2"/>
  <c r="F825" i="2"/>
  <c r="E825" i="2"/>
  <c r="D825" i="2"/>
  <c r="J824" i="2"/>
  <c r="G824" i="2"/>
  <c r="F824" i="2"/>
  <c r="E824" i="2"/>
  <c r="D824" i="2"/>
  <c r="J823" i="2"/>
  <c r="G823" i="2"/>
  <c r="F823" i="2"/>
  <c r="E823" i="2"/>
  <c r="D823" i="2"/>
  <c r="J822" i="2"/>
  <c r="G822" i="2"/>
  <c r="F822" i="2"/>
  <c r="E822" i="2"/>
  <c r="D822" i="2"/>
  <c r="J821" i="2"/>
  <c r="G821" i="2"/>
  <c r="F821" i="2"/>
  <c r="E821" i="2"/>
  <c r="D821" i="2"/>
  <c r="J820" i="2"/>
  <c r="G820" i="2" s="1"/>
  <c r="D820" i="2" s="1"/>
  <c r="F820" i="2"/>
  <c r="E820" i="2"/>
  <c r="J819" i="2"/>
  <c r="G819" i="2" s="1"/>
  <c r="D819" i="2" s="1"/>
  <c r="F819" i="2"/>
  <c r="E819" i="2"/>
  <c r="J818" i="2"/>
  <c r="G818" i="2" s="1"/>
  <c r="D818" i="2" s="1"/>
  <c r="F818" i="2"/>
  <c r="E818" i="2"/>
  <c r="B817" i="2"/>
  <c r="J816" i="2"/>
  <c r="G816" i="2" s="1"/>
  <c r="D816" i="2" s="1"/>
  <c r="F816" i="2"/>
  <c r="E816" i="2"/>
  <c r="J815" i="2"/>
  <c r="G815" i="2" s="1"/>
  <c r="D815" i="2" s="1"/>
  <c r="F815" i="2"/>
  <c r="E815" i="2"/>
  <c r="J814" i="2"/>
  <c r="G814" i="2" s="1"/>
  <c r="D814" i="2" s="1"/>
  <c r="F814" i="2"/>
  <c r="E814" i="2"/>
  <c r="J813" i="2"/>
  <c r="G813" i="2"/>
  <c r="D813" i="2" s="1"/>
  <c r="F813" i="2"/>
  <c r="E813" i="2"/>
  <c r="J812" i="2"/>
  <c r="G812" i="2"/>
  <c r="D812" i="2" s="1"/>
  <c r="F812" i="2"/>
  <c r="E812" i="2"/>
  <c r="J811" i="2"/>
  <c r="G811" i="2"/>
  <c r="D811" i="2" s="1"/>
  <c r="F811" i="2"/>
  <c r="E811" i="2"/>
  <c r="J810" i="2"/>
  <c r="G810" i="2"/>
  <c r="D810" i="2" s="1"/>
  <c r="F810" i="2"/>
  <c r="E810" i="2"/>
  <c r="J809" i="2"/>
  <c r="G809" i="2" s="1"/>
  <c r="D809" i="2" s="1"/>
  <c r="F809" i="2"/>
  <c r="E809" i="2"/>
  <c r="J808" i="2"/>
  <c r="G808" i="2" s="1"/>
  <c r="D808" i="2" s="1"/>
  <c r="F808" i="2"/>
  <c r="E808" i="2"/>
  <c r="J807" i="2"/>
  <c r="F807" i="2"/>
  <c r="E807" i="2"/>
  <c r="M806" i="2"/>
  <c r="J805" i="2"/>
  <c r="G805" i="2"/>
  <c r="D805" i="2" s="1"/>
  <c r="F805" i="2"/>
  <c r="E805" i="2"/>
  <c r="J804" i="2"/>
  <c r="E804" i="2"/>
  <c r="J803" i="2"/>
  <c r="E803" i="2"/>
  <c r="J802" i="2"/>
  <c r="G802" i="2"/>
  <c r="D802" i="2" s="1"/>
  <c r="F802" i="2"/>
  <c r="E802" i="2"/>
  <c r="J801" i="2"/>
  <c r="G801" i="2"/>
  <c r="D801" i="2" s="1"/>
  <c r="F801" i="2"/>
  <c r="E801" i="2"/>
  <c r="J800" i="2"/>
  <c r="G800" i="2"/>
  <c r="F800" i="2"/>
  <c r="E800" i="2"/>
  <c r="D800" i="2"/>
  <c r="J799" i="2"/>
  <c r="E799" i="2"/>
  <c r="J797" i="2"/>
  <c r="G797" i="2" s="1"/>
  <c r="D797" i="2" s="1"/>
  <c r="F797" i="2"/>
  <c r="E797" i="2"/>
  <c r="J796" i="2"/>
  <c r="G796" i="2" s="1"/>
  <c r="D796" i="2" s="1"/>
  <c r="F796" i="2"/>
  <c r="E796" i="2"/>
  <c r="J791" i="2"/>
  <c r="G791" i="2" s="1"/>
  <c r="D791" i="2" s="1"/>
  <c r="F791" i="2"/>
  <c r="E791" i="2"/>
  <c r="N790" i="2"/>
  <c r="M790" i="2"/>
  <c r="K790" i="2"/>
  <c r="B790" i="2"/>
  <c r="J789" i="2"/>
  <c r="G789" i="2"/>
  <c r="F789" i="2"/>
  <c r="E789" i="2"/>
  <c r="D789" i="2"/>
  <c r="J788" i="2"/>
  <c r="G788" i="2"/>
  <c r="F788" i="2"/>
  <c r="E788" i="2"/>
  <c r="D788" i="2"/>
  <c r="J787" i="2"/>
  <c r="G787" i="2" s="1"/>
  <c r="D787" i="2" s="1"/>
  <c r="F787" i="2"/>
  <c r="E787" i="2"/>
  <c r="J786" i="2"/>
  <c r="G786" i="2" s="1"/>
  <c r="D786" i="2" s="1"/>
  <c r="F786" i="2"/>
  <c r="E786" i="2"/>
  <c r="J785" i="2"/>
  <c r="G785" i="2" s="1"/>
  <c r="D785" i="2" s="1"/>
  <c r="F785" i="2"/>
  <c r="E785" i="2"/>
  <c r="J784" i="2"/>
  <c r="G784" i="2" s="1"/>
  <c r="D784" i="2" s="1"/>
  <c r="F784" i="2"/>
  <c r="E784" i="2"/>
  <c r="J783" i="2"/>
  <c r="G783" i="2"/>
  <c r="D783" i="2" s="1"/>
  <c r="F783" i="2"/>
  <c r="E783" i="2"/>
  <c r="J782" i="2"/>
  <c r="G782" i="2" s="1"/>
  <c r="D782" i="2" s="1"/>
  <c r="F782" i="2"/>
  <c r="E782" i="2"/>
  <c r="J781" i="2"/>
  <c r="G781" i="2" s="1"/>
  <c r="D781" i="2" s="1"/>
  <c r="F781" i="2"/>
  <c r="E781" i="2"/>
  <c r="J772" i="2"/>
  <c r="G772" i="2"/>
  <c r="D772" i="2" s="1"/>
  <c r="F772" i="2"/>
  <c r="E772" i="2"/>
  <c r="M771" i="2"/>
  <c r="B771" i="2"/>
  <c r="J770" i="2"/>
  <c r="G770" i="2"/>
  <c r="D770" i="2" s="1"/>
  <c r="F770" i="2"/>
  <c r="E770" i="2"/>
  <c r="J769" i="2"/>
  <c r="G769" i="2" s="1"/>
  <c r="D769" i="2" s="1"/>
  <c r="F769" i="2"/>
  <c r="E769" i="2"/>
  <c r="J768" i="2"/>
  <c r="G768" i="2" s="1"/>
  <c r="D768" i="2" s="1"/>
  <c r="F768" i="2"/>
  <c r="E768" i="2"/>
  <c r="J767" i="2"/>
  <c r="G767" i="2"/>
  <c r="D767" i="2" s="1"/>
  <c r="F767" i="2"/>
  <c r="E767" i="2"/>
  <c r="J766" i="2"/>
  <c r="G766" i="2"/>
  <c r="D766" i="2" s="1"/>
  <c r="F766" i="2"/>
  <c r="E766" i="2"/>
  <c r="J765" i="2"/>
  <c r="E765" i="2"/>
  <c r="J764" i="2"/>
  <c r="G764" i="2" s="1"/>
  <c r="D764" i="2" s="1"/>
  <c r="F764" i="2"/>
  <c r="E764" i="2"/>
  <c r="J763" i="2"/>
  <c r="G763" i="2" s="1"/>
  <c r="D763" i="2" s="1"/>
  <c r="F763" i="2"/>
  <c r="E763" i="2"/>
  <c r="J762" i="2"/>
  <c r="G762" i="2" s="1"/>
  <c r="D762" i="2" s="1"/>
  <c r="F762" i="2"/>
  <c r="E762" i="2"/>
  <c r="J761" i="2"/>
  <c r="G761" i="2"/>
  <c r="D761" i="2" s="1"/>
  <c r="F761" i="2"/>
  <c r="E761" i="2"/>
  <c r="M760" i="2"/>
  <c r="B760" i="2"/>
  <c r="J759" i="2"/>
  <c r="G759" i="2"/>
  <c r="D759" i="2" s="1"/>
  <c r="F759" i="2"/>
  <c r="E759" i="2"/>
  <c r="J758" i="2"/>
  <c r="G758" i="2" s="1"/>
  <c r="D758" i="2" s="1"/>
  <c r="F758" i="2"/>
  <c r="E758" i="2"/>
  <c r="J757" i="2"/>
  <c r="G757" i="2" s="1"/>
  <c r="D757" i="2" s="1"/>
  <c r="F757" i="2"/>
  <c r="E757" i="2"/>
  <c r="J756" i="2"/>
  <c r="E756" i="2"/>
  <c r="J755" i="2"/>
  <c r="E755" i="2"/>
  <c r="J754" i="2"/>
  <c r="E754" i="2"/>
  <c r="J753" i="2"/>
  <c r="G753" i="2" s="1"/>
  <c r="D753" i="2" s="1"/>
  <c r="F753" i="2"/>
  <c r="E753" i="2"/>
  <c r="J752" i="2"/>
  <c r="E752" i="2"/>
  <c r="J751" i="2"/>
  <c r="G751" i="2" s="1"/>
  <c r="D751" i="2" s="1"/>
  <c r="F751" i="2"/>
  <c r="E751" i="2"/>
  <c r="J748" i="2"/>
  <c r="G748" i="2" s="1"/>
  <c r="D748" i="2" s="1"/>
  <c r="F748" i="2"/>
  <c r="E748" i="2"/>
  <c r="B747" i="2"/>
  <c r="J746" i="2"/>
  <c r="G746" i="2" s="1"/>
  <c r="D746" i="2" s="1"/>
  <c r="F746" i="2"/>
  <c r="E746" i="2"/>
  <c r="J745" i="2"/>
  <c r="G745" i="2"/>
  <c r="D745" i="2" s="1"/>
  <c r="F745" i="2"/>
  <c r="E745" i="2"/>
  <c r="J744" i="2"/>
  <c r="G744" i="2" s="1"/>
  <c r="D744" i="2" s="1"/>
  <c r="F744" i="2"/>
  <c r="E744" i="2"/>
  <c r="J743" i="2"/>
  <c r="G743" i="2" s="1"/>
  <c r="D743" i="2" s="1"/>
  <c r="F743" i="2"/>
  <c r="E743" i="2"/>
  <c r="J742" i="2"/>
  <c r="G742" i="2"/>
  <c r="D742" i="2" s="1"/>
  <c r="F742" i="2"/>
  <c r="E742" i="2"/>
  <c r="J741" i="2"/>
  <c r="E741" i="2"/>
  <c r="J740" i="2"/>
  <c r="G740" i="2" s="1"/>
  <c r="D740" i="2" s="1"/>
  <c r="F740" i="2"/>
  <c r="E740" i="2"/>
  <c r="J739" i="2"/>
  <c r="G739" i="2" s="1"/>
  <c r="D739" i="2" s="1"/>
  <c r="F739" i="2"/>
  <c r="E739" i="2"/>
  <c r="J738" i="2"/>
  <c r="F738" i="2"/>
  <c r="E738" i="2"/>
  <c r="J737" i="2"/>
  <c r="G737" i="2" s="1"/>
  <c r="D737" i="2" s="1"/>
  <c r="F737" i="2"/>
  <c r="E737" i="2"/>
  <c r="M736" i="2"/>
  <c r="B736" i="2"/>
  <c r="J735" i="2"/>
  <c r="G735" i="2"/>
  <c r="D735" i="2" s="1"/>
  <c r="F735" i="2"/>
  <c r="E735" i="2"/>
  <c r="J734" i="2"/>
  <c r="G734" i="2" s="1"/>
  <c r="D734" i="2" s="1"/>
  <c r="F734" i="2"/>
  <c r="E734" i="2"/>
  <c r="J733" i="2"/>
  <c r="G733" i="2" s="1"/>
  <c r="D733" i="2" s="1"/>
  <c r="F733" i="2"/>
  <c r="E733" i="2"/>
  <c r="J732" i="2"/>
  <c r="G732" i="2" s="1"/>
  <c r="D732" i="2" s="1"/>
  <c r="F732" i="2"/>
  <c r="E732" i="2"/>
  <c r="J731" i="2"/>
  <c r="G731" i="2"/>
  <c r="D731" i="2" s="1"/>
  <c r="F731" i="2"/>
  <c r="E731" i="2"/>
  <c r="J730" i="2"/>
  <c r="G730" i="2" s="1"/>
  <c r="D730" i="2" s="1"/>
  <c r="F730" i="2"/>
  <c r="E730" i="2"/>
  <c r="J729" i="2"/>
  <c r="G729" i="2" s="1"/>
  <c r="D729" i="2" s="1"/>
  <c r="F729" i="2"/>
  <c r="E729" i="2"/>
  <c r="J728" i="2"/>
  <c r="G728" i="2" s="1"/>
  <c r="D728" i="2" s="1"/>
  <c r="F728" i="2"/>
  <c r="E728" i="2"/>
  <c r="J727" i="2"/>
  <c r="G727" i="2" s="1"/>
  <c r="D727" i="2" s="1"/>
  <c r="F727" i="2"/>
  <c r="E727" i="2"/>
  <c r="J702" i="2"/>
  <c r="G702" i="2" s="1"/>
  <c r="D702" i="2" s="1"/>
  <c r="F702" i="2"/>
  <c r="E702" i="2"/>
  <c r="M701" i="2"/>
  <c r="B701" i="2"/>
  <c r="J700" i="2"/>
  <c r="G700" i="2" s="1"/>
  <c r="D700" i="2" s="1"/>
  <c r="F700" i="2"/>
  <c r="E700" i="2"/>
  <c r="J699" i="2"/>
  <c r="G699" i="2" s="1"/>
  <c r="D699" i="2" s="1"/>
  <c r="F699" i="2"/>
  <c r="E699" i="2"/>
  <c r="J698" i="2"/>
  <c r="G698" i="2" s="1"/>
  <c r="D698" i="2" s="1"/>
  <c r="F698" i="2"/>
  <c r="E698" i="2"/>
  <c r="J697" i="2"/>
  <c r="G697" i="2" s="1"/>
  <c r="D697" i="2" s="1"/>
  <c r="F697" i="2"/>
  <c r="E697" i="2"/>
  <c r="J696" i="2"/>
  <c r="G696" i="2" s="1"/>
  <c r="D696" i="2" s="1"/>
  <c r="F696" i="2"/>
  <c r="E696" i="2"/>
  <c r="J695" i="2"/>
  <c r="G695" i="2"/>
  <c r="D695" i="2" s="1"/>
  <c r="F695" i="2"/>
  <c r="E695" i="2"/>
  <c r="J694" i="2"/>
  <c r="G694" i="2" s="1"/>
  <c r="D694" i="2" s="1"/>
  <c r="F694" i="2"/>
  <c r="E694" i="2"/>
  <c r="J693" i="2"/>
  <c r="G693" i="2" s="1"/>
  <c r="D693" i="2" s="1"/>
  <c r="F693" i="2"/>
  <c r="E693" i="2"/>
  <c r="J692" i="2"/>
  <c r="G692" i="2" s="1"/>
  <c r="D692" i="2" s="1"/>
  <c r="F692" i="2"/>
  <c r="E692" i="2"/>
  <c r="J691" i="2"/>
  <c r="G691" i="2" s="1"/>
  <c r="D691" i="2" s="1"/>
  <c r="F691" i="2"/>
  <c r="E691" i="2"/>
  <c r="N690" i="2"/>
  <c r="M690" i="2"/>
  <c r="K690" i="2"/>
  <c r="B690" i="2"/>
  <c r="J689" i="2"/>
  <c r="G689" i="2"/>
  <c r="F689" i="2"/>
  <c r="E689" i="2"/>
  <c r="D689" i="2"/>
  <c r="J688" i="2"/>
  <c r="G688" i="2" s="1"/>
  <c r="D688" i="2" s="1"/>
  <c r="F688" i="2"/>
  <c r="E688" i="2"/>
  <c r="J687" i="2"/>
  <c r="G687" i="2" s="1"/>
  <c r="D687" i="2" s="1"/>
  <c r="F687" i="2"/>
  <c r="E687" i="2"/>
  <c r="J686" i="2"/>
  <c r="G686" i="2" s="1"/>
  <c r="D686" i="2" s="1"/>
  <c r="F686" i="2"/>
  <c r="E686" i="2"/>
  <c r="J685" i="2"/>
  <c r="G685" i="2" s="1"/>
  <c r="D685" i="2" s="1"/>
  <c r="F685" i="2"/>
  <c r="E685" i="2"/>
  <c r="J684" i="2"/>
  <c r="G684" i="2" s="1"/>
  <c r="D684" i="2" s="1"/>
  <c r="F684" i="2"/>
  <c r="E684" i="2"/>
  <c r="J683" i="2"/>
  <c r="G683" i="2"/>
  <c r="D683" i="2" s="1"/>
  <c r="F683" i="2"/>
  <c r="E683" i="2"/>
  <c r="J682" i="2"/>
  <c r="G682" i="2" s="1"/>
  <c r="D682" i="2" s="1"/>
  <c r="F682" i="2"/>
  <c r="E682" i="2"/>
  <c r="J681" i="2"/>
  <c r="G681" i="2" s="1"/>
  <c r="D681" i="2" s="1"/>
  <c r="F681" i="2"/>
  <c r="E681" i="2"/>
  <c r="J680" i="2"/>
  <c r="G680" i="2"/>
  <c r="F680" i="2"/>
  <c r="E680" i="2"/>
  <c r="D680" i="2"/>
  <c r="N679" i="2"/>
  <c r="M679" i="2"/>
  <c r="K679" i="2"/>
  <c r="B679" i="2"/>
  <c r="J678" i="2"/>
  <c r="G678" i="2"/>
  <c r="D678" i="2" s="1"/>
  <c r="F678" i="2"/>
  <c r="E678" i="2"/>
  <c r="J677" i="2"/>
  <c r="G677" i="2"/>
  <c r="D677" i="2" s="1"/>
  <c r="F677" i="2"/>
  <c r="E677" i="2"/>
  <c r="J676" i="2"/>
  <c r="G676" i="2" s="1"/>
  <c r="D676" i="2" s="1"/>
  <c r="F676" i="2"/>
  <c r="E676" i="2"/>
  <c r="J675" i="2"/>
  <c r="G675" i="2" s="1"/>
  <c r="D675" i="2" s="1"/>
  <c r="F675" i="2"/>
  <c r="E675" i="2"/>
  <c r="J674" i="2"/>
  <c r="G674" i="2" s="1"/>
  <c r="D674" i="2" s="1"/>
  <c r="F674" i="2"/>
  <c r="E674" i="2"/>
  <c r="J673" i="2"/>
  <c r="G673" i="2" s="1"/>
  <c r="D673" i="2" s="1"/>
  <c r="F673" i="2"/>
  <c r="E673" i="2"/>
  <c r="J672" i="2"/>
  <c r="G672" i="2" s="1"/>
  <c r="D672" i="2" s="1"/>
  <c r="F672" i="2"/>
  <c r="E672" i="2"/>
  <c r="J671" i="2"/>
  <c r="G671" i="2" s="1"/>
  <c r="D671" i="2" s="1"/>
  <c r="F671" i="2"/>
  <c r="E671" i="2"/>
  <c r="J670" i="2"/>
  <c r="G670" i="2"/>
  <c r="D670" i="2" s="1"/>
  <c r="F670" i="2"/>
  <c r="E670" i="2"/>
  <c r="J669" i="2"/>
  <c r="G669" i="2" s="1"/>
  <c r="D669" i="2" s="1"/>
  <c r="F669" i="2"/>
  <c r="E669" i="2"/>
  <c r="N668" i="2"/>
  <c r="M668" i="2"/>
  <c r="K668" i="2"/>
  <c r="B668" i="2"/>
  <c r="J667" i="2"/>
  <c r="G667" i="2" s="1"/>
  <c r="D667" i="2" s="1"/>
  <c r="F667" i="2"/>
  <c r="E667" i="2"/>
  <c r="J666" i="2"/>
  <c r="G666" i="2" s="1"/>
  <c r="D666" i="2" s="1"/>
  <c r="F666" i="2"/>
  <c r="E666" i="2"/>
  <c r="J665" i="2"/>
  <c r="G665" i="2" s="1"/>
  <c r="D665" i="2" s="1"/>
  <c r="F665" i="2"/>
  <c r="E665" i="2"/>
  <c r="J664" i="2"/>
  <c r="G664" i="2" s="1"/>
  <c r="D664" i="2" s="1"/>
  <c r="F664" i="2"/>
  <c r="E664" i="2"/>
  <c r="J663" i="2"/>
  <c r="G663" i="2" s="1"/>
  <c r="D663" i="2" s="1"/>
  <c r="F663" i="2"/>
  <c r="E663" i="2"/>
  <c r="J662" i="2"/>
  <c r="G662" i="2" s="1"/>
  <c r="D662" i="2" s="1"/>
  <c r="F662" i="2"/>
  <c r="E662" i="2"/>
  <c r="J661" i="2"/>
  <c r="G661" i="2" s="1"/>
  <c r="D661" i="2" s="1"/>
  <c r="F661" i="2"/>
  <c r="E661" i="2"/>
  <c r="J660" i="2"/>
  <c r="G660" i="2"/>
  <c r="F660" i="2"/>
  <c r="E660" i="2"/>
  <c r="D660" i="2"/>
  <c r="J659" i="2"/>
  <c r="G659" i="2" s="1"/>
  <c r="D659" i="2" s="1"/>
  <c r="F659" i="2"/>
  <c r="E659" i="2"/>
  <c r="J658" i="2"/>
  <c r="G658" i="2" s="1"/>
  <c r="D658" i="2" s="1"/>
  <c r="F658" i="2"/>
  <c r="E658" i="2"/>
  <c r="B657" i="2"/>
  <c r="J656" i="2"/>
  <c r="G656" i="2" s="1"/>
  <c r="D656" i="2" s="1"/>
  <c r="F656" i="2"/>
  <c r="E656" i="2"/>
  <c r="J655" i="2"/>
  <c r="G655" i="2" s="1"/>
  <c r="D655" i="2" s="1"/>
  <c r="F655" i="2"/>
  <c r="E655" i="2"/>
  <c r="J654" i="2"/>
  <c r="G654" i="2" s="1"/>
  <c r="D654" i="2" s="1"/>
  <c r="F654" i="2"/>
  <c r="E654" i="2"/>
  <c r="J653" i="2"/>
  <c r="G653" i="2" s="1"/>
  <c r="D653" i="2" s="1"/>
  <c r="F653" i="2"/>
  <c r="E653" i="2"/>
  <c r="J652" i="2"/>
  <c r="G652" i="2"/>
  <c r="D652" i="2" s="1"/>
  <c r="F652" i="2"/>
  <c r="E652" i="2"/>
  <c r="J651" i="2"/>
  <c r="F651" i="2"/>
  <c r="E651" i="2"/>
  <c r="J650" i="2"/>
  <c r="G650" i="2" s="1"/>
  <c r="D650" i="2" s="1"/>
  <c r="F650" i="2"/>
  <c r="E650" i="2"/>
  <c r="J649" i="2"/>
  <c r="E649" i="2"/>
  <c r="J648" i="2"/>
  <c r="G648" i="2" s="1"/>
  <c r="D648" i="2" s="1"/>
  <c r="F648" i="2"/>
  <c r="E648" i="2"/>
  <c r="J647" i="2"/>
  <c r="G647" i="2" s="1"/>
  <c r="D647" i="2" s="1"/>
  <c r="F647" i="2"/>
  <c r="E647" i="2"/>
  <c r="B646" i="2"/>
  <c r="J645" i="2"/>
  <c r="G645" i="2" s="1"/>
  <c r="D645" i="2" s="1"/>
  <c r="F645" i="2"/>
  <c r="E645" i="2"/>
  <c r="J644" i="2"/>
  <c r="G644" i="2" s="1"/>
  <c r="D644" i="2" s="1"/>
  <c r="F644" i="2"/>
  <c r="E644" i="2"/>
  <c r="J643" i="2"/>
  <c r="G643" i="2"/>
  <c r="D643" i="2" s="1"/>
  <c r="F643" i="2"/>
  <c r="E643" i="2"/>
  <c r="J642" i="2"/>
  <c r="G642" i="2" s="1"/>
  <c r="D642" i="2" s="1"/>
  <c r="F642" i="2"/>
  <c r="E642" i="2"/>
  <c r="J641" i="2"/>
  <c r="G641" i="2" s="1"/>
  <c r="D641" i="2" s="1"/>
  <c r="F641" i="2"/>
  <c r="E641" i="2"/>
  <c r="J640" i="2"/>
  <c r="G640" i="2" s="1"/>
  <c r="D640" i="2" s="1"/>
  <c r="F640" i="2"/>
  <c r="E640" i="2"/>
  <c r="J639" i="2"/>
  <c r="G639" i="2" s="1"/>
  <c r="D639" i="2" s="1"/>
  <c r="F639" i="2"/>
  <c r="E639" i="2"/>
  <c r="J638" i="2"/>
  <c r="G638" i="2" s="1"/>
  <c r="D638" i="2" s="1"/>
  <c r="F638" i="2"/>
  <c r="E638" i="2"/>
  <c r="J637" i="2"/>
  <c r="E637" i="2"/>
  <c r="J636" i="2"/>
  <c r="E636" i="2"/>
  <c r="N635" i="2"/>
  <c r="M635" i="2"/>
  <c r="K635" i="2"/>
  <c r="B635" i="2"/>
  <c r="J634" i="2"/>
  <c r="G634" i="2" s="1"/>
  <c r="D634" i="2" s="1"/>
  <c r="F634" i="2"/>
  <c r="E634" i="2"/>
  <c r="J633" i="2"/>
  <c r="G633" i="2"/>
  <c r="F633" i="2"/>
  <c r="E633" i="2"/>
  <c r="D633" i="2"/>
  <c r="J632" i="2"/>
  <c r="G632" i="2"/>
  <c r="F632" i="2"/>
  <c r="E632" i="2"/>
  <c r="D632" i="2"/>
  <c r="J631" i="2"/>
  <c r="G631" i="2"/>
  <c r="F631" i="2"/>
  <c r="E631" i="2"/>
  <c r="D631" i="2"/>
  <c r="J630" i="2"/>
  <c r="G630" i="2"/>
  <c r="F630" i="2"/>
  <c r="E630" i="2"/>
  <c r="D630" i="2"/>
  <c r="J629" i="2"/>
  <c r="G629" i="2"/>
  <c r="F629" i="2"/>
  <c r="E629" i="2"/>
  <c r="D629" i="2"/>
  <c r="J628" i="2"/>
  <c r="G628" i="2"/>
  <c r="F628" i="2"/>
  <c r="E628" i="2"/>
  <c r="D628" i="2"/>
  <c r="J627" i="2"/>
  <c r="G627" i="2"/>
  <c r="F627" i="2"/>
  <c r="E627" i="2"/>
  <c r="D627" i="2"/>
  <c r="J626" i="2"/>
  <c r="G626" i="2"/>
  <c r="F626" i="2"/>
  <c r="E626" i="2"/>
  <c r="D626" i="2"/>
  <c r="J625" i="2"/>
  <c r="G625" i="2"/>
  <c r="F625" i="2"/>
  <c r="E625" i="2"/>
  <c r="D625" i="2"/>
  <c r="B624" i="2"/>
  <c r="J623" i="2"/>
  <c r="G623" i="2"/>
  <c r="F623" i="2"/>
  <c r="E623" i="2"/>
  <c r="D623" i="2"/>
  <c r="J622" i="2"/>
  <c r="G622" i="2"/>
  <c r="F622" i="2"/>
  <c r="E622" i="2"/>
  <c r="D622" i="2"/>
  <c r="J621" i="2"/>
  <c r="G621" i="2"/>
  <c r="F621" i="2"/>
  <c r="E621" i="2"/>
  <c r="D621" i="2"/>
  <c r="J620" i="2"/>
  <c r="G620" i="2"/>
  <c r="F620" i="2"/>
  <c r="E620" i="2"/>
  <c r="D620" i="2"/>
  <c r="J619" i="2"/>
  <c r="G619" i="2"/>
  <c r="F619" i="2"/>
  <c r="E619" i="2"/>
  <c r="D619" i="2"/>
  <c r="J618" i="2"/>
  <c r="G618" i="2"/>
  <c r="F618" i="2"/>
  <c r="E618" i="2"/>
  <c r="D618" i="2"/>
  <c r="J617" i="2"/>
  <c r="G617" i="2"/>
  <c r="F617" i="2"/>
  <c r="E617" i="2"/>
  <c r="D617" i="2"/>
  <c r="J616" i="2"/>
  <c r="G616" i="2"/>
  <c r="F616" i="2"/>
  <c r="E616" i="2"/>
  <c r="D616" i="2"/>
  <c r="J615" i="2"/>
  <c r="N624" i="2" s="1"/>
  <c r="G615" i="2"/>
  <c r="F615" i="2"/>
  <c r="E615" i="2"/>
  <c r="D615" i="2"/>
  <c r="J614" i="2"/>
  <c r="G614" i="2"/>
  <c r="F614" i="2"/>
  <c r="E614" i="2"/>
  <c r="D614" i="2"/>
  <c r="B613" i="2"/>
  <c r="J612" i="2"/>
  <c r="G612" i="2"/>
  <c r="F612" i="2"/>
  <c r="E612" i="2"/>
  <c r="D612" i="2"/>
  <c r="J611" i="2"/>
  <c r="G611" i="2"/>
  <c r="F611" i="2"/>
  <c r="E611" i="2"/>
  <c r="D611" i="2"/>
  <c r="J610" i="2"/>
  <c r="G610" i="2"/>
  <c r="F610" i="2"/>
  <c r="E610" i="2"/>
  <c r="D610" i="2"/>
  <c r="J609" i="2"/>
  <c r="G609" i="2"/>
  <c r="F609" i="2"/>
  <c r="E609" i="2"/>
  <c r="D609" i="2"/>
  <c r="J608" i="2"/>
  <c r="G608" i="2"/>
  <c r="F608" i="2"/>
  <c r="E608" i="2"/>
  <c r="D608" i="2"/>
  <c r="J607" i="2"/>
  <c r="G607" i="2"/>
  <c r="F607" i="2"/>
  <c r="E607" i="2"/>
  <c r="D607" i="2"/>
  <c r="J606" i="2"/>
  <c r="G606" i="2"/>
  <c r="F606" i="2"/>
  <c r="E606" i="2"/>
  <c r="D606" i="2"/>
  <c r="J605" i="2"/>
  <c r="G605" i="2"/>
  <c r="F605" i="2"/>
  <c r="E605" i="2"/>
  <c r="D605" i="2"/>
  <c r="J604" i="2"/>
  <c r="N613" i="2" s="1"/>
  <c r="G604" i="2"/>
  <c r="F604" i="2"/>
  <c r="E604" i="2"/>
  <c r="D604" i="2"/>
  <c r="J603" i="2"/>
  <c r="G603" i="2"/>
  <c r="F603" i="2"/>
  <c r="E603" i="2"/>
  <c r="D603" i="2"/>
  <c r="N602" i="2"/>
  <c r="M602" i="2"/>
  <c r="K602" i="2"/>
  <c r="B602" i="2"/>
  <c r="J601" i="2"/>
  <c r="G601" i="2"/>
  <c r="F601" i="2"/>
  <c r="E601" i="2"/>
  <c r="D601" i="2"/>
  <c r="J600" i="2"/>
  <c r="G600" i="2"/>
  <c r="F600" i="2"/>
  <c r="E600" i="2"/>
  <c r="D600" i="2"/>
  <c r="J599" i="2"/>
  <c r="G599" i="2"/>
  <c r="F599" i="2"/>
  <c r="E599" i="2"/>
  <c r="D599" i="2"/>
  <c r="J598" i="2"/>
  <c r="G598" i="2"/>
  <c r="F598" i="2"/>
  <c r="E598" i="2"/>
  <c r="D598" i="2"/>
  <c r="J597" i="2"/>
  <c r="G597" i="2"/>
  <c r="F597" i="2"/>
  <c r="E597" i="2"/>
  <c r="D597" i="2"/>
  <c r="J596" i="2"/>
  <c r="G596" i="2"/>
  <c r="F596" i="2"/>
  <c r="E596" i="2"/>
  <c r="D596" i="2"/>
  <c r="J595" i="2"/>
  <c r="G595" i="2"/>
  <c r="F595" i="2"/>
  <c r="E595" i="2"/>
  <c r="D595" i="2"/>
  <c r="J594" i="2"/>
  <c r="G594" i="2"/>
  <c r="F594" i="2"/>
  <c r="E594" i="2"/>
  <c r="D594" i="2"/>
  <c r="J593" i="2"/>
  <c r="G593" i="2"/>
  <c r="F593" i="2"/>
  <c r="E593" i="2"/>
  <c r="D593" i="2"/>
  <c r="J592" i="2"/>
  <c r="G592" i="2"/>
  <c r="F592" i="2"/>
  <c r="E592" i="2"/>
  <c r="D592" i="2"/>
  <c r="B591" i="2"/>
  <c r="J590" i="2"/>
  <c r="G590" i="2"/>
  <c r="F590" i="2"/>
  <c r="E590" i="2"/>
  <c r="D590" i="2"/>
  <c r="J589" i="2"/>
  <c r="G589" i="2"/>
  <c r="F589" i="2"/>
  <c r="E589" i="2"/>
  <c r="D589" i="2"/>
  <c r="J588" i="2"/>
  <c r="G588" i="2"/>
  <c r="F588" i="2"/>
  <c r="E588" i="2"/>
  <c r="D588" i="2"/>
  <c r="J587" i="2"/>
  <c r="G587" i="2"/>
  <c r="F587" i="2"/>
  <c r="E587" i="2"/>
  <c r="D587" i="2"/>
  <c r="J586" i="2"/>
  <c r="G586" i="2"/>
  <c r="F586" i="2"/>
  <c r="E586" i="2"/>
  <c r="D586" i="2"/>
  <c r="J585" i="2"/>
  <c r="G585" i="2"/>
  <c r="F585" i="2"/>
  <c r="E585" i="2"/>
  <c r="D585" i="2"/>
  <c r="J584" i="2"/>
  <c r="G584" i="2"/>
  <c r="F584" i="2"/>
  <c r="E584" i="2"/>
  <c r="D584" i="2"/>
  <c r="J583" i="2"/>
  <c r="G583" i="2"/>
  <c r="F583" i="2"/>
  <c r="E583" i="2"/>
  <c r="D583" i="2"/>
  <c r="J582" i="2"/>
  <c r="G582" i="2"/>
  <c r="F582" i="2"/>
  <c r="E582" i="2"/>
  <c r="D582" i="2"/>
  <c r="J581" i="2"/>
  <c r="N591" i="2" s="1"/>
  <c r="G581" i="2"/>
  <c r="F581" i="2"/>
  <c r="E581" i="2"/>
  <c r="D581" i="2"/>
  <c r="M580" i="2"/>
  <c r="B580" i="2"/>
  <c r="J579" i="2"/>
  <c r="G579" i="2"/>
  <c r="F579" i="2"/>
  <c r="E579" i="2"/>
  <c r="D579" i="2"/>
  <c r="J578" i="2"/>
  <c r="G578" i="2"/>
  <c r="F578" i="2"/>
  <c r="E578" i="2"/>
  <c r="D578" i="2"/>
  <c r="J577" i="2"/>
  <c r="G577" i="2"/>
  <c r="F577" i="2"/>
  <c r="E577" i="2"/>
  <c r="D577" i="2"/>
  <c r="J576" i="2"/>
  <c r="G576" i="2"/>
  <c r="F576" i="2"/>
  <c r="E576" i="2"/>
  <c r="D576" i="2"/>
  <c r="J575" i="2"/>
  <c r="G575" i="2"/>
  <c r="F575" i="2"/>
  <c r="E575" i="2"/>
  <c r="D575" i="2"/>
  <c r="J574" i="2"/>
  <c r="G574" i="2"/>
  <c r="F574" i="2"/>
  <c r="E574" i="2"/>
  <c r="D574" i="2"/>
  <c r="J573" i="2"/>
  <c r="G573" i="2"/>
  <c r="F573" i="2"/>
  <c r="E573" i="2"/>
  <c r="D573" i="2"/>
  <c r="J572" i="2"/>
  <c r="G572" i="2"/>
  <c r="F572" i="2"/>
  <c r="E572" i="2"/>
  <c r="D572" i="2"/>
  <c r="J571" i="2"/>
  <c r="G571" i="2"/>
  <c r="F571" i="2"/>
  <c r="E571" i="2"/>
  <c r="D571" i="2"/>
  <c r="J570" i="2"/>
  <c r="G570" i="2"/>
  <c r="F570" i="2"/>
  <c r="E570" i="2"/>
  <c r="D570" i="2"/>
  <c r="M569" i="2"/>
  <c r="B569" i="2"/>
  <c r="J568" i="2"/>
  <c r="G568" i="2"/>
  <c r="D568" i="2" s="1"/>
  <c r="F568" i="2"/>
  <c r="E568" i="2"/>
  <c r="J567" i="2"/>
  <c r="G567" i="2" s="1"/>
  <c r="D567" i="2" s="1"/>
  <c r="F567" i="2"/>
  <c r="E567" i="2"/>
  <c r="J566" i="2"/>
  <c r="E566" i="2"/>
  <c r="J565" i="2"/>
  <c r="G565" i="2" s="1"/>
  <c r="D565" i="2" s="1"/>
  <c r="F565" i="2"/>
  <c r="E565" i="2"/>
  <c r="J564" i="2"/>
  <c r="E564" i="2"/>
  <c r="J563" i="2"/>
  <c r="G563" i="2" s="1"/>
  <c r="D563" i="2" s="1"/>
  <c r="F563" i="2"/>
  <c r="E563" i="2"/>
  <c r="J562" i="2"/>
  <c r="G562" i="2"/>
  <c r="D562" i="2" s="1"/>
  <c r="F562" i="2"/>
  <c r="E562" i="2"/>
  <c r="J561" i="2"/>
  <c r="G561" i="2" s="1"/>
  <c r="D561" i="2" s="1"/>
  <c r="F561" i="2"/>
  <c r="E561" i="2"/>
  <c r="J560" i="2"/>
  <c r="G560" i="2" s="1"/>
  <c r="D560" i="2" s="1"/>
  <c r="F560" i="2"/>
  <c r="E560" i="2"/>
  <c r="J559" i="2"/>
  <c r="G559" i="2" s="1"/>
  <c r="D559" i="2" s="1"/>
  <c r="F559" i="2"/>
  <c r="E559" i="2"/>
  <c r="B558" i="2"/>
  <c r="N556" i="2"/>
  <c r="L555" i="2"/>
  <c r="K555" i="2"/>
  <c r="G555" i="2" s="1"/>
  <c r="D555" i="2" s="1"/>
  <c r="F555" i="2"/>
  <c r="E555" i="2"/>
  <c r="L554" i="2"/>
  <c r="K554" i="2"/>
  <c r="G554" i="2" s="1"/>
  <c r="D554" i="2" s="1"/>
  <c r="F554" i="2"/>
  <c r="E554" i="2"/>
  <c r="L553" i="2"/>
  <c r="K553" i="2"/>
  <c r="G553" i="2" s="1"/>
  <c r="D553" i="2" s="1"/>
  <c r="F553" i="2"/>
  <c r="E553" i="2"/>
  <c r="L552" i="2"/>
  <c r="K552" i="2"/>
  <c r="G552" i="2" s="1"/>
  <c r="D552" i="2" s="1"/>
  <c r="F552" i="2"/>
  <c r="E552" i="2"/>
  <c r="L551" i="2"/>
  <c r="K551" i="2"/>
  <c r="G551" i="2" s="1"/>
  <c r="D551" i="2" s="1"/>
  <c r="F551" i="2"/>
  <c r="E551" i="2"/>
  <c r="L550" i="2"/>
  <c r="K550" i="2"/>
  <c r="G550" i="2" s="1"/>
  <c r="D550" i="2" s="1"/>
  <c r="F550" i="2"/>
  <c r="E550" i="2"/>
  <c r="L549" i="2"/>
  <c r="K549" i="2"/>
  <c r="G549" i="2" s="1"/>
  <c r="D549" i="2" s="1"/>
  <c r="F549" i="2"/>
  <c r="E549" i="2"/>
  <c r="L548" i="2"/>
  <c r="K548" i="2"/>
  <c r="G548" i="2" s="1"/>
  <c r="D548" i="2" s="1"/>
  <c r="F548" i="2"/>
  <c r="E548" i="2"/>
  <c r="L547" i="2"/>
  <c r="K547" i="2"/>
  <c r="G547" i="2" s="1"/>
  <c r="D547" i="2" s="1"/>
  <c r="F547" i="2"/>
  <c r="E547" i="2"/>
  <c r="L546" i="2"/>
  <c r="M556" i="2" s="1"/>
  <c r="K546" i="2"/>
  <c r="G546" i="2" s="1"/>
  <c r="D546" i="2" s="1"/>
  <c r="F546" i="2"/>
  <c r="E546" i="2"/>
  <c r="N545" i="2"/>
  <c r="B545" i="2"/>
  <c r="L544" i="2"/>
  <c r="K544" i="2"/>
  <c r="G544" i="2" s="1"/>
  <c r="D544" i="2" s="1"/>
  <c r="F544" i="2"/>
  <c r="E544" i="2"/>
  <c r="L543" i="2"/>
  <c r="K543" i="2"/>
  <c r="G543" i="2"/>
  <c r="D543" i="2" s="1"/>
  <c r="F543" i="2"/>
  <c r="E543" i="2"/>
  <c r="L542" i="2"/>
  <c r="K542" i="2"/>
  <c r="G542" i="2" s="1"/>
  <c r="D542" i="2" s="1"/>
  <c r="F542" i="2"/>
  <c r="E542" i="2"/>
  <c r="L541" i="2"/>
  <c r="K541" i="2"/>
  <c r="G541" i="2" s="1"/>
  <c r="D541" i="2" s="1"/>
  <c r="F541" i="2"/>
  <c r="E541" i="2"/>
  <c r="L540" i="2"/>
  <c r="K540" i="2"/>
  <c r="G540" i="2"/>
  <c r="D540" i="2" s="1"/>
  <c r="F540" i="2"/>
  <c r="E540" i="2"/>
  <c r="L539" i="2"/>
  <c r="K539" i="2"/>
  <c r="G539" i="2" s="1"/>
  <c r="D539" i="2" s="1"/>
  <c r="F539" i="2"/>
  <c r="E539" i="2"/>
  <c r="L538" i="2"/>
  <c r="K538" i="2"/>
  <c r="E538" i="2"/>
  <c r="L537" i="2"/>
  <c r="K537" i="2"/>
  <c r="E537" i="2"/>
  <c r="L536" i="2"/>
  <c r="K536" i="2"/>
  <c r="G536" i="2" s="1"/>
  <c r="D536" i="2" s="1"/>
  <c r="F536" i="2"/>
  <c r="E536" i="2"/>
  <c r="L535" i="2"/>
  <c r="K535" i="2"/>
  <c r="G535" i="2" s="1"/>
  <c r="D535" i="2" s="1"/>
  <c r="F535" i="2"/>
  <c r="E535" i="2"/>
  <c r="N534" i="2"/>
  <c r="B534" i="2"/>
  <c r="L533" i="2"/>
  <c r="K533" i="2"/>
  <c r="G533" i="2" s="1"/>
  <c r="D533" i="2" s="1"/>
  <c r="F533" i="2"/>
  <c r="E533" i="2"/>
  <c r="L532" i="2"/>
  <c r="K532" i="2"/>
  <c r="G532" i="2"/>
  <c r="D532" i="2" s="1"/>
  <c r="F532" i="2"/>
  <c r="E532" i="2"/>
  <c r="L531" i="2"/>
  <c r="K531" i="2"/>
  <c r="G531" i="2"/>
  <c r="D531" i="2" s="1"/>
  <c r="F531" i="2"/>
  <c r="E531" i="2"/>
  <c r="L530" i="2"/>
  <c r="K530" i="2"/>
  <c r="G530" i="2" s="1"/>
  <c r="D530" i="2" s="1"/>
  <c r="F530" i="2"/>
  <c r="E530" i="2"/>
  <c r="L529" i="2"/>
  <c r="K529" i="2"/>
  <c r="G529" i="2"/>
  <c r="D529" i="2" s="1"/>
  <c r="F529" i="2"/>
  <c r="E529" i="2"/>
  <c r="L528" i="2"/>
  <c r="K528" i="2"/>
  <c r="G528" i="2" s="1"/>
  <c r="D528" i="2" s="1"/>
  <c r="F528" i="2"/>
  <c r="E528" i="2"/>
  <c r="L527" i="2"/>
  <c r="K527" i="2"/>
  <c r="G527" i="2" s="1"/>
  <c r="D527" i="2" s="1"/>
  <c r="F527" i="2"/>
  <c r="E527" i="2"/>
  <c r="L526" i="2"/>
  <c r="K526" i="2"/>
  <c r="E526" i="2"/>
  <c r="L525" i="2"/>
  <c r="K525" i="2"/>
  <c r="G525" i="2" s="1"/>
  <c r="D525" i="2" s="1"/>
  <c r="F525" i="2"/>
  <c r="E525" i="2"/>
  <c r="L524" i="2"/>
  <c r="K524" i="2"/>
  <c r="E524" i="2"/>
  <c r="N523" i="2"/>
  <c r="B523" i="2"/>
  <c r="L522" i="2"/>
  <c r="K522" i="2"/>
  <c r="G522" i="2" s="1"/>
  <c r="D522" i="2" s="1"/>
  <c r="F522" i="2"/>
  <c r="E522" i="2"/>
  <c r="L521" i="2"/>
  <c r="K521" i="2"/>
  <c r="G521" i="2" s="1"/>
  <c r="D521" i="2" s="1"/>
  <c r="F521" i="2"/>
  <c r="E521" i="2"/>
  <c r="L520" i="2"/>
  <c r="K520" i="2"/>
  <c r="G520" i="2" s="1"/>
  <c r="D520" i="2" s="1"/>
  <c r="F520" i="2"/>
  <c r="E520" i="2"/>
  <c r="L519" i="2"/>
  <c r="K519" i="2"/>
  <c r="G519" i="2" s="1"/>
  <c r="D519" i="2" s="1"/>
  <c r="F519" i="2"/>
  <c r="E519" i="2"/>
  <c r="L518" i="2"/>
  <c r="K518" i="2"/>
  <c r="G518" i="2" s="1"/>
  <c r="D518" i="2" s="1"/>
  <c r="F518" i="2"/>
  <c r="E518" i="2"/>
  <c r="L517" i="2"/>
  <c r="K517" i="2"/>
  <c r="G517" i="2" s="1"/>
  <c r="D517" i="2" s="1"/>
  <c r="F517" i="2"/>
  <c r="E517" i="2"/>
  <c r="L516" i="2"/>
  <c r="K516" i="2"/>
  <c r="E516" i="2"/>
  <c r="L515" i="2"/>
  <c r="K515" i="2"/>
  <c r="E515" i="2"/>
  <c r="L514" i="2"/>
  <c r="K514" i="2"/>
  <c r="E514" i="2"/>
  <c r="L513" i="2"/>
  <c r="K513" i="2"/>
  <c r="G513" i="2" s="1"/>
  <c r="D513" i="2" s="1"/>
  <c r="F513" i="2"/>
  <c r="E513" i="2"/>
  <c r="N512" i="2"/>
  <c r="B512" i="2"/>
  <c r="L511" i="2"/>
  <c r="K511" i="2"/>
  <c r="E511" i="2"/>
  <c r="L510" i="2"/>
  <c r="K510" i="2"/>
  <c r="G510" i="2"/>
  <c r="D510" i="2" s="1"/>
  <c r="F510" i="2"/>
  <c r="E510" i="2"/>
  <c r="L509" i="2"/>
  <c r="K509" i="2"/>
  <c r="G509" i="2" s="1"/>
  <c r="D509" i="2" s="1"/>
  <c r="F509" i="2"/>
  <c r="E509" i="2"/>
  <c r="L508" i="2"/>
  <c r="K508" i="2"/>
  <c r="E508" i="2"/>
  <c r="L507" i="2"/>
  <c r="K507" i="2"/>
  <c r="E507" i="2"/>
  <c r="L506" i="2"/>
  <c r="K506" i="2"/>
  <c r="G506" i="2" s="1"/>
  <c r="D506" i="2" s="1"/>
  <c r="F506" i="2"/>
  <c r="E506" i="2"/>
  <c r="L505" i="2"/>
  <c r="K505" i="2"/>
  <c r="E505" i="2"/>
  <c r="L504" i="2"/>
  <c r="K504" i="2"/>
  <c r="G504" i="2" s="1"/>
  <c r="D504" i="2" s="1"/>
  <c r="F504" i="2"/>
  <c r="E504" i="2"/>
  <c r="L503" i="2"/>
  <c r="K503" i="2"/>
  <c r="E503" i="2"/>
  <c r="L501" i="2"/>
  <c r="K501" i="2"/>
  <c r="E501" i="2"/>
  <c r="N500" i="2"/>
  <c r="B500" i="2"/>
  <c r="L499" i="2"/>
  <c r="K499" i="2"/>
  <c r="G499" i="2" s="1"/>
  <c r="D499" i="2" s="1"/>
  <c r="F499" i="2"/>
  <c r="E499" i="2"/>
  <c r="L498" i="2"/>
  <c r="K498" i="2"/>
  <c r="G498" i="2"/>
  <c r="D498" i="2" s="1"/>
  <c r="F498" i="2"/>
  <c r="E498" i="2"/>
  <c r="L497" i="2"/>
  <c r="K497" i="2"/>
  <c r="E497" i="2"/>
  <c r="L496" i="2"/>
  <c r="K496" i="2"/>
  <c r="G496" i="2" s="1"/>
  <c r="D496" i="2" s="1"/>
  <c r="F496" i="2"/>
  <c r="E496" i="2"/>
  <c r="L495" i="2"/>
  <c r="K495" i="2"/>
  <c r="E495" i="2"/>
  <c r="L494" i="2"/>
  <c r="K494" i="2"/>
  <c r="G494" i="2" s="1"/>
  <c r="D494" i="2" s="1"/>
  <c r="F494" i="2"/>
  <c r="E494" i="2"/>
  <c r="L493" i="2"/>
  <c r="K493" i="2"/>
  <c r="G493" i="2" s="1"/>
  <c r="D493" i="2" s="1"/>
  <c r="F493" i="2"/>
  <c r="E493" i="2"/>
  <c r="L492" i="2"/>
  <c r="K492" i="2"/>
  <c r="E492" i="2"/>
  <c r="L491" i="2"/>
  <c r="K491" i="2"/>
  <c r="G491" i="2" s="1"/>
  <c r="D491" i="2" s="1"/>
  <c r="F491" i="2"/>
  <c r="E491" i="2"/>
  <c r="L479" i="2"/>
  <c r="K479" i="2"/>
  <c r="E479" i="2"/>
  <c r="N478" i="2"/>
  <c r="B478" i="2"/>
  <c r="L477" i="2"/>
  <c r="K477" i="2"/>
  <c r="G477" i="2" s="1"/>
  <c r="D477" i="2" s="1"/>
  <c r="F477" i="2"/>
  <c r="E477" i="2"/>
  <c r="L476" i="2"/>
  <c r="K476" i="2"/>
  <c r="G476" i="2" s="1"/>
  <c r="D476" i="2" s="1"/>
  <c r="F476" i="2"/>
  <c r="E476" i="2"/>
  <c r="L475" i="2"/>
  <c r="K475" i="2"/>
  <c r="G475" i="2" s="1"/>
  <c r="D475" i="2" s="1"/>
  <c r="F475" i="2"/>
  <c r="E475" i="2"/>
  <c r="L474" i="2"/>
  <c r="K474" i="2"/>
  <c r="G474" i="2" s="1"/>
  <c r="D474" i="2" s="1"/>
  <c r="F474" i="2"/>
  <c r="E474" i="2"/>
  <c r="L473" i="2"/>
  <c r="K473" i="2"/>
  <c r="G473" i="2" s="1"/>
  <c r="D473" i="2" s="1"/>
  <c r="F473" i="2"/>
  <c r="E473" i="2"/>
  <c r="L472" i="2"/>
  <c r="K472" i="2"/>
  <c r="G472" i="2" s="1"/>
  <c r="D472" i="2" s="1"/>
  <c r="F472" i="2"/>
  <c r="E472" i="2"/>
  <c r="L471" i="2"/>
  <c r="K471" i="2"/>
  <c r="G471" i="2" s="1"/>
  <c r="D471" i="2" s="1"/>
  <c r="F471" i="2"/>
  <c r="E471" i="2"/>
  <c r="L470" i="2"/>
  <c r="K470" i="2"/>
  <c r="G470" i="2" s="1"/>
  <c r="D470" i="2" s="1"/>
  <c r="F470" i="2"/>
  <c r="E470" i="2"/>
  <c r="L469" i="2"/>
  <c r="K469" i="2"/>
  <c r="G469" i="2" s="1"/>
  <c r="D469" i="2" s="1"/>
  <c r="F469" i="2"/>
  <c r="E469" i="2"/>
  <c r="L468" i="2"/>
  <c r="K468" i="2"/>
  <c r="G468" i="2" s="1"/>
  <c r="D468" i="2" s="1"/>
  <c r="F468" i="2"/>
  <c r="E468" i="2"/>
  <c r="N467" i="2"/>
  <c r="B467" i="2"/>
  <c r="L466" i="2"/>
  <c r="K466" i="2"/>
  <c r="E466" i="2"/>
  <c r="L465" i="2"/>
  <c r="K465" i="2"/>
  <c r="G465" i="2"/>
  <c r="D465" i="2" s="1"/>
  <c r="F465" i="2"/>
  <c r="E465" i="2"/>
  <c r="L464" i="2"/>
  <c r="K464" i="2"/>
  <c r="G464" i="2" s="1"/>
  <c r="D464" i="2" s="1"/>
  <c r="F464" i="2"/>
  <c r="E464" i="2"/>
  <c r="L463" i="2"/>
  <c r="K463" i="2"/>
  <c r="E463" i="2"/>
  <c r="L462" i="2"/>
  <c r="K462" i="2"/>
  <c r="E462" i="2"/>
  <c r="L461" i="2"/>
  <c r="K461" i="2"/>
  <c r="E461" i="2"/>
  <c r="L460" i="2"/>
  <c r="K460" i="2"/>
  <c r="E460" i="2"/>
  <c r="L458" i="2"/>
  <c r="K458" i="2"/>
  <c r="G458" i="2" s="1"/>
  <c r="D458" i="2" s="1"/>
  <c r="F458" i="2"/>
  <c r="E458" i="2"/>
  <c r="L457" i="2"/>
  <c r="K457" i="2"/>
  <c r="G457" i="2" s="1"/>
  <c r="D457" i="2" s="1"/>
  <c r="F457" i="2"/>
  <c r="E457" i="2"/>
  <c r="L456" i="2"/>
  <c r="K456" i="2"/>
  <c r="G456" i="2" s="1"/>
  <c r="D456" i="2" s="1"/>
  <c r="F456" i="2"/>
  <c r="E456" i="2"/>
  <c r="N455" i="2"/>
  <c r="B455" i="2"/>
  <c r="L454" i="2"/>
  <c r="K454" i="2"/>
  <c r="G454" i="2" s="1"/>
  <c r="D454" i="2" s="1"/>
  <c r="F454" i="2"/>
  <c r="E454" i="2"/>
  <c r="L453" i="2"/>
  <c r="K453" i="2"/>
  <c r="G453" i="2" s="1"/>
  <c r="D453" i="2" s="1"/>
  <c r="F453" i="2"/>
  <c r="E453" i="2"/>
  <c r="L452" i="2"/>
  <c r="K452" i="2"/>
  <c r="E452" i="2"/>
  <c r="L451" i="2"/>
  <c r="K451" i="2"/>
  <c r="E451" i="2"/>
  <c r="L450" i="2"/>
  <c r="K450" i="2"/>
  <c r="G450" i="2" s="1"/>
  <c r="D450" i="2" s="1"/>
  <c r="F450" i="2"/>
  <c r="E450" i="2"/>
  <c r="L449" i="2"/>
  <c r="K449" i="2"/>
  <c r="E449" i="2"/>
  <c r="L448" i="2"/>
  <c r="K448" i="2"/>
  <c r="E448" i="2"/>
  <c r="L447" i="2"/>
  <c r="K447" i="2"/>
  <c r="G447" i="2" s="1"/>
  <c r="D447" i="2" s="1"/>
  <c r="F447" i="2"/>
  <c r="E447" i="2"/>
  <c r="L446" i="2"/>
  <c r="K446" i="2"/>
  <c r="E446" i="2"/>
  <c r="L445" i="2"/>
  <c r="K445" i="2"/>
  <c r="G445" i="2" s="1"/>
  <c r="D445" i="2" s="1"/>
  <c r="F445" i="2"/>
  <c r="E445" i="2"/>
  <c r="N444" i="2"/>
  <c r="B444" i="2"/>
  <c r="L443" i="2"/>
  <c r="K443" i="2"/>
  <c r="E443" i="2"/>
  <c r="L442" i="2"/>
  <c r="K442" i="2"/>
  <c r="G442" i="2" s="1"/>
  <c r="D442" i="2" s="1"/>
  <c r="F442" i="2"/>
  <c r="E442" i="2"/>
  <c r="L441" i="2"/>
  <c r="K441" i="2"/>
  <c r="E441" i="2"/>
  <c r="L440" i="2"/>
  <c r="K440" i="2"/>
  <c r="E440" i="2"/>
  <c r="L439" i="2"/>
  <c r="K439" i="2"/>
  <c r="G439" i="2"/>
  <c r="F439" i="2"/>
  <c r="E439" i="2"/>
  <c r="D439" i="2"/>
  <c r="L438" i="2"/>
  <c r="K438" i="2"/>
  <c r="G438" i="2"/>
  <c r="F438" i="2"/>
  <c r="E438" i="2"/>
  <c r="D438" i="2"/>
  <c r="L437" i="2"/>
  <c r="K437" i="2"/>
  <c r="G437" i="2"/>
  <c r="F437" i="2"/>
  <c r="E437" i="2"/>
  <c r="D437" i="2"/>
  <c r="L436" i="2"/>
  <c r="K436" i="2"/>
  <c r="G436" i="2"/>
  <c r="F436" i="2"/>
  <c r="E436" i="2"/>
  <c r="D436" i="2"/>
  <c r="L435" i="2"/>
  <c r="K435" i="2"/>
  <c r="G435" i="2"/>
  <c r="F435" i="2"/>
  <c r="E435" i="2"/>
  <c r="D435" i="2"/>
  <c r="L434" i="2"/>
  <c r="K434" i="2"/>
  <c r="G434" i="2"/>
  <c r="F434" i="2"/>
  <c r="E434" i="2"/>
  <c r="D434" i="2"/>
  <c r="N433" i="2"/>
  <c r="B433" i="2"/>
  <c r="L432" i="2"/>
  <c r="K432" i="2"/>
  <c r="G432" i="2"/>
  <c r="F432" i="2"/>
  <c r="E432" i="2"/>
  <c r="D432" i="2"/>
  <c r="L431" i="2"/>
  <c r="K431" i="2"/>
  <c r="G431" i="2"/>
  <c r="F431" i="2"/>
  <c r="E431" i="2"/>
  <c r="D431" i="2"/>
  <c r="L430" i="2"/>
  <c r="K430" i="2"/>
  <c r="G430" i="2"/>
  <c r="F430" i="2"/>
  <c r="E430" i="2"/>
  <c r="D430" i="2"/>
  <c r="L429" i="2"/>
  <c r="K429" i="2"/>
  <c r="G429" i="2"/>
  <c r="F429" i="2"/>
  <c r="E429" i="2"/>
  <c r="D429" i="2"/>
  <c r="L428" i="2"/>
  <c r="K428" i="2"/>
  <c r="G428" i="2"/>
  <c r="F428" i="2"/>
  <c r="E428" i="2"/>
  <c r="D428" i="2"/>
  <c r="L427" i="2"/>
  <c r="K427" i="2"/>
  <c r="G427" i="2"/>
  <c r="F427" i="2"/>
  <c r="E427" i="2"/>
  <c r="D427" i="2"/>
  <c r="L426" i="2"/>
  <c r="K426" i="2"/>
  <c r="G426" i="2"/>
  <c r="F426" i="2"/>
  <c r="E426" i="2"/>
  <c r="D426" i="2"/>
  <c r="L425" i="2"/>
  <c r="K425" i="2"/>
  <c r="G425" i="2"/>
  <c r="F425" i="2"/>
  <c r="E425" i="2"/>
  <c r="D425" i="2"/>
  <c r="L424" i="2"/>
  <c r="K424" i="2"/>
  <c r="G424" i="2"/>
  <c r="F424" i="2"/>
  <c r="E424" i="2"/>
  <c r="D424" i="2"/>
  <c r="L413" i="2"/>
  <c r="M433" i="2" s="1"/>
  <c r="K413" i="2"/>
  <c r="G413" i="2"/>
  <c r="F413" i="2"/>
  <c r="E413" i="2"/>
  <c r="D413" i="2"/>
  <c r="N412" i="2"/>
  <c r="B412" i="2"/>
  <c r="L411" i="2"/>
  <c r="K411" i="2"/>
  <c r="G411" i="2"/>
  <c r="F411" i="2"/>
  <c r="E411" i="2"/>
  <c r="D411" i="2"/>
  <c r="L410" i="2"/>
  <c r="K410" i="2"/>
  <c r="G410" i="2"/>
  <c r="F410" i="2"/>
  <c r="E410" i="2"/>
  <c r="D410" i="2"/>
  <c r="L409" i="2"/>
  <c r="K409" i="2"/>
  <c r="G409" i="2"/>
  <c r="F409" i="2"/>
  <c r="E409" i="2"/>
  <c r="D409" i="2"/>
  <c r="L408" i="2"/>
  <c r="K408" i="2"/>
  <c r="G408" i="2"/>
  <c r="F408" i="2"/>
  <c r="E408" i="2"/>
  <c r="D408" i="2"/>
  <c r="L407" i="2"/>
  <c r="K407" i="2"/>
  <c r="G407" i="2"/>
  <c r="F407" i="2"/>
  <c r="E407" i="2"/>
  <c r="D407" i="2"/>
  <c r="L406" i="2"/>
  <c r="K406" i="2"/>
  <c r="G406" i="2"/>
  <c r="F406" i="2"/>
  <c r="E406" i="2"/>
  <c r="D406" i="2"/>
  <c r="L405" i="2"/>
  <c r="K405" i="2"/>
  <c r="G405" i="2"/>
  <c r="F405" i="2"/>
  <c r="E405" i="2"/>
  <c r="D405" i="2"/>
  <c r="L404" i="2"/>
  <c r="K404" i="2"/>
  <c r="G404" i="2"/>
  <c r="F404" i="2"/>
  <c r="E404" i="2"/>
  <c r="D404" i="2"/>
  <c r="L403" i="2"/>
  <c r="K403" i="2"/>
  <c r="G403" i="2"/>
  <c r="F403" i="2"/>
  <c r="E403" i="2"/>
  <c r="D403" i="2"/>
  <c r="L397" i="2"/>
  <c r="M412" i="2" s="1"/>
  <c r="K397" i="2"/>
  <c r="G397" i="2"/>
  <c r="F397" i="2"/>
  <c r="E397" i="2"/>
  <c r="D397" i="2"/>
  <c r="N396" i="2"/>
  <c r="B396" i="2"/>
  <c r="L395" i="2"/>
  <c r="K395" i="2"/>
  <c r="G395" i="2"/>
  <c r="F395" i="2"/>
  <c r="E395" i="2"/>
  <c r="D395" i="2"/>
  <c r="L394" i="2"/>
  <c r="K394" i="2"/>
  <c r="G394" i="2"/>
  <c r="F394" i="2"/>
  <c r="E394" i="2"/>
  <c r="D394" i="2"/>
  <c r="L393" i="2"/>
  <c r="K393" i="2"/>
  <c r="G393" i="2"/>
  <c r="F393" i="2"/>
  <c r="E393" i="2"/>
  <c r="D393" i="2"/>
  <c r="L392" i="2"/>
  <c r="K392" i="2"/>
  <c r="G392" i="2"/>
  <c r="F392" i="2"/>
  <c r="E392" i="2"/>
  <c r="D392" i="2"/>
  <c r="L391" i="2"/>
  <c r="K391" i="2"/>
  <c r="G391" i="2"/>
  <c r="D391" i="2" s="1"/>
  <c r="F391" i="2"/>
  <c r="E391" i="2"/>
  <c r="L390" i="2"/>
  <c r="K390" i="2"/>
  <c r="G390" i="2" s="1"/>
  <c r="D390" i="2" s="1"/>
  <c r="F390" i="2"/>
  <c r="E390" i="2"/>
  <c r="L389" i="2"/>
  <c r="K389" i="2"/>
  <c r="G389" i="2" s="1"/>
  <c r="D389" i="2" s="1"/>
  <c r="F389" i="2"/>
  <c r="E389" i="2"/>
  <c r="L388" i="2"/>
  <c r="K388" i="2"/>
  <c r="G388" i="2" s="1"/>
  <c r="D388" i="2" s="1"/>
  <c r="F388" i="2"/>
  <c r="E388" i="2"/>
  <c r="L387" i="2"/>
  <c r="K387" i="2"/>
  <c r="G387" i="2" s="1"/>
  <c r="D387" i="2" s="1"/>
  <c r="F387" i="2"/>
  <c r="E387" i="2"/>
  <c r="L386" i="2"/>
  <c r="M396" i="2" s="1"/>
  <c r="K386" i="2"/>
  <c r="G386" i="2" s="1"/>
  <c r="D386" i="2" s="1"/>
  <c r="F386" i="2"/>
  <c r="E386" i="2"/>
  <c r="N385" i="2"/>
  <c r="B385" i="2"/>
  <c r="L384" i="2"/>
  <c r="K384" i="2"/>
  <c r="G384" i="2" s="1"/>
  <c r="D384" i="2" s="1"/>
  <c r="F384" i="2"/>
  <c r="E384" i="2"/>
  <c r="L383" i="2"/>
  <c r="K383" i="2"/>
  <c r="G383" i="2" s="1"/>
  <c r="D383" i="2" s="1"/>
  <c r="F383" i="2"/>
  <c r="E383" i="2"/>
  <c r="L382" i="2"/>
  <c r="K382" i="2"/>
  <c r="G382" i="2" s="1"/>
  <c r="D382" i="2" s="1"/>
  <c r="F382" i="2"/>
  <c r="E382" i="2"/>
  <c r="L381" i="2"/>
  <c r="K381" i="2"/>
  <c r="G381" i="2" s="1"/>
  <c r="D381" i="2" s="1"/>
  <c r="F381" i="2"/>
  <c r="E381" i="2"/>
  <c r="L380" i="2"/>
  <c r="K380" i="2"/>
  <c r="G380" i="2" s="1"/>
  <c r="D380" i="2" s="1"/>
  <c r="F380" i="2"/>
  <c r="E380" i="2"/>
  <c r="L379" i="2"/>
  <c r="K379" i="2"/>
  <c r="G379" i="2" s="1"/>
  <c r="D379" i="2" s="1"/>
  <c r="F379" i="2"/>
  <c r="E379" i="2"/>
  <c r="L378" i="2"/>
  <c r="K378" i="2"/>
  <c r="G378" i="2" s="1"/>
  <c r="D378" i="2" s="1"/>
  <c r="F378" i="2"/>
  <c r="E378" i="2"/>
  <c r="L377" i="2"/>
  <c r="K377" i="2"/>
  <c r="G377" i="2" s="1"/>
  <c r="D377" i="2" s="1"/>
  <c r="F377" i="2"/>
  <c r="E377" i="2"/>
  <c r="L376" i="2"/>
  <c r="K376" i="2"/>
  <c r="G376" i="2"/>
  <c r="D376" i="2" s="1"/>
  <c r="F376" i="2"/>
  <c r="E376" i="2"/>
  <c r="L375" i="2"/>
  <c r="M385" i="2" s="1"/>
  <c r="K375" i="2"/>
  <c r="G375" i="2" s="1"/>
  <c r="D375" i="2" s="1"/>
  <c r="F375" i="2"/>
  <c r="E375" i="2"/>
  <c r="N374" i="2"/>
  <c r="B374" i="2"/>
  <c r="L373" i="2"/>
  <c r="K373" i="2"/>
  <c r="G373" i="2" s="1"/>
  <c r="D373" i="2" s="1"/>
  <c r="F373" i="2"/>
  <c r="E373" i="2"/>
  <c r="L372" i="2"/>
  <c r="K372" i="2"/>
  <c r="G372" i="2" s="1"/>
  <c r="D372" i="2" s="1"/>
  <c r="F372" i="2"/>
  <c r="E372" i="2"/>
  <c r="L371" i="2"/>
  <c r="K371" i="2"/>
  <c r="G371" i="2" s="1"/>
  <c r="D371" i="2" s="1"/>
  <c r="F371" i="2"/>
  <c r="E371" i="2"/>
  <c r="L370" i="2"/>
  <c r="K370" i="2"/>
  <c r="G370" i="2" s="1"/>
  <c r="D370" i="2" s="1"/>
  <c r="F370" i="2"/>
  <c r="E370" i="2"/>
  <c r="L369" i="2"/>
  <c r="K369" i="2"/>
  <c r="G369" i="2" s="1"/>
  <c r="D369" i="2" s="1"/>
  <c r="F369" i="2"/>
  <c r="E369" i="2"/>
  <c r="L368" i="2"/>
  <c r="K368" i="2"/>
  <c r="G368" i="2" s="1"/>
  <c r="D368" i="2" s="1"/>
  <c r="F368" i="2"/>
  <c r="E368" i="2"/>
  <c r="L367" i="2"/>
  <c r="K367" i="2"/>
  <c r="G367" i="2" s="1"/>
  <c r="D367" i="2" s="1"/>
  <c r="F367" i="2"/>
  <c r="E367" i="2"/>
  <c r="L366" i="2"/>
  <c r="K366" i="2"/>
  <c r="G366" i="2" s="1"/>
  <c r="D366" i="2" s="1"/>
  <c r="F366" i="2"/>
  <c r="E366" i="2"/>
  <c r="L365" i="2"/>
  <c r="K365" i="2"/>
  <c r="G365" i="2" s="1"/>
  <c r="D365" i="2" s="1"/>
  <c r="F365" i="2"/>
  <c r="E365" i="2"/>
  <c r="L364" i="2"/>
  <c r="M374" i="2" s="1"/>
  <c r="K364" i="2"/>
  <c r="G364" i="2"/>
  <c r="D364" i="2" s="1"/>
  <c r="F364" i="2"/>
  <c r="E364" i="2"/>
  <c r="N363" i="2"/>
  <c r="B363" i="2"/>
  <c r="L362" i="2"/>
  <c r="K362" i="2"/>
  <c r="G362" i="2"/>
  <c r="D362" i="2" s="1"/>
  <c r="F362" i="2"/>
  <c r="E362" i="2"/>
  <c r="L361" i="2"/>
  <c r="K361" i="2"/>
  <c r="G361" i="2"/>
  <c r="D361" i="2" s="1"/>
  <c r="F361" i="2"/>
  <c r="E361" i="2"/>
  <c r="L360" i="2"/>
  <c r="K360" i="2"/>
  <c r="G360" i="2"/>
  <c r="D360" i="2" s="1"/>
  <c r="F360" i="2"/>
  <c r="E360" i="2"/>
  <c r="L359" i="2"/>
  <c r="K359" i="2"/>
  <c r="G359" i="2"/>
  <c r="D359" i="2" s="1"/>
  <c r="F359" i="2"/>
  <c r="E359" i="2"/>
  <c r="L358" i="2"/>
  <c r="K358" i="2"/>
  <c r="G358" i="2" s="1"/>
  <c r="D358" i="2" s="1"/>
  <c r="F358" i="2"/>
  <c r="E358" i="2"/>
  <c r="L357" i="2"/>
  <c r="K357" i="2"/>
  <c r="G357" i="2" s="1"/>
  <c r="D357" i="2" s="1"/>
  <c r="F357" i="2"/>
  <c r="E357" i="2"/>
  <c r="L356" i="2"/>
  <c r="K356" i="2"/>
  <c r="G356" i="2" s="1"/>
  <c r="D356" i="2" s="1"/>
  <c r="F356" i="2"/>
  <c r="E356" i="2"/>
  <c r="L355" i="2"/>
  <c r="K355" i="2"/>
  <c r="G355" i="2" s="1"/>
  <c r="D355" i="2" s="1"/>
  <c r="F355" i="2"/>
  <c r="E355" i="2"/>
  <c r="L354" i="2"/>
  <c r="K354" i="2"/>
  <c r="G354" i="2" s="1"/>
  <c r="D354" i="2" s="1"/>
  <c r="F354" i="2"/>
  <c r="E354" i="2"/>
  <c r="L353" i="2"/>
  <c r="M363" i="2" s="1"/>
  <c r="K353" i="2"/>
  <c r="G353" i="2" s="1"/>
  <c r="D353" i="2" s="1"/>
  <c r="F353" i="2"/>
  <c r="E353" i="2"/>
  <c r="N352" i="2"/>
  <c r="B352" i="2"/>
  <c r="L351" i="2"/>
  <c r="K351" i="2"/>
  <c r="G351" i="2"/>
  <c r="F351" i="2"/>
  <c r="E351" i="2"/>
  <c r="D351" i="2"/>
  <c r="L350" i="2"/>
  <c r="K350" i="2"/>
  <c r="G350" i="2"/>
  <c r="F350" i="2"/>
  <c r="E350" i="2"/>
  <c r="D350" i="2"/>
  <c r="L349" i="2"/>
  <c r="K349" i="2"/>
  <c r="G349" i="2"/>
  <c r="D349" i="2" s="1"/>
  <c r="F349" i="2"/>
  <c r="E349" i="2"/>
  <c r="L348" i="2"/>
  <c r="K348" i="2"/>
  <c r="G348" i="2" s="1"/>
  <c r="D348" i="2" s="1"/>
  <c r="F348" i="2"/>
  <c r="E348" i="2"/>
  <c r="L347" i="2"/>
  <c r="K347" i="2"/>
  <c r="G347" i="2" s="1"/>
  <c r="D347" i="2" s="1"/>
  <c r="F347" i="2"/>
  <c r="E347" i="2"/>
  <c r="L346" i="2"/>
  <c r="K346" i="2"/>
  <c r="G346" i="2" s="1"/>
  <c r="D346" i="2" s="1"/>
  <c r="F346" i="2"/>
  <c r="E346" i="2"/>
  <c r="L345" i="2"/>
  <c r="K345" i="2"/>
  <c r="G345" i="2" s="1"/>
  <c r="D345" i="2" s="1"/>
  <c r="F345" i="2"/>
  <c r="E345" i="2"/>
  <c r="L344" i="2"/>
  <c r="K344" i="2"/>
  <c r="G344" i="2" s="1"/>
  <c r="D344" i="2" s="1"/>
  <c r="F344" i="2"/>
  <c r="E344" i="2"/>
  <c r="L343" i="2"/>
  <c r="K343" i="2"/>
  <c r="G343" i="2" s="1"/>
  <c r="D343" i="2" s="1"/>
  <c r="F343" i="2"/>
  <c r="E343" i="2"/>
  <c r="L342" i="2"/>
  <c r="M352" i="2" s="1"/>
  <c r="K342" i="2"/>
  <c r="G342" i="2" s="1"/>
  <c r="D342" i="2" s="1"/>
  <c r="F342" i="2"/>
  <c r="E342" i="2"/>
  <c r="N341" i="2"/>
  <c r="B341" i="2"/>
  <c r="L340" i="2"/>
  <c r="K340" i="2"/>
  <c r="G340" i="2" s="1"/>
  <c r="D340" i="2" s="1"/>
  <c r="F340" i="2"/>
  <c r="E340" i="2"/>
  <c r="L339" i="2"/>
  <c r="K339" i="2"/>
  <c r="G339" i="2" s="1"/>
  <c r="D339" i="2" s="1"/>
  <c r="F339" i="2"/>
  <c r="E339" i="2"/>
  <c r="L338" i="2"/>
  <c r="K338" i="2"/>
  <c r="G338" i="2" s="1"/>
  <c r="D338" i="2" s="1"/>
  <c r="F338" i="2"/>
  <c r="E338" i="2"/>
  <c r="L337" i="2"/>
  <c r="K337" i="2"/>
  <c r="G337" i="2" s="1"/>
  <c r="D337" i="2" s="1"/>
  <c r="F337" i="2"/>
  <c r="E337" i="2"/>
  <c r="L336" i="2"/>
  <c r="K336" i="2"/>
  <c r="G336" i="2" s="1"/>
  <c r="D336" i="2" s="1"/>
  <c r="F336" i="2"/>
  <c r="E336" i="2"/>
  <c r="L335" i="2"/>
  <c r="K335" i="2"/>
  <c r="G335" i="2" s="1"/>
  <c r="D335" i="2" s="1"/>
  <c r="F335" i="2"/>
  <c r="E335" i="2"/>
  <c r="L334" i="2"/>
  <c r="K334" i="2"/>
  <c r="G334" i="2" s="1"/>
  <c r="D334" i="2" s="1"/>
  <c r="F334" i="2"/>
  <c r="E334" i="2"/>
  <c r="L333" i="2"/>
  <c r="K333" i="2"/>
  <c r="G333" i="2"/>
  <c r="D333" i="2" s="1"/>
  <c r="F333" i="2"/>
  <c r="E333" i="2"/>
  <c r="L332" i="2"/>
  <c r="K332" i="2"/>
  <c r="G332" i="2" s="1"/>
  <c r="D332" i="2" s="1"/>
  <c r="F332" i="2"/>
  <c r="E332" i="2"/>
  <c r="L331" i="2"/>
  <c r="M341" i="2" s="1"/>
  <c r="K331" i="2"/>
  <c r="G331" i="2"/>
  <c r="F331" i="2"/>
  <c r="E331" i="2"/>
  <c r="D331" i="2"/>
  <c r="N330" i="2"/>
  <c r="B330" i="2"/>
  <c r="L329" i="2"/>
  <c r="K329" i="2"/>
  <c r="G329" i="2" s="1"/>
  <c r="D329" i="2" s="1"/>
  <c r="F329" i="2"/>
  <c r="E329" i="2"/>
  <c r="L328" i="2"/>
  <c r="K328" i="2"/>
  <c r="G328" i="2"/>
  <c r="F328" i="2"/>
  <c r="E328" i="2"/>
  <c r="D328" i="2"/>
  <c r="L327" i="2"/>
  <c r="K327" i="2"/>
  <c r="G327" i="2"/>
  <c r="F327" i="2"/>
  <c r="E327" i="2"/>
  <c r="D327" i="2"/>
  <c r="L326" i="2"/>
  <c r="K326" i="2"/>
  <c r="G326" i="2" s="1"/>
  <c r="D326" i="2" s="1"/>
  <c r="F326" i="2"/>
  <c r="E326" i="2"/>
  <c r="L325" i="2"/>
  <c r="K325" i="2"/>
  <c r="G325" i="2"/>
  <c r="F325" i="2"/>
  <c r="E325" i="2"/>
  <c r="D325" i="2"/>
  <c r="L324" i="2"/>
  <c r="K324" i="2"/>
  <c r="G324" i="2" s="1"/>
  <c r="D324" i="2" s="1"/>
  <c r="F324" i="2"/>
  <c r="E324" i="2"/>
  <c r="L323" i="2"/>
  <c r="K323" i="2"/>
  <c r="G323" i="2" s="1"/>
  <c r="D323" i="2" s="1"/>
  <c r="F323" i="2"/>
  <c r="E323" i="2"/>
  <c r="L322" i="2"/>
  <c r="K322" i="2"/>
  <c r="G322" i="2"/>
  <c r="F322" i="2"/>
  <c r="E322" i="2"/>
  <c r="D322" i="2"/>
  <c r="L321" i="2"/>
  <c r="K321" i="2"/>
  <c r="G321" i="2" s="1"/>
  <c r="D321" i="2" s="1"/>
  <c r="F321" i="2"/>
  <c r="E321" i="2"/>
  <c r="L320" i="2"/>
  <c r="K320" i="2"/>
  <c r="G320" i="2" s="1"/>
  <c r="D320" i="2" s="1"/>
  <c r="F320" i="2"/>
  <c r="E320" i="2"/>
  <c r="N319" i="2"/>
  <c r="B319" i="2"/>
  <c r="L318" i="2"/>
  <c r="K318" i="2"/>
  <c r="G318" i="2" s="1"/>
  <c r="D318" i="2" s="1"/>
  <c r="F318" i="2"/>
  <c r="E318" i="2"/>
  <c r="L317" i="2"/>
  <c r="K317" i="2"/>
  <c r="G317" i="2" s="1"/>
  <c r="D317" i="2" s="1"/>
  <c r="F317" i="2"/>
  <c r="E317" i="2"/>
  <c r="L316" i="2"/>
  <c r="K316" i="2"/>
  <c r="G316" i="2" s="1"/>
  <c r="D316" i="2" s="1"/>
  <c r="F316" i="2"/>
  <c r="E316" i="2"/>
  <c r="L315" i="2"/>
  <c r="K315" i="2"/>
  <c r="E315" i="2"/>
  <c r="L314" i="2"/>
  <c r="K314" i="2"/>
  <c r="E314" i="2"/>
  <c r="L313" i="2"/>
  <c r="K313" i="2"/>
  <c r="E313" i="2"/>
  <c r="L312" i="2"/>
  <c r="K312" i="2"/>
  <c r="E312" i="2"/>
  <c r="L311" i="2"/>
  <c r="K311" i="2"/>
  <c r="E311" i="2"/>
  <c r="L310" i="2"/>
  <c r="K310" i="2"/>
  <c r="E310" i="2"/>
  <c r="L309" i="2"/>
  <c r="K309" i="2"/>
  <c r="E309" i="2"/>
  <c r="N308" i="2"/>
  <c r="B308" i="2"/>
  <c r="L307" i="2"/>
  <c r="K307" i="2"/>
  <c r="G307" i="2"/>
  <c r="F307" i="2"/>
  <c r="E307" i="2"/>
  <c r="D307" i="2"/>
  <c r="L306" i="2"/>
  <c r="K306" i="2"/>
  <c r="G306" i="2" s="1"/>
  <c r="D306" i="2" s="1"/>
  <c r="F306" i="2"/>
  <c r="E306" i="2"/>
  <c r="L305" i="2"/>
  <c r="K305" i="2"/>
  <c r="G305" i="2" s="1"/>
  <c r="D305" i="2" s="1"/>
  <c r="F305" i="2"/>
  <c r="E305" i="2"/>
  <c r="L304" i="2"/>
  <c r="K304" i="2"/>
  <c r="G304" i="2" s="1"/>
  <c r="D304" i="2" s="1"/>
  <c r="F304" i="2"/>
  <c r="E304" i="2"/>
  <c r="L303" i="2"/>
  <c r="K303" i="2"/>
  <c r="G303" i="2" s="1"/>
  <c r="D303" i="2" s="1"/>
  <c r="F303" i="2"/>
  <c r="E303" i="2"/>
  <c r="L302" i="2"/>
  <c r="K302" i="2"/>
  <c r="G302" i="2" s="1"/>
  <c r="D302" i="2" s="1"/>
  <c r="F302" i="2"/>
  <c r="E302" i="2"/>
  <c r="L301" i="2"/>
  <c r="K301" i="2"/>
  <c r="G301" i="2" s="1"/>
  <c r="D301" i="2" s="1"/>
  <c r="F301" i="2"/>
  <c r="E301" i="2"/>
  <c r="L300" i="2"/>
  <c r="K300" i="2"/>
  <c r="E300" i="2"/>
  <c r="L299" i="2"/>
  <c r="K299" i="2"/>
  <c r="E299" i="2"/>
  <c r="L298" i="2"/>
  <c r="K298" i="2"/>
  <c r="E298" i="2"/>
  <c r="N297" i="2"/>
  <c r="B297" i="2"/>
  <c r="L296" i="2"/>
  <c r="K296" i="2"/>
  <c r="G296" i="2"/>
  <c r="D296" i="2" s="1"/>
  <c r="F296" i="2"/>
  <c r="E296" i="2"/>
  <c r="L295" i="2"/>
  <c r="K295" i="2"/>
  <c r="G295" i="2" s="1"/>
  <c r="D295" i="2" s="1"/>
  <c r="F295" i="2"/>
  <c r="E295" i="2"/>
  <c r="L294" i="2"/>
  <c r="K294" i="2"/>
  <c r="G294" i="2" s="1"/>
  <c r="D294" i="2" s="1"/>
  <c r="F294" i="2"/>
  <c r="E294" i="2"/>
  <c r="L293" i="2"/>
  <c r="K293" i="2"/>
  <c r="G293" i="2" s="1"/>
  <c r="D293" i="2" s="1"/>
  <c r="F293" i="2"/>
  <c r="E293" i="2"/>
  <c r="L292" i="2"/>
  <c r="K292" i="2"/>
  <c r="G292" i="2" s="1"/>
  <c r="D292" i="2" s="1"/>
  <c r="F292" i="2"/>
  <c r="E292" i="2"/>
  <c r="L291" i="2"/>
  <c r="K291" i="2"/>
  <c r="G291" i="2" s="1"/>
  <c r="D291" i="2" s="1"/>
  <c r="F291" i="2"/>
  <c r="E291" i="2"/>
  <c r="L290" i="2"/>
  <c r="K290" i="2"/>
  <c r="E290" i="2"/>
  <c r="L289" i="2"/>
  <c r="K289" i="2"/>
  <c r="E289" i="2"/>
  <c r="L288" i="2"/>
  <c r="K288" i="2"/>
  <c r="G288" i="2" s="1"/>
  <c r="D288" i="2" s="1"/>
  <c r="F288" i="2"/>
  <c r="E288" i="2"/>
  <c r="L287" i="2"/>
  <c r="K287" i="2"/>
  <c r="E287" i="2"/>
  <c r="N286" i="2"/>
  <c r="B286" i="2"/>
  <c r="L285" i="2"/>
  <c r="K285" i="2"/>
  <c r="G285" i="2" s="1"/>
  <c r="D285" i="2" s="1"/>
  <c r="F285" i="2"/>
  <c r="E285" i="2"/>
  <c r="L284" i="2"/>
  <c r="K284" i="2"/>
  <c r="G284" i="2" s="1"/>
  <c r="D284" i="2" s="1"/>
  <c r="F284" i="2"/>
  <c r="E284" i="2"/>
  <c r="L283" i="2"/>
  <c r="K283" i="2"/>
  <c r="G283" i="2"/>
  <c r="D283" i="2" s="1"/>
  <c r="F283" i="2"/>
  <c r="E283" i="2"/>
  <c r="L282" i="2"/>
  <c r="K282" i="2"/>
  <c r="G282" i="2" s="1"/>
  <c r="D282" i="2" s="1"/>
  <c r="F282" i="2"/>
  <c r="E282" i="2"/>
  <c r="L281" i="2"/>
  <c r="K281" i="2"/>
  <c r="G281" i="2" s="1"/>
  <c r="D281" i="2" s="1"/>
  <c r="F281" i="2"/>
  <c r="E281" i="2"/>
  <c r="L280" i="2"/>
  <c r="K280" i="2"/>
  <c r="G280" i="2" s="1"/>
  <c r="D280" i="2" s="1"/>
  <c r="F280" i="2"/>
  <c r="E280" i="2"/>
  <c r="L279" i="2"/>
  <c r="K279" i="2"/>
  <c r="E279" i="2"/>
  <c r="L278" i="2"/>
  <c r="K278" i="2"/>
  <c r="G278" i="2" s="1"/>
  <c r="D278" i="2" s="1"/>
  <c r="F278" i="2"/>
  <c r="E278" i="2"/>
  <c r="L277" i="2"/>
  <c r="K277" i="2"/>
  <c r="F277" i="2" s="1"/>
  <c r="G277" i="2"/>
  <c r="D277" i="2" s="1"/>
  <c r="E277" i="2"/>
  <c r="L276" i="2"/>
  <c r="K276" i="2"/>
  <c r="E276" i="2"/>
  <c r="N275" i="2"/>
  <c r="B275" i="2"/>
  <c r="L274" i="2"/>
  <c r="K274" i="2"/>
  <c r="G274" i="2"/>
  <c r="D274" i="2" s="1"/>
  <c r="F274" i="2"/>
  <c r="E274" i="2"/>
  <c r="L273" i="2"/>
  <c r="K273" i="2"/>
  <c r="G273" i="2" s="1"/>
  <c r="D273" i="2" s="1"/>
  <c r="F273" i="2"/>
  <c r="E273" i="2"/>
  <c r="L272" i="2"/>
  <c r="K272" i="2"/>
  <c r="G272" i="2"/>
  <c r="D272" i="2" s="1"/>
  <c r="F272" i="2"/>
  <c r="E272" i="2"/>
  <c r="L271" i="2"/>
  <c r="K271" i="2"/>
  <c r="G271" i="2" s="1"/>
  <c r="D271" i="2" s="1"/>
  <c r="F271" i="2"/>
  <c r="E271" i="2"/>
  <c r="L270" i="2"/>
  <c r="K270" i="2"/>
  <c r="G270" i="2"/>
  <c r="F270" i="2"/>
  <c r="E270" i="2"/>
  <c r="D270" i="2"/>
  <c r="L269" i="2"/>
  <c r="K269" i="2"/>
  <c r="G269" i="2" s="1"/>
  <c r="D269" i="2" s="1"/>
  <c r="F269" i="2"/>
  <c r="E269" i="2"/>
  <c r="L268" i="2"/>
  <c r="K268" i="2"/>
  <c r="G268" i="2"/>
  <c r="F268" i="2"/>
  <c r="E268" i="2"/>
  <c r="D268" i="2"/>
  <c r="L267" i="2"/>
  <c r="K267" i="2"/>
  <c r="G267" i="2" s="1"/>
  <c r="D267" i="2" s="1"/>
  <c r="F267" i="2"/>
  <c r="E267" i="2"/>
  <c r="L266" i="2"/>
  <c r="K266" i="2"/>
  <c r="E266" i="2"/>
  <c r="L265" i="2"/>
  <c r="K265" i="2"/>
  <c r="E265" i="2"/>
  <c r="B264" i="2"/>
  <c r="J261" i="2"/>
  <c r="G261" i="2"/>
  <c r="F261" i="2"/>
  <c r="E261" i="2"/>
  <c r="D261" i="2"/>
  <c r="J260" i="2"/>
  <c r="G260" i="2" s="1"/>
  <c r="D260" i="2" s="1"/>
  <c r="F260" i="2"/>
  <c r="E260" i="2"/>
  <c r="J259" i="2"/>
  <c r="G259" i="2"/>
  <c r="D259" i="2" s="1"/>
  <c r="F259" i="2"/>
  <c r="E259" i="2"/>
  <c r="J258" i="2"/>
  <c r="G258" i="2" s="1"/>
  <c r="D258" i="2" s="1"/>
  <c r="F258" i="2"/>
  <c r="E258" i="2"/>
  <c r="J257" i="2"/>
  <c r="G257" i="2" s="1"/>
  <c r="D257" i="2" s="1"/>
  <c r="F257" i="2"/>
  <c r="E257" i="2"/>
  <c r="J256" i="2"/>
  <c r="G256" i="2"/>
  <c r="F256" i="2"/>
  <c r="E256" i="2"/>
  <c r="D256" i="2"/>
  <c r="J255" i="2"/>
  <c r="G255" i="2"/>
  <c r="F255" i="2"/>
  <c r="E255" i="2"/>
  <c r="D255" i="2"/>
  <c r="J254" i="2"/>
  <c r="G254" i="2"/>
  <c r="F254" i="2"/>
  <c r="E254" i="2"/>
  <c r="D254" i="2"/>
  <c r="J253" i="2"/>
  <c r="G253" i="2"/>
  <c r="F253" i="2"/>
  <c r="E253" i="2"/>
  <c r="D253" i="2"/>
  <c r="J252" i="2"/>
  <c r="G252" i="2"/>
  <c r="F252" i="2"/>
  <c r="E252" i="2"/>
  <c r="D252" i="2"/>
  <c r="J251" i="2"/>
  <c r="G251" i="2"/>
  <c r="F251" i="2"/>
  <c r="E251" i="2"/>
  <c r="D251" i="2"/>
  <c r="J250" i="2"/>
  <c r="G250" i="2"/>
  <c r="F250" i="2"/>
  <c r="E250" i="2"/>
  <c r="D250" i="2"/>
  <c r="J248" i="2"/>
  <c r="G248" i="2"/>
  <c r="F248" i="2"/>
  <c r="E248" i="2"/>
  <c r="D248" i="2"/>
  <c r="J247" i="2"/>
  <c r="G247" i="2"/>
  <c r="F247" i="2"/>
  <c r="E247" i="2"/>
  <c r="D247" i="2"/>
  <c r="J246" i="2"/>
  <c r="G246" i="2"/>
  <c r="F246" i="2"/>
  <c r="E246" i="2"/>
  <c r="D246" i="2"/>
  <c r="J245" i="2"/>
  <c r="G245" i="2"/>
  <c r="F245" i="2"/>
  <c r="E245" i="2"/>
  <c r="D245" i="2"/>
  <c r="J244" i="2"/>
  <c r="G244" i="2"/>
  <c r="F244" i="2"/>
  <c r="E244" i="2"/>
  <c r="D244" i="2"/>
  <c r="J243" i="2"/>
  <c r="G243" i="2"/>
  <c r="F243" i="2"/>
  <c r="E243" i="2"/>
  <c r="D243" i="2"/>
  <c r="J242" i="2"/>
  <c r="G242" i="2"/>
  <c r="F242" i="2"/>
  <c r="E242" i="2"/>
  <c r="D242" i="2"/>
  <c r="J241" i="2"/>
  <c r="G241" i="2"/>
  <c r="F241" i="2"/>
  <c r="E241" i="2"/>
  <c r="D241" i="2"/>
  <c r="J240" i="2"/>
  <c r="G240" i="2"/>
  <c r="F240" i="2"/>
  <c r="E240" i="2"/>
  <c r="D240" i="2"/>
  <c r="J239" i="2"/>
  <c r="G239" i="2"/>
  <c r="F239" i="2"/>
  <c r="E239" i="2"/>
  <c r="D239" i="2"/>
  <c r="J238" i="2"/>
  <c r="G238" i="2"/>
  <c r="F238" i="2"/>
  <c r="E238" i="2"/>
  <c r="D238" i="2"/>
  <c r="J237" i="2"/>
  <c r="K249" i="2" s="1"/>
  <c r="G237" i="2"/>
  <c r="F237" i="2"/>
  <c r="E237" i="2"/>
  <c r="D237" i="2"/>
  <c r="J233" i="2"/>
  <c r="G233" i="2"/>
  <c r="F233" i="2"/>
  <c r="E233" i="2"/>
  <c r="D233" i="2"/>
  <c r="J232" i="2"/>
  <c r="G232" i="2"/>
  <c r="F232" i="2"/>
  <c r="E232" i="2"/>
  <c r="D232" i="2"/>
  <c r="J231" i="2"/>
  <c r="G231" i="2"/>
  <c r="F231" i="2"/>
  <c r="E231" i="2"/>
  <c r="D231" i="2"/>
  <c r="J230" i="2"/>
  <c r="G230" i="2"/>
  <c r="F230" i="2"/>
  <c r="E230" i="2"/>
  <c r="D230" i="2"/>
  <c r="J229" i="2"/>
  <c r="G229" i="2"/>
  <c r="F229" i="2"/>
  <c r="E229" i="2"/>
  <c r="D229" i="2"/>
  <c r="J228" i="2"/>
  <c r="G228" i="2"/>
  <c r="F228" i="2"/>
  <c r="E228" i="2"/>
  <c r="D228" i="2"/>
  <c r="J227" i="2"/>
  <c r="G227" i="2"/>
  <c r="F227" i="2"/>
  <c r="E227" i="2"/>
  <c r="D227" i="2"/>
  <c r="J226" i="2"/>
  <c r="G226" i="2"/>
  <c r="F226" i="2"/>
  <c r="E226" i="2"/>
  <c r="D226" i="2"/>
  <c r="J225" i="2"/>
  <c r="G225" i="2"/>
  <c r="F225" i="2"/>
  <c r="E225" i="2"/>
  <c r="D225" i="2"/>
  <c r="J224" i="2"/>
  <c r="G224" i="2"/>
  <c r="F224" i="2"/>
  <c r="E224" i="2"/>
  <c r="D224" i="2"/>
  <c r="J223" i="2"/>
  <c r="G223" i="2"/>
  <c r="F223" i="2"/>
  <c r="E223" i="2"/>
  <c r="D223" i="2"/>
  <c r="J222" i="2"/>
  <c r="K234" i="2" s="1"/>
  <c r="G222" i="2"/>
  <c r="F222" i="2"/>
  <c r="E222" i="2"/>
  <c r="D222" i="2"/>
  <c r="J220" i="2"/>
  <c r="G220" i="2"/>
  <c r="F220" i="2"/>
  <c r="E220" i="2"/>
  <c r="D220" i="2"/>
  <c r="J219" i="2"/>
  <c r="G219" i="2"/>
  <c r="F219" i="2"/>
  <c r="E219" i="2"/>
  <c r="D219" i="2"/>
  <c r="J218" i="2"/>
  <c r="G218" i="2"/>
  <c r="F218" i="2"/>
  <c r="E218" i="2"/>
  <c r="D218" i="2"/>
  <c r="J217" i="2"/>
  <c r="G217" i="2"/>
  <c r="F217" i="2"/>
  <c r="E217" i="2"/>
  <c r="D217" i="2"/>
  <c r="J216" i="2"/>
  <c r="G216" i="2"/>
  <c r="F216" i="2"/>
  <c r="E216" i="2"/>
  <c r="D216" i="2"/>
  <c r="J215" i="2"/>
  <c r="G215" i="2"/>
  <c r="F215" i="2"/>
  <c r="E215" i="2"/>
  <c r="D215" i="2"/>
  <c r="J214" i="2"/>
  <c r="G214" i="2"/>
  <c r="F214" i="2"/>
  <c r="E214" i="2"/>
  <c r="D214" i="2"/>
  <c r="J213" i="2"/>
  <c r="G213" i="2"/>
  <c r="F213" i="2"/>
  <c r="E213" i="2"/>
  <c r="D213" i="2"/>
  <c r="J212" i="2"/>
  <c r="G212" i="2"/>
  <c r="F212" i="2"/>
  <c r="E212" i="2"/>
  <c r="D212" i="2"/>
  <c r="J211" i="2"/>
  <c r="G211" i="2"/>
  <c r="F211" i="2"/>
  <c r="E211" i="2"/>
  <c r="D211" i="2"/>
  <c r="J210" i="2"/>
  <c r="G210" i="2"/>
  <c r="F210" i="2"/>
  <c r="E210" i="2"/>
  <c r="D210" i="2"/>
  <c r="J209" i="2"/>
  <c r="K221" i="2" s="1"/>
  <c r="G234" i="2" s="1"/>
  <c r="G209" i="2"/>
  <c r="F209" i="2"/>
  <c r="E209" i="2"/>
  <c r="D209" i="2"/>
  <c r="N206" i="2"/>
  <c r="L205" i="2"/>
  <c r="K205" i="2"/>
  <c r="L204" i="2"/>
  <c r="K204" i="2"/>
  <c r="L203" i="2"/>
  <c r="K203" i="2"/>
  <c r="L202" i="2"/>
  <c r="K202" i="2"/>
  <c r="L201" i="2"/>
  <c r="L200" i="2"/>
  <c r="K201" i="2" s="1"/>
  <c r="K200" i="2"/>
  <c r="N199" i="2"/>
  <c r="B199" i="2"/>
  <c r="L198" i="2"/>
  <c r="K198" i="2"/>
  <c r="E198" i="2"/>
  <c r="L197" i="2"/>
  <c r="K197" i="2"/>
  <c r="E197" i="2" s="1"/>
  <c r="L196" i="2"/>
  <c r="K196" i="2"/>
  <c r="L195" i="2"/>
  <c r="K195" i="2"/>
  <c r="L194" i="2"/>
  <c r="L193" i="2"/>
  <c r="K194" i="2" s="1"/>
  <c r="K193" i="2"/>
  <c r="N192" i="2"/>
  <c r="B192" i="2"/>
  <c r="L191" i="2"/>
  <c r="K191" i="2"/>
  <c r="G191" i="2"/>
  <c r="F191" i="2"/>
  <c r="E191" i="2"/>
  <c r="D191" i="2"/>
  <c r="L190" i="2"/>
  <c r="K190" i="2"/>
  <c r="L189" i="2"/>
  <c r="K189" i="2"/>
  <c r="L188" i="2"/>
  <c r="L187" i="2"/>
  <c r="K188" i="2" s="1"/>
  <c r="L186" i="2"/>
  <c r="K187" i="2" s="1"/>
  <c r="K186" i="2"/>
  <c r="N185" i="2"/>
  <c r="B185" i="2"/>
  <c r="L184" i="2"/>
  <c r="K184" i="2"/>
  <c r="G184" i="2" s="1"/>
  <c r="D184" i="2" s="1"/>
  <c r="F184" i="2"/>
  <c r="E184" i="2"/>
  <c r="L183" i="2"/>
  <c r="K183" i="2"/>
  <c r="G183" i="2" s="1"/>
  <c r="D183" i="2" s="1"/>
  <c r="L182" i="2"/>
  <c r="K182" i="2"/>
  <c r="E182" i="2"/>
  <c r="L181" i="2"/>
  <c r="K181" i="2"/>
  <c r="F181" i="2" s="1"/>
  <c r="L180" i="2"/>
  <c r="L179" i="2"/>
  <c r="K180" i="2" s="1"/>
  <c r="K179" i="2"/>
  <c r="N178" i="2"/>
  <c r="B178" i="2"/>
  <c r="L177" i="2"/>
  <c r="K177" i="2"/>
  <c r="G177" i="2" s="1"/>
  <c r="D177" i="2" s="1"/>
  <c r="F177" i="2"/>
  <c r="E177" i="2"/>
  <c r="L176" i="2"/>
  <c r="K176" i="2"/>
  <c r="E176" i="2" s="1"/>
  <c r="L175" i="2"/>
  <c r="K175" i="2"/>
  <c r="L174" i="2"/>
  <c r="K174" i="2"/>
  <c r="L173" i="2"/>
  <c r="L172" i="2"/>
  <c r="K173" i="2" s="1"/>
  <c r="K172" i="2"/>
  <c r="N171" i="2"/>
  <c r="B171" i="2"/>
  <c r="L170" i="2"/>
  <c r="K170" i="2"/>
  <c r="L169" i="2"/>
  <c r="K169" i="2"/>
  <c r="E169" i="2"/>
  <c r="L168" i="2"/>
  <c r="K168" i="2"/>
  <c r="L167" i="2"/>
  <c r="K167" i="2"/>
  <c r="E167" i="2" s="1"/>
  <c r="L166" i="2"/>
  <c r="L165" i="2"/>
  <c r="K166" i="2" s="1"/>
  <c r="K165" i="2"/>
  <c r="N164" i="2"/>
  <c r="B164" i="2"/>
  <c r="L163" i="2"/>
  <c r="K163" i="2"/>
  <c r="E163" i="2" s="1"/>
  <c r="G163" i="2"/>
  <c r="D163" i="2" s="1"/>
  <c r="F163" i="2"/>
  <c r="L162" i="2"/>
  <c r="K162" i="2"/>
  <c r="F162" i="2"/>
  <c r="L161" i="2"/>
  <c r="K161" i="2"/>
  <c r="L160" i="2"/>
  <c r="K160" i="2"/>
  <c r="L159" i="2"/>
  <c r="L158" i="2"/>
  <c r="K159" i="2" s="1"/>
  <c r="K158" i="2"/>
  <c r="N157" i="2"/>
  <c r="B157" i="2"/>
  <c r="L156" i="2"/>
  <c r="K156" i="2"/>
  <c r="L155" i="2"/>
  <c r="K155" i="2"/>
  <c r="L154" i="2"/>
  <c r="K154" i="2"/>
  <c r="L153" i="2"/>
  <c r="K153" i="2"/>
  <c r="L152" i="2"/>
  <c r="K152" i="2"/>
  <c r="L151" i="2"/>
  <c r="K151" i="2"/>
  <c r="N150" i="2"/>
  <c r="B150" i="2"/>
  <c r="L149" i="2"/>
  <c r="K149" i="2"/>
  <c r="L148" i="2"/>
  <c r="K148" i="2"/>
  <c r="L147" i="2"/>
  <c r="K147" i="2"/>
  <c r="L146" i="2"/>
  <c r="K146" i="2"/>
  <c r="L145" i="2"/>
  <c r="K145" i="2"/>
  <c r="L144" i="2"/>
  <c r="K144" i="2"/>
  <c r="N143" i="2"/>
  <c r="B143" i="2"/>
  <c r="L142" i="2"/>
  <c r="K142" i="2"/>
  <c r="L141" i="2"/>
  <c r="K141" i="2"/>
  <c r="E141" i="2" s="1"/>
  <c r="L140" i="2"/>
  <c r="K140" i="2"/>
  <c r="L139" i="2"/>
  <c r="K139" i="2"/>
  <c r="L138" i="2"/>
  <c r="K138" i="2"/>
  <c r="L137" i="2"/>
  <c r="K137" i="2"/>
  <c r="N136" i="2"/>
  <c r="B136" i="2"/>
  <c r="L135" i="2"/>
  <c r="K135" i="2"/>
  <c r="L134" i="2"/>
  <c r="K134" i="2"/>
  <c r="L133" i="2"/>
  <c r="L132" i="2"/>
  <c r="L131" i="2"/>
  <c r="L130" i="2"/>
  <c r="K130" i="2" s="1"/>
  <c r="N129" i="2"/>
  <c r="B129" i="2"/>
  <c r="L128" i="2"/>
  <c r="K128" i="2"/>
  <c r="F128" i="2"/>
  <c r="L127" i="2"/>
  <c r="K127" i="2"/>
  <c r="L126" i="2"/>
  <c r="K126" i="2"/>
  <c r="L125" i="2"/>
  <c r="K125" i="2"/>
  <c r="E125" i="2" s="1"/>
  <c r="L124" i="2"/>
  <c r="K124" i="2"/>
  <c r="L123" i="2"/>
  <c r="K123" i="2"/>
  <c r="N122" i="2"/>
  <c r="B122" i="2"/>
  <c r="L121" i="2"/>
  <c r="K121" i="2"/>
  <c r="E121" i="2" s="1"/>
  <c r="L120" i="2"/>
  <c r="K120" i="2"/>
  <c r="L119" i="2"/>
  <c r="L118" i="2"/>
  <c r="K119" i="2" s="1"/>
  <c r="L117" i="2"/>
  <c r="K118" i="2" s="1"/>
  <c r="L116" i="2"/>
  <c r="K117" i="2" s="1"/>
  <c r="K116" i="2"/>
  <c r="N115" i="2"/>
  <c r="B115" i="2"/>
  <c r="L114" i="2"/>
  <c r="K114" i="2"/>
  <c r="G114" i="2"/>
  <c r="D114" i="2" s="1"/>
  <c r="L113" i="2"/>
  <c r="K113" i="2"/>
  <c r="L112" i="2"/>
  <c r="K112" i="2"/>
  <c r="L111" i="2"/>
  <c r="K111" i="2"/>
  <c r="L110" i="2"/>
  <c r="L109" i="2"/>
  <c r="K110" i="2" s="1"/>
  <c r="K109" i="2"/>
  <c r="N108" i="2"/>
  <c r="B108" i="2"/>
  <c r="L107" i="2"/>
  <c r="K107" i="2"/>
  <c r="E107" i="2" s="1"/>
  <c r="L106" i="2"/>
  <c r="K106" i="2"/>
  <c r="E106" i="2" s="1"/>
  <c r="L105" i="2"/>
  <c r="K105" i="2"/>
  <c r="L104" i="2"/>
  <c r="K104" i="2"/>
  <c r="L103" i="2"/>
  <c r="L102" i="2"/>
  <c r="K103" i="2" s="1"/>
  <c r="K102" i="2"/>
  <c r="N101" i="2"/>
  <c r="B101" i="2"/>
  <c r="L100" i="2"/>
  <c r="K100" i="2"/>
  <c r="L99" i="2"/>
  <c r="K99" i="2"/>
  <c r="L98" i="2"/>
  <c r="K98" i="2"/>
  <c r="F98" i="2" s="1"/>
  <c r="L97" i="2"/>
  <c r="K97" i="2"/>
  <c r="L96" i="2"/>
  <c r="L95" i="2"/>
  <c r="K96" i="2" s="1"/>
  <c r="K95" i="2"/>
  <c r="N94" i="2"/>
  <c r="B94" i="2"/>
  <c r="L93" i="2"/>
  <c r="K93" i="2"/>
  <c r="F93" i="2" s="1"/>
  <c r="L92" i="2"/>
  <c r="K92" i="2"/>
  <c r="L91" i="2"/>
  <c r="K91" i="2"/>
  <c r="L90" i="2"/>
  <c r="K90" i="2"/>
  <c r="L89" i="2"/>
  <c r="K89" i="2"/>
  <c r="E89" i="2" s="1"/>
  <c r="L88" i="2"/>
  <c r="K88" i="2"/>
  <c r="N87" i="2"/>
  <c r="B87" i="2"/>
  <c r="L86" i="2"/>
  <c r="K86" i="2"/>
  <c r="E86" i="2" s="1"/>
  <c r="L85" i="2"/>
  <c r="K85" i="2"/>
  <c r="L84" i="2"/>
  <c r="K84" i="2"/>
  <c r="F84" i="2" s="1"/>
  <c r="L83" i="2"/>
  <c r="K83" i="2"/>
  <c r="L82" i="2"/>
  <c r="L81" i="2"/>
  <c r="K82" i="2" s="1"/>
  <c r="K81" i="2"/>
  <c r="N80" i="2"/>
  <c r="B80" i="2"/>
  <c r="L79" i="2"/>
  <c r="K79" i="2"/>
  <c r="L78" i="2"/>
  <c r="K78" i="2"/>
  <c r="L77" i="2"/>
  <c r="K77" i="2"/>
  <c r="L76" i="2"/>
  <c r="K76" i="2"/>
  <c r="L75" i="2"/>
  <c r="L74" i="2"/>
  <c r="K75" i="2" s="1"/>
  <c r="K74" i="2"/>
  <c r="N73" i="2"/>
  <c r="B73" i="2"/>
  <c r="L72" i="2"/>
  <c r="K72" i="2"/>
  <c r="L71" i="2"/>
  <c r="K71" i="2"/>
  <c r="L70" i="2"/>
  <c r="K70" i="2"/>
  <c r="F70" i="2" s="1"/>
  <c r="L69" i="2"/>
  <c r="K69" i="2"/>
  <c r="L68" i="2"/>
  <c r="K68" i="2"/>
  <c r="E68" i="2" s="1"/>
  <c r="L67" i="2"/>
  <c r="K67" i="2"/>
  <c r="N66" i="2"/>
  <c r="B66" i="2"/>
  <c r="L65" i="2"/>
  <c r="K65" i="2"/>
  <c r="L64" i="2"/>
  <c r="K64" i="2"/>
  <c r="L63" i="2"/>
  <c r="K63" i="2"/>
  <c r="L62" i="2"/>
  <c r="K62" i="2"/>
  <c r="L61" i="2"/>
  <c r="K61" i="2"/>
  <c r="L60" i="2"/>
  <c r="K60" i="2"/>
  <c r="N59" i="2"/>
  <c r="B59" i="2"/>
  <c r="L58" i="2"/>
  <c r="K58" i="2"/>
  <c r="L57" i="2"/>
  <c r="K57" i="2"/>
  <c r="L56" i="2"/>
  <c r="K56" i="2"/>
  <c r="L55" i="2"/>
  <c r="K55" i="2"/>
  <c r="L54" i="2"/>
  <c r="K54" i="2"/>
  <c r="L53" i="2"/>
  <c r="K53" i="2"/>
  <c r="N52" i="2"/>
  <c r="B52" i="2"/>
  <c r="L51" i="2"/>
  <c r="K51" i="2"/>
  <c r="E51" i="2" s="1"/>
  <c r="L50" i="2"/>
  <c r="K50" i="2"/>
  <c r="L49" i="2"/>
  <c r="K49" i="2"/>
  <c r="L48" i="2"/>
  <c r="K48" i="2"/>
  <c r="L47" i="2"/>
  <c r="K47" i="2"/>
  <c r="L46" i="2"/>
  <c r="K46" i="2"/>
  <c r="N45" i="2"/>
  <c r="B45" i="2"/>
  <c r="L44" i="2"/>
  <c r="K44" i="2"/>
  <c r="L43" i="2"/>
  <c r="K43" i="2"/>
  <c r="L42" i="2"/>
  <c r="K42" i="2"/>
  <c r="L41" i="2"/>
  <c r="K41" i="2"/>
  <c r="E41" i="2" s="1"/>
  <c r="L40" i="2"/>
  <c r="K40" i="2"/>
  <c r="L39" i="2"/>
  <c r="J38" i="2"/>
  <c r="I38" i="2"/>
  <c r="B38" i="2"/>
  <c r="J33" i="2"/>
  <c r="G33" i="2"/>
  <c r="F33" i="2"/>
  <c r="E33" i="2"/>
  <c r="J32" i="2"/>
  <c r="K34" i="2" s="1"/>
  <c r="G34" i="2" s="1"/>
  <c r="G32" i="2"/>
  <c r="F32" i="2"/>
  <c r="E32" i="2"/>
  <c r="J29" i="2"/>
  <c r="G29" i="2" s="1"/>
  <c r="D29" i="2" s="1"/>
  <c r="E29" i="2"/>
  <c r="J28" i="2"/>
  <c r="G28" i="2" s="1"/>
  <c r="D28" i="2" s="1"/>
  <c r="E28" i="2"/>
  <c r="J27" i="2"/>
  <c r="E27" i="2"/>
  <c r="C20" i="2"/>
  <c r="C18" i="2"/>
  <c r="C17" i="2"/>
  <c r="H234" i="1"/>
  <c r="H233" i="1"/>
  <c r="H229" i="1"/>
  <c r="I219" i="1"/>
  <c r="J219" i="1" s="1"/>
  <c r="I217" i="1"/>
  <c r="J217" i="1" s="1"/>
  <c r="I216" i="1"/>
  <c r="J216" i="1" s="1"/>
  <c r="I215" i="1"/>
  <c r="J215" i="1" s="1"/>
  <c r="I213" i="1"/>
  <c r="J213" i="1" s="1"/>
  <c r="I212" i="1"/>
  <c r="J212" i="1" s="1"/>
  <c r="I211" i="1"/>
  <c r="J211" i="1" s="1"/>
  <c r="I209" i="1"/>
  <c r="J209" i="1" s="1"/>
  <c r="I208" i="1"/>
  <c r="J208" i="1" s="1"/>
  <c r="I207" i="1"/>
  <c r="J207" i="1" s="1"/>
  <c r="I205" i="1"/>
  <c r="J205" i="1" s="1"/>
  <c r="I204" i="1"/>
  <c r="J204" i="1" s="1"/>
  <c r="I203" i="1"/>
  <c r="I195" i="1"/>
  <c r="J195" i="1" s="1"/>
  <c r="I194" i="1"/>
  <c r="J194" i="1" s="1"/>
  <c r="I192" i="1"/>
  <c r="J192" i="1" s="1"/>
  <c r="I191" i="1"/>
  <c r="J191" i="1" s="1"/>
  <c r="I188" i="1"/>
  <c r="J188" i="1" s="1"/>
  <c r="I187" i="1"/>
  <c r="J187" i="1" s="1"/>
  <c r="I185" i="1"/>
  <c r="J185" i="1" s="1"/>
  <c r="I184" i="1"/>
  <c r="J184" i="1" s="1"/>
  <c r="I182" i="1"/>
  <c r="J182" i="1" s="1"/>
  <c r="I180" i="1"/>
  <c r="J180" i="1" s="1"/>
  <c r="I179" i="1"/>
  <c r="J179" i="1" s="1"/>
  <c r="I178" i="1"/>
  <c r="J178" i="1" s="1"/>
  <c r="I176" i="1"/>
  <c r="J176" i="1" s="1"/>
  <c r="I175" i="1"/>
  <c r="J175" i="1" s="1"/>
  <c r="I174" i="1"/>
  <c r="J174" i="1" s="1"/>
  <c r="I171" i="1"/>
  <c r="J171" i="1" s="1"/>
  <c r="I170" i="1"/>
  <c r="J170" i="1" s="1"/>
  <c r="I168" i="1"/>
  <c r="J168" i="1" s="1"/>
  <c r="I167" i="1"/>
  <c r="J167" i="1" s="1"/>
  <c r="I164" i="1"/>
  <c r="J164" i="1" s="1"/>
  <c r="I163" i="1"/>
  <c r="J163" i="1" s="1"/>
  <c r="I159" i="1"/>
  <c r="J159" i="1" s="1"/>
  <c r="I157" i="1"/>
  <c r="J157" i="1" s="1"/>
  <c r="I156" i="1"/>
  <c r="J156" i="1" s="1"/>
  <c r="I155" i="1"/>
  <c r="J155" i="1" s="1"/>
  <c r="I153" i="1"/>
  <c r="J153" i="1" s="1"/>
  <c r="I152" i="1"/>
  <c r="J152" i="1" s="1"/>
  <c r="I151" i="1"/>
  <c r="J151" i="1" s="1"/>
  <c r="I150" i="1"/>
  <c r="J150" i="1" s="1"/>
  <c r="I148" i="1"/>
  <c r="J148" i="1" s="1"/>
  <c r="I147" i="1"/>
  <c r="J147" i="1" s="1"/>
  <c r="I146" i="1"/>
  <c r="J138" i="1"/>
  <c r="I137" i="1"/>
  <c r="J137" i="1" s="1"/>
  <c r="I135" i="1"/>
  <c r="J135" i="1" s="1"/>
  <c r="I132" i="1"/>
  <c r="J132" i="1" s="1"/>
  <c r="I131" i="1"/>
  <c r="J131" i="1" s="1"/>
  <c r="I130" i="1"/>
  <c r="J130" i="1" s="1"/>
  <c r="I128" i="1"/>
  <c r="J128" i="1" s="1"/>
  <c r="I127" i="1"/>
  <c r="J127" i="1" s="1"/>
  <c r="I125" i="1"/>
  <c r="J125" i="1" s="1"/>
  <c r="I123" i="1"/>
  <c r="J123" i="1" s="1"/>
  <c r="I121" i="1"/>
  <c r="J121" i="1" s="1"/>
  <c r="I120" i="1"/>
  <c r="J120" i="1" s="1"/>
  <c r="I119" i="1"/>
  <c r="J119" i="1" s="1"/>
  <c r="I118" i="1"/>
  <c r="J118" i="1" s="1"/>
  <c r="J117" i="1"/>
  <c r="I116" i="1"/>
  <c r="J116" i="1" s="1"/>
  <c r="I115" i="1"/>
  <c r="J115" i="1" s="1"/>
  <c r="I111" i="1"/>
  <c r="J111" i="1" s="1"/>
  <c r="I108" i="1"/>
  <c r="J108" i="1" s="1"/>
  <c r="I107" i="1"/>
  <c r="J107" i="1" s="1"/>
  <c r="I106" i="1"/>
  <c r="J106" i="1" s="1"/>
  <c r="I101" i="1"/>
  <c r="J101" i="1" s="1"/>
  <c r="I100" i="1"/>
  <c r="J100" i="1" s="1"/>
  <c r="I99" i="1"/>
  <c r="J99" i="1" s="1"/>
  <c r="I98" i="1"/>
  <c r="J98" i="1" s="1"/>
  <c r="I97" i="1"/>
  <c r="J97" i="1" s="1"/>
  <c r="I96" i="1"/>
  <c r="J96" i="1" s="1"/>
  <c r="I95" i="1"/>
  <c r="J95" i="1" s="1"/>
  <c r="I88" i="1"/>
  <c r="J88" i="1" s="1"/>
  <c r="I87" i="1"/>
  <c r="J87" i="1" s="1"/>
  <c r="I85" i="1"/>
  <c r="J85" i="1" s="1"/>
  <c r="I84" i="1"/>
  <c r="J84" i="1" s="1"/>
  <c r="I82" i="1"/>
  <c r="J82" i="1" s="1"/>
  <c r="I81" i="1"/>
  <c r="J81" i="1" s="1"/>
  <c r="I79" i="1"/>
  <c r="J79" i="1" s="1"/>
  <c r="I78" i="1"/>
  <c r="J78" i="1" s="1"/>
  <c r="I77" i="1"/>
  <c r="J77" i="1" s="1"/>
  <c r="I76" i="1"/>
  <c r="J76" i="1" s="1"/>
  <c r="I75" i="1"/>
  <c r="J75" i="1" s="1"/>
  <c r="I71" i="1"/>
  <c r="J71" i="1" s="1"/>
  <c r="I70" i="1"/>
  <c r="J70" i="1" s="1"/>
  <c r="I60" i="1"/>
  <c r="J60" i="1" s="1"/>
  <c r="I59" i="1"/>
  <c r="J59" i="1" s="1"/>
  <c r="I58" i="1"/>
  <c r="J58" i="1" s="1"/>
  <c r="I55" i="1"/>
  <c r="J55" i="1" s="1"/>
  <c r="I54" i="1"/>
  <c r="J54" i="1" s="1"/>
  <c r="I53" i="1"/>
  <c r="J53" i="1" s="1"/>
  <c r="T52" i="1"/>
  <c r="T51" i="1"/>
  <c r="T50" i="1"/>
  <c r="I48" i="1"/>
  <c r="J48" i="1" s="1"/>
  <c r="I38" i="1"/>
  <c r="J38" i="1" s="1"/>
  <c r="I36" i="1"/>
  <c r="J36" i="1" s="1"/>
  <c r="F29" i="2" l="1"/>
  <c r="K30" i="2"/>
  <c r="G30" i="2" s="1"/>
  <c r="I35" i="1"/>
  <c r="J35" i="1" s="1"/>
  <c r="F28" i="2"/>
  <c r="F27" i="2"/>
  <c r="I34" i="1"/>
  <c r="J34" i="1" s="1"/>
  <c r="G27" i="2"/>
  <c r="D27" i="2" s="1"/>
  <c r="G52" i="3"/>
  <c r="O52" i="3"/>
  <c r="O50" i="3"/>
  <c r="G198" i="2"/>
  <c r="D198" i="2" s="1"/>
  <c r="F198" i="2"/>
  <c r="G195" i="2"/>
  <c r="D195" i="2" s="1"/>
  <c r="F195" i="2"/>
  <c r="E195" i="2"/>
  <c r="F203" i="2"/>
  <c r="E203" i="2"/>
  <c r="G203" i="2"/>
  <c r="D203" i="2" s="1"/>
  <c r="G202" i="2"/>
  <c r="D202" i="2" s="1"/>
  <c r="E202" i="2"/>
  <c r="F202" i="2"/>
  <c r="F197" i="2"/>
  <c r="G197" i="2"/>
  <c r="D197" i="2" s="1"/>
  <c r="G196" i="2"/>
  <c r="D196" i="2" s="1"/>
  <c r="E196" i="2"/>
  <c r="F196" i="2"/>
  <c r="G182" i="2"/>
  <c r="D182" i="2" s="1"/>
  <c r="F182" i="2"/>
  <c r="G175" i="2"/>
  <c r="D175" i="2" s="1"/>
  <c r="E175" i="2"/>
  <c r="F175" i="2"/>
  <c r="G169" i="2"/>
  <c r="D169" i="2" s="1"/>
  <c r="F169" i="2"/>
  <c r="E128" i="2"/>
  <c r="G128" i="2"/>
  <c r="D128" i="2" s="1"/>
  <c r="E65" i="2"/>
  <c r="G65" i="2"/>
  <c r="D65" i="2" s="1"/>
  <c r="F65" i="2"/>
  <c r="E174" i="2"/>
  <c r="G174" i="2"/>
  <c r="D174" i="2" s="1"/>
  <c r="F174" i="2"/>
  <c r="F168" i="2"/>
  <c r="E168" i="2"/>
  <c r="G168" i="2"/>
  <c r="D168" i="2" s="1"/>
  <c r="E155" i="2"/>
  <c r="G155" i="2"/>
  <c r="D155" i="2" s="1"/>
  <c r="F155" i="2"/>
  <c r="G153" i="2"/>
  <c r="D153" i="2" s="1"/>
  <c r="F153" i="2"/>
  <c r="E153" i="2"/>
  <c r="F121" i="2"/>
  <c r="G121" i="2"/>
  <c r="D121" i="2" s="1"/>
  <c r="E114" i="2"/>
  <c r="F114" i="2"/>
  <c r="K896" i="2"/>
  <c r="K893" i="2"/>
  <c r="K1054" i="2"/>
  <c r="K1045" i="2"/>
  <c r="K976" i="2"/>
  <c r="G1009" i="2" s="1"/>
  <c r="I68" i="1" s="1"/>
  <c r="J68" i="1" s="1"/>
  <c r="K932" i="2"/>
  <c r="K1108" i="2"/>
  <c r="K872" i="2"/>
  <c r="G935" i="2" s="1"/>
  <c r="I66" i="1" s="1"/>
  <c r="J66" i="1" s="1"/>
  <c r="K262" i="2"/>
  <c r="G262" i="2" s="1"/>
  <c r="I50" i="1" s="1"/>
  <c r="J50" i="1" s="1"/>
  <c r="K133" i="2"/>
  <c r="K1210" i="2"/>
  <c r="G1223" i="2" s="1"/>
  <c r="G1198" i="2"/>
  <c r="D1198" i="2" s="1"/>
  <c r="K1182" i="2"/>
  <c r="G1195" i="2" s="1"/>
  <c r="G1170" i="2"/>
  <c r="D1170" i="2" s="1"/>
  <c r="K1167" i="2"/>
  <c r="G1155" i="2"/>
  <c r="D1155" i="2" s="1"/>
  <c r="K1154" i="2"/>
  <c r="G1167" i="2" s="1"/>
  <c r="G1142" i="2"/>
  <c r="D1142" i="2" s="1"/>
  <c r="F1133" i="2"/>
  <c r="G1133" i="2"/>
  <c r="D1133" i="2" s="1"/>
  <c r="F1132" i="2"/>
  <c r="G1132" i="2"/>
  <c r="D1132" i="2" s="1"/>
  <c r="F1131" i="2"/>
  <c r="G1131" i="2"/>
  <c r="D1131" i="2" s="1"/>
  <c r="F1130" i="2"/>
  <c r="G1130" i="2"/>
  <c r="D1130" i="2" s="1"/>
  <c r="F1129" i="2"/>
  <c r="G1129" i="2"/>
  <c r="D1129" i="2" s="1"/>
  <c r="F1128" i="2"/>
  <c r="G1128" i="2"/>
  <c r="D1128" i="2" s="1"/>
  <c r="K1139" i="2"/>
  <c r="G1127" i="2"/>
  <c r="D1127" i="2" s="1"/>
  <c r="F1127" i="2"/>
  <c r="F1119" i="2"/>
  <c r="G1119" i="2"/>
  <c r="D1119" i="2" s="1"/>
  <c r="F1118" i="2"/>
  <c r="G1118" i="2"/>
  <c r="D1118" i="2" s="1"/>
  <c r="F1117" i="2"/>
  <c r="G1117" i="2"/>
  <c r="D1117" i="2" s="1"/>
  <c r="G1116" i="2"/>
  <c r="D1116" i="2" s="1"/>
  <c r="F1116" i="2"/>
  <c r="G1115" i="2"/>
  <c r="D1115" i="2" s="1"/>
  <c r="F1115" i="2"/>
  <c r="K1126" i="2"/>
  <c r="G1139" i="2" s="1"/>
  <c r="G1114" i="2"/>
  <c r="D1114" i="2" s="1"/>
  <c r="F1114" i="2"/>
  <c r="I80" i="1" s="1"/>
  <c r="J80" i="1" s="1"/>
  <c r="K1111" i="2"/>
  <c r="G1109" i="2"/>
  <c r="D1109" i="2" s="1"/>
  <c r="K1096" i="2"/>
  <c r="G1094" i="2"/>
  <c r="D1094" i="2" s="1"/>
  <c r="K1093" i="2"/>
  <c r="G1091" i="2"/>
  <c r="D1091" i="2" s="1"/>
  <c r="K1090" i="2"/>
  <c r="G1088" i="2"/>
  <c r="D1088" i="2" s="1"/>
  <c r="K1087" i="2"/>
  <c r="G1085" i="2"/>
  <c r="D1085" i="2" s="1"/>
  <c r="K1078" i="2"/>
  <c r="G1076" i="2"/>
  <c r="D1076" i="2" s="1"/>
  <c r="K1063" i="2"/>
  <c r="G1061" i="2"/>
  <c r="D1061" i="2" s="1"/>
  <c r="K1060" i="2"/>
  <c r="G1058" i="2"/>
  <c r="D1058" i="2" s="1"/>
  <c r="K1057" i="2"/>
  <c r="G1055" i="2"/>
  <c r="D1055" i="2" s="1"/>
  <c r="K1051" i="2"/>
  <c r="G1049" i="2"/>
  <c r="D1049" i="2" s="1"/>
  <c r="K1048" i="2"/>
  <c r="G1046" i="2"/>
  <c r="D1046" i="2" s="1"/>
  <c r="K1042" i="2"/>
  <c r="G1040" i="2"/>
  <c r="D1040" i="2" s="1"/>
  <c r="K1037" i="2"/>
  <c r="G1025" i="2"/>
  <c r="D1025" i="2" s="1"/>
  <c r="K1024" i="2"/>
  <c r="G1037" i="2" s="1"/>
  <c r="G1012" i="2"/>
  <c r="D1012" i="2" s="1"/>
  <c r="K1003" i="2"/>
  <c r="G1001" i="2"/>
  <c r="D1001" i="2" s="1"/>
  <c r="K997" i="2"/>
  <c r="G995" i="2"/>
  <c r="D995" i="2" s="1"/>
  <c r="K994" i="2"/>
  <c r="G992" i="2"/>
  <c r="D992" i="2" s="1"/>
  <c r="K991" i="2"/>
  <c r="G989" i="2"/>
  <c r="D989" i="2" s="1"/>
  <c r="K988" i="2"/>
  <c r="G986" i="2"/>
  <c r="D986" i="2" s="1"/>
  <c r="K985" i="2"/>
  <c r="G983" i="2"/>
  <c r="D983" i="2" s="1"/>
  <c r="K979" i="2"/>
  <c r="G977" i="2"/>
  <c r="D977" i="2" s="1"/>
  <c r="K973" i="2"/>
  <c r="G971" i="2"/>
  <c r="D971" i="2" s="1"/>
  <c r="K970" i="2"/>
  <c r="G968" i="2"/>
  <c r="D968" i="2" s="1"/>
  <c r="K967" i="2"/>
  <c r="G965" i="2"/>
  <c r="D965" i="2" s="1"/>
  <c r="K964" i="2"/>
  <c r="G962" i="2"/>
  <c r="D962" i="2" s="1"/>
  <c r="K958" i="2"/>
  <c r="G956" i="2"/>
  <c r="D956" i="2" s="1"/>
  <c r="K952" i="2"/>
  <c r="G950" i="2"/>
  <c r="D950" i="2" s="1"/>
  <c r="K949" i="2"/>
  <c r="G947" i="2"/>
  <c r="D947" i="2" s="1"/>
  <c r="K946" i="2"/>
  <c r="G944" i="2"/>
  <c r="D944" i="2" s="1"/>
  <c r="K943" i="2"/>
  <c r="G941" i="2"/>
  <c r="D941" i="2" s="1"/>
  <c r="K940" i="2"/>
  <c r="G938" i="2"/>
  <c r="D938" i="2" s="1"/>
  <c r="K935" i="2"/>
  <c r="G933" i="2"/>
  <c r="D933" i="2" s="1"/>
  <c r="K929" i="2"/>
  <c r="G927" i="2"/>
  <c r="D927" i="2" s="1"/>
  <c r="K926" i="2"/>
  <c r="G924" i="2"/>
  <c r="D924" i="2" s="1"/>
  <c r="K923" i="2"/>
  <c r="G921" i="2"/>
  <c r="D921" i="2" s="1"/>
  <c r="K920" i="2"/>
  <c r="G918" i="2"/>
  <c r="D918" i="2" s="1"/>
  <c r="K917" i="2"/>
  <c r="G915" i="2"/>
  <c r="D915" i="2" s="1"/>
  <c r="K914" i="2"/>
  <c r="G912" i="2"/>
  <c r="D912" i="2" s="1"/>
  <c r="K911" i="2"/>
  <c r="G909" i="2"/>
  <c r="D909" i="2" s="1"/>
  <c r="K908" i="2"/>
  <c r="G906" i="2"/>
  <c r="D906" i="2" s="1"/>
  <c r="K905" i="2"/>
  <c r="G903" i="2"/>
  <c r="D903" i="2" s="1"/>
  <c r="K902" i="2"/>
  <c r="G900" i="2"/>
  <c r="D900" i="2" s="1"/>
  <c r="K899" i="2"/>
  <c r="G897" i="2"/>
  <c r="D897" i="2" s="1"/>
  <c r="K890" i="2"/>
  <c r="G888" i="2"/>
  <c r="D888" i="2" s="1"/>
  <c r="K887" i="2"/>
  <c r="G885" i="2"/>
  <c r="D885" i="2" s="1"/>
  <c r="K884" i="2"/>
  <c r="G882" i="2"/>
  <c r="D882" i="2" s="1"/>
  <c r="K875" i="2"/>
  <c r="G873" i="2"/>
  <c r="D873" i="2" s="1"/>
  <c r="N817" i="2"/>
  <c r="G807" i="2"/>
  <c r="D807" i="2" s="1"/>
  <c r="G804" i="2"/>
  <c r="D804" i="2" s="1"/>
  <c r="F804" i="2"/>
  <c r="G803" i="2"/>
  <c r="D803" i="2" s="1"/>
  <c r="F803" i="2"/>
  <c r="G799" i="2"/>
  <c r="D799" i="2" s="1"/>
  <c r="F799" i="2"/>
  <c r="F765" i="2"/>
  <c r="G765" i="2"/>
  <c r="D765" i="2" s="1"/>
  <c r="F756" i="2"/>
  <c r="G756" i="2"/>
  <c r="D756" i="2" s="1"/>
  <c r="F755" i="2"/>
  <c r="G755" i="2"/>
  <c r="D755" i="2" s="1"/>
  <c r="F754" i="2"/>
  <c r="G754" i="2"/>
  <c r="D754" i="2" s="1"/>
  <c r="F752" i="2"/>
  <c r="G752" i="2"/>
  <c r="D752" i="2" s="1"/>
  <c r="F741" i="2"/>
  <c r="G741" i="2"/>
  <c r="D741" i="2" s="1"/>
  <c r="N747" i="2"/>
  <c r="G738" i="2"/>
  <c r="D738" i="2" s="1"/>
  <c r="N657" i="2"/>
  <c r="G651" i="2"/>
  <c r="D651" i="2" s="1"/>
  <c r="F649" i="2"/>
  <c r="G649" i="2"/>
  <c r="D649" i="2" s="1"/>
  <c r="N646" i="2"/>
  <c r="F637" i="2"/>
  <c r="G637" i="2"/>
  <c r="D637" i="2" s="1"/>
  <c r="G636" i="2"/>
  <c r="D636" i="2" s="1"/>
  <c r="F636" i="2"/>
  <c r="G566" i="2"/>
  <c r="D566" i="2" s="1"/>
  <c r="F566" i="2"/>
  <c r="G564" i="2"/>
  <c r="D564" i="2" s="1"/>
  <c r="F564" i="2"/>
  <c r="G538" i="2"/>
  <c r="D538" i="2" s="1"/>
  <c r="F538" i="2"/>
  <c r="F537" i="2"/>
  <c r="G537" i="2"/>
  <c r="D537" i="2" s="1"/>
  <c r="F526" i="2"/>
  <c r="G526" i="2"/>
  <c r="D526" i="2" s="1"/>
  <c r="G524" i="2"/>
  <c r="D524" i="2" s="1"/>
  <c r="F524" i="2"/>
  <c r="F516" i="2"/>
  <c r="G516" i="2"/>
  <c r="D516" i="2" s="1"/>
  <c r="G515" i="2"/>
  <c r="D515" i="2" s="1"/>
  <c r="F515" i="2"/>
  <c r="F514" i="2"/>
  <c r="G514" i="2"/>
  <c r="D514" i="2" s="1"/>
  <c r="F511" i="2"/>
  <c r="G511" i="2"/>
  <c r="D511" i="2" s="1"/>
  <c r="G508" i="2"/>
  <c r="D508" i="2" s="1"/>
  <c r="F508" i="2"/>
  <c r="F507" i="2"/>
  <c r="G507" i="2"/>
  <c r="D507" i="2" s="1"/>
  <c r="F505" i="2"/>
  <c r="G505" i="2"/>
  <c r="D505" i="2" s="1"/>
  <c r="F503" i="2"/>
  <c r="G503" i="2"/>
  <c r="D503" i="2" s="1"/>
  <c r="G501" i="2"/>
  <c r="D501" i="2" s="1"/>
  <c r="F501" i="2"/>
  <c r="F497" i="2"/>
  <c r="G497" i="2"/>
  <c r="D497" i="2" s="1"/>
  <c r="F495" i="2"/>
  <c r="G495" i="2"/>
  <c r="D495" i="2" s="1"/>
  <c r="F492" i="2"/>
  <c r="G492" i="2"/>
  <c r="D492" i="2" s="1"/>
  <c r="G479" i="2"/>
  <c r="D479" i="2" s="1"/>
  <c r="F479" i="2"/>
  <c r="G466" i="2"/>
  <c r="D466" i="2" s="1"/>
  <c r="F466" i="2"/>
  <c r="G463" i="2"/>
  <c r="D463" i="2" s="1"/>
  <c r="F463" i="2"/>
  <c r="F462" i="2"/>
  <c r="G462" i="2"/>
  <c r="D462" i="2" s="1"/>
  <c r="F461" i="2"/>
  <c r="G461" i="2"/>
  <c r="D461" i="2" s="1"/>
  <c r="G460" i="2"/>
  <c r="D460" i="2" s="1"/>
  <c r="F460" i="2"/>
  <c r="G452" i="2"/>
  <c r="D452" i="2" s="1"/>
  <c r="F452" i="2"/>
  <c r="G451" i="2"/>
  <c r="D451" i="2" s="1"/>
  <c r="F451" i="2"/>
  <c r="F449" i="2"/>
  <c r="G449" i="2"/>
  <c r="D449" i="2" s="1"/>
  <c r="G448" i="2"/>
  <c r="D448" i="2" s="1"/>
  <c r="F448" i="2"/>
  <c r="F446" i="2"/>
  <c r="G446" i="2"/>
  <c r="D446" i="2" s="1"/>
  <c r="F443" i="2"/>
  <c r="G443" i="2"/>
  <c r="D443" i="2" s="1"/>
  <c r="G441" i="2"/>
  <c r="D441" i="2" s="1"/>
  <c r="F441" i="2"/>
  <c r="F440" i="2"/>
  <c r="G440" i="2"/>
  <c r="D440" i="2" s="1"/>
  <c r="G315" i="2"/>
  <c r="D315" i="2" s="1"/>
  <c r="F315" i="2"/>
  <c r="G314" i="2"/>
  <c r="D314" i="2" s="1"/>
  <c r="F314" i="2"/>
  <c r="F313" i="2"/>
  <c r="G313" i="2"/>
  <c r="D313" i="2" s="1"/>
  <c r="G312" i="2"/>
  <c r="D312" i="2" s="1"/>
  <c r="F312" i="2"/>
  <c r="G311" i="2"/>
  <c r="D311" i="2" s="1"/>
  <c r="F311" i="2"/>
  <c r="G310" i="2"/>
  <c r="D310" i="2" s="1"/>
  <c r="F310" i="2"/>
  <c r="G309" i="2"/>
  <c r="D309" i="2" s="1"/>
  <c r="F309" i="2"/>
  <c r="G300" i="2"/>
  <c r="D300" i="2" s="1"/>
  <c r="F300" i="2"/>
  <c r="F299" i="2"/>
  <c r="G299" i="2"/>
  <c r="D299" i="2" s="1"/>
  <c r="G298" i="2"/>
  <c r="D298" i="2" s="1"/>
  <c r="F298" i="2"/>
  <c r="F290" i="2"/>
  <c r="G290" i="2"/>
  <c r="D290" i="2" s="1"/>
  <c r="F289" i="2"/>
  <c r="G289" i="2"/>
  <c r="D289" i="2" s="1"/>
  <c r="F287" i="2"/>
  <c r="G287" i="2"/>
  <c r="D287" i="2" s="1"/>
  <c r="G279" i="2"/>
  <c r="D279" i="2" s="1"/>
  <c r="F279" i="2"/>
  <c r="G276" i="2"/>
  <c r="D276" i="2" s="1"/>
  <c r="F276" i="2"/>
  <c r="I61" i="1" s="1"/>
  <c r="J61" i="1" s="1"/>
  <c r="G266" i="2"/>
  <c r="D266" i="2" s="1"/>
  <c r="F266" i="2"/>
  <c r="F265" i="2"/>
  <c r="I56" i="1" s="1"/>
  <c r="J56" i="1" s="1"/>
  <c r="G265" i="2"/>
  <c r="D265" i="2" s="1"/>
  <c r="E205" i="2"/>
  <c r="F205" i="2"/>
  <c r="G205" i="2"/>
  <c r="D205" i="2" s="1"/>
  <c r="E190" i="2"/>
  <c r="F190" i="2"/>
  <c r="G190" i="2"/>
  <c r="D190" i="2" s="1"/>
  <c r="E189" i="2"/>
  <c r="F189" i="2"/>
  <c r="G189" i="2"/>
  <c r="D189" i="2" s="1"/>
  <c r="F183" i="2"/>
  <c r="E183" i="2"/>
  <c r="G181" i="2"/>
  <c r="D181" i="2" s="1"/>
  <c r="E181" i="2"/>
  <c r="F176" i="2"/>
  <c r="G176" i="2"/>
  <c r="D176" i="2" s="1"/>
  <c r="G167" i="2"/>
  <c r="D167" i="2" s="1"/>
  <c r="F167" i="2"/>
  <c r="G162" i="2"/>
  <c r="D162" i="2" s="1"/>
  <c r="E162" i="2"/>
  <c r="E140" i="2"/>
  <c r="F140" i="2"/>
  <c r="G140" i="2"/>
  <c r="D140" i="2" s="1"/>
  <c r="F107" i="2"/>
  <c r="G107" i="2"/>
  <c r="D107" i="2" s="1"/>
  <c r="G98" i="2"/>
  <c r="D98" i="2" s="1"/>
  <c r="E98" i="2"/>
  <c r="G93" i="2"/>
  <c r="D93" i="2" s="1"/>
  <c r="E93" i="2"/>
  <c r="G92" i="2"/>
  <c r="D92" i="2" s="1"/>
  <c r="E92" i="2"/>
  <c r="F92" i="2"/>
  <c r="G86" i="2"/>
  <c r="D86" i="2" s="1"/>
  <c r="F86" i="2"/>
  <c r="M178" i="2"/>
  <c r="M80" i="2"/>
  <c r="M192" i="2"/>
  <c r="M185" i="2"/>
  <c r="M122" i="2"/>
  <c r="G204" i="2"/>
  <c r="D204" i="2" s="1"/>
  <c r="F204" i="2"/>
  <c r="E204" i="2"/>
  <c r="M206" i="2"/>
  <c r="G200" i="2"/>
  <c r="D200" i="2" s="1"/>
  <c r="F200" i="2"/>
  <c r="E200" i="2"/>
  <c r="M199" i="2"/>
  <c r="G193" i="2"/>
  <c r="D193" i="2" s="1"/>
  <c r="E193" i="2"/>
  <c r="F193" i="2"/>
  <c r="E186" i="2"/>
  <c r="F186" i="2"/>
  <c r="G186" i="2"/>
  <c r="D186" i="2" s="1"/>
  <c r="G179" i="2"/>
  <c r="D179" i="2" s="1"/>
  <c r="F179" i="2"/>
  <c r="E179" i="2"/>
  <c r="F172" i="2"/>
  <c r="E172" i="2"/>
  <c r="G172" i="2"/>
  <c r="D172" i="2" s="1"/>
  <c r="F170" i="2"/>
  <c r="G170" i="2"/>
  <c r="D170" i="2" s="1"/>
  <c r="E170" i="2"/>
  <c r="M171" i="2"/>
  <c r="E165" i="2"/>
  <c r="F165" i="2"/>
  <c r="G165" i="2"/>
  <c r="D165" i="2" s="1"/>
  <c r="G161" i="2"/>
  <c r="D161" i="2" s="1"/>
  <c r="F161" i="2"/>
  <c r="E161" i="2"/>
  <c r="G160" i="2"/>
  <c r="D160" i="2" s="1"/>
  <c r="F160" i="2"/>
  <c r="E160" i="2"/>
  <c r="M164" i="2"/>
  <c r="G158" i="2"/>
  <c r="D158" i="2" s="1"/>
  <c r="E158" i="2"/>
  <c r="F158" i="2"/>
  <c r="G156" i="2"/>
  <c r="D156" i="2" s="1"/>
  <c r="F156" i="2"/>
  <c r="E156" i="2"/>
  <c r="E154" i="2"/>
  <c r="F154" i="2"/>
  <c r="G154" i="2"/>
  <c r="D154" i="2" s="1"/>
  <c r="F152" i="2"/>
  <c r="E152" i="2"/>
  <c r="G152" i="2"/>
  <c r="D152" i="2" s="1"/>
  <c r="M157" i="2"/>
  <c r="F151" i="2"/>
  <c r="G151" i="2"/>
  <c r="D151" i="2" s="1"/>
  <c r="E151" i="2"/>
  <c r="E149" i="2"/>
  <c r="F149" i="2"/>
  <c r="G149" i="2"/>
  <c r="D149" i="2" s="1"/>
  <c r="F148" i="2"/>
  <c r="G148" i="2"/>
  <c r="D148" i="2" s="1"/>
  <c r="E148" i="2"/>
  <c r="E147" i="2"/>
  <c r="G147" i="2"/>
  <c r="D147" i="2" s="1"/>
  <c r="F147" i="2"/>
  <c r="F146" i="2"/>
  <c r="G146" i="2"/>
  <c r="D146" i="2" s="1"/>
  <c r="E146" i="2"/>
  <c r="G145" i="2"/>
  <c r="D145" i="2" s="1"/>
  <c r="E145" i="2"/>
  <c r="F145" i="2"/>
  <c r="M150" i="2"/>
  <c r="F144" i="2"/>
  <c r="E144" i="2"/>
  <c r="G144" i="2"/>
  <c r="D144" i="2" s="1"/>
  <c r="G142" i="2"/>
  <c r="D142" i="2" s="1"/>
  <c r="E142" i="2"/>
  <c r="F142" i="2"/>
  <c r="G141" i="2"/>
  <c r="D141" i="2" s="1"/>
  <c r="F141" i="2"/>
  <c r="E139" i="2"/>
  <c r="G139" i="2"/>
  <c r="D139" i="2" s="1"/>
  <c r="F139" i="2"/>
  <c r="E138" i="2"/>
  <c r="F138" i="2"/>
  <c r="G138" i="2"/>
  <c r="D138" i="2" s="1"/>
  <c r="M143" i="2"/>
  <c r="G137" i="2"/>
  <c r="D137" i="2" s="1"/>
  <c r="E137" i="2"/>
  <c r="F137" i="2"/>
  <c r="G127" i="2"/>
  <c r="D127" i="2" s="1"/>
  <c r="F127" i="2"/>
  <c r="E127" i="2"/>
  <c r="G126" i="2"/>
  <c r="D126" i="2" s="1"/>
  <c r="F126" i="2"/>
  <c r="E126" i="2"/>
  <c r="G125" i="2"/>
  <c r="D125" i="2" s="1"/>
  <c r="F125" i="2"/>
  <c r="E124" i="2"/>
  <c r="F124" i="2"/>
  <c r="G124" i="2"/>
  <c r="D124" i="2" s="1"/>
  <c r="M129" i="2"/>
  <c r="E123" i="2"/>
  <c r="G123" i="2"/>
  <c r="D123" i="2" s="1"/>
  <c r="F123" i="2"/>
  <c r="G120" i="2"/>
  <c r="D120" i="2" s="1"/>
  <c r="F120" i="2"/>
  <c r="E120" i="2"/>
  <c r="E116" i="2"/>
  <c r="F116" i="2"/>
  <c r="G116" i="2"/>
  <c r="D116" i="2" s="1"/>
  <c r="G113" i="2"/>
  <c r="D113" i="2" s="1"/>
  <c r="F113" i="2"/>
  <c r="E113" i="2"/>
  <c r="F112" i="2"/>
  <c r="E112" i="2"/>
  <c r="G112" i="2"/>
  <c r="D112" i="2" s="1"/>
  <c r="E111" i="2"/>
  <c r="G111" i="2"/>
  <c r="D111" i="2" s="1"/>
  <c r="F111" i="2"/>
  <c r="M115" i="2"/>
  <c r="G109" i="2"/>
  <c r="D109" i="2" s="1"/>
  <c r="E109" i="2"/>
  <c r="F109" i="2"/>
  <c r="F106" i="2"/>
  <c r="G106" i="2"/>
  <c r="D106" i="2" s="1"/>
  <c r="F105" i="2"/>
  <c r="G105" i="2"/>
  <c r="D105" i="2" s="1"/>
  <c r="E105" i="2"/>
  <c r="E104" i="2"/>
  <c r="G104" i="2"/>
  <c r="D104" i="2" s="1"/>
  <c r="F104" i="2"/>
  <c r="M108" i="2"/>
  <c r="E102" i="2"/>
  <c r="G102" i="2"/>
  <c r="D102" i="2" s="1"/>
  <c r="F102" i="2"/>
  <c r="E100" i="2"/>
  <c r="G100" i="2"/>
  <c r="D100" i="2" s="1"/>
  <c r="F100" i="2"/>
  <c r="E99" i="2"/>
  <c r="G99" i="2"/>
  <c r="D99" i="2" s="1"/>
  <c r="F99" i="2"/>
  <c r="F97" i="2"/>
  <c r="G97" i="2"/>
  <c r="D97" i="2" s="1"/>
  <c r="E97" i="2"/>
  <c r="M101" i="2"/>
  <c r="G95" i="2"/>
  <c r="D95" i="2" s="1"/>
  <c r="E95" i="2"/>
  <c r="F95" i="2"/>
  <c r="E91" i="2"/>
  <c r="F91" i="2"/>
  <c r="G91" i="2"/>
  <c r="D91" i="2" s="1"/>
  <c r="G90" i="2"/>
  <c r="D90" i="2" s="1"/>
  <c r="E90" i="2"/>
  <c r="F90" i="2"/>
  <c r="F89" i="2"/>
  <c r="G89" i="2"/>
  <c r="D89" i="2" s="1"/>
  <c r="M94" i="2"/>
  <c r="F88" i="2"/>
  <c r="G88" i="2"/>
  <c r="D88" i="2" s="1"/>
  <c r="E88" i="2"/>
  <c r="F85" i="2"/>
  <c r="G85" i="2"/>
  <c r="D85" i="2" s="1"/>
  <c r="E85" i="2"/>
  <c r="E84" i="2"/>
  <c r="G84" i="2"/>
  <c r="D84" i="2" s="1"/>
  <c r="E83" i="2"/>
  <c r="G83" i="2"/>
  <c r="D83" i="2" s="1"/>
  <c r="F83" i="2"/>
  <c r="M87" i="2"/>
  <c r="G81" i="2"/>
  <c r="D81" i="2" s="1"/>
  <c r="E81" i="2"/>
  <c r="F81" i="2"/>
  <c r="F79" i="2"/>
  <c r="E79" i="2"/>
  <c r="G79" i="2"/>
  <c r="D79" i="2" s="1"/>
  <c r="F78" i="2"/>
  <c r="E78" i="2"/>
  <c r="G78" i="2"/>
  <c r="D78" i="2" s="1"/>
  <c r="G77" i="2"/>
  <c r="D77" i="2" s="1"/>
  <c r="E77" i="2"/>
  <c r="F77" i="2"/>
  <c r="E76" i="2"/>
  <c r="F76" i="2"/>
  <c r="G76" i="2"/>
  <c r="D76" i="2" s="1"/>
  <c r="G74" i="2"/>
  <c r="D74" i="2" s="1"/>
  <c r="F74" i="2"/>
  <c r="E74" i="2"/>
  <c r="F72" i="2"/>
  <c r="E72" i="2"/>
  <c r="G72" i="2"/>
  <c r="D72" i="2" s="1"/>
  <c r="F71" i="2"/>
  <c r="G71" i="2"/>
  <c r="D71" i="2" s="1"/>
  <c r="E71" i="2"/>
  <c r="G70" i="2"/>
  <c r="D70" i="2" s="1"/>
  <c r="E70" i="2"/>
  <c r="E69" i="2"/>
  <c r="G69" i="2"/>
  <c r="D69" i="2" s="1"/>
  <c r="F69" i="2"/>
  <c r="G68" i="2"/>
  <c r="D68" i="2" s="1"/>
  <c r="F68" i="2"/>
  <c r="M73" i="2"/>
  <c r="G67" i="2"/>
  <c r="D67" i="2" s="1"/>
  <c r="F67" i="2"/>
  <c r="E67" i="2"/>
  <c r="G64" i="2"/>
  <c r="D64" i="2" s="1"/>
  <c r="F64" i="2"/>
  <c r="E64" i="2"/>
  <c r="G63" i="2"/>
  <c r="D63" i="2" s="1"/>
  <c r="E63" i="2"/>
  <c r="F63" i="2"/>
  <c r="E62" i="2"/>
  <c r="F62" i="2"/>
  <c r="G62" i="2"/>
  <c r="D62" i="2" s="1"/>
  <c r="E61" i="2"/>
  <c r="F61" i="2"/>
  <c r="G61" i="2"/>
  <c r="D61" i="2" s="1"/>
  <c r="M66" i="2"/>
  <c r="G60" i="2"/>
  <c r="D60" i="2" s="1"/>
  <c r="F60" i="2"/>
  <c r="E60" i="2"/>
  <c r="F58" i="2"/>
  <c r="E58" i="2"/>
  <c r="G58" i="2"/>
  <c r="D58" i="2" s="1"/>
  <c r="E57" i="2"/>
  <c r="F57" i="2"/>
  <c r="G57" i="2"/>
  <c r="D57" i="2" s="1"/>
  <c r="F56" i="2"/>
  <c r="E56" i="2"/>
  <c r="G56" i="2"/>
  <c r="D56" i="2" s="1"/>
  <c r="F55" i="2"/>
  <c r="G55" i="2"/>
  <c r="D55" i="2" s="1"/>
  <c r="E55" i="2"/>
  <c r="E54" i="2"/>
  <c r="F54" i="2"/>
  <c r="G54" i="2"/>
  <c r="D54" i="2" s="1"/>
  <c r="M59" i="2"/>
  <c r="F53" i="2"/>
  <c r="G53" i="2"/>
  <c r="D53" i="2" s="1"/>
  <c r="E53" i="2"/>
  <c r="F51" i="2"/>
  <c r="G51" i="2"/>
  <c r="D51" i="2" s="1"/>
  <c r="G50" i="2"/>
  <c r="D50" i="2" s="1"/>
  <c r="E50" i="2"/>
  <c r="F50" i="2"/>
  <c r="F49" i="2"/>
  <c r="G49" i="2"/>
  <c r="D49" i="2" s="1"/>
  <c r="E49" i="2"/>
  <c r="E48" i="2"/>
  <c r="G48" i="2"/>
  <c r="D48" i="2" s="1"/>
  <c r="F48" i="2"/>
  <c r="E47" i="2"/>
  <c r="G47" i="2"/>
  <c r="D47" i="2" s="1"/>
  <c r="F47" i="2"/>
  <c r="M52" i="2"/>
  <c r="F46" i="2"/>
  <c r="G46" i="2"/>
  <c r="D46" i="2" s="1"/>
  <c r="E46" i="2"/>
  <c r="G44" i="2"/>
  <c r="D44" i="2" s="1"/>
  <c r="E44" i="2"/>
  <c r="F44" i="2"/>
  <c r="F43" i="2"/>
  <c r="G43" i="2"/>
  <c r="D43" i="2" s="1"/>
  <c r="E43" i="2"/>
  <c r="G42" i="2"/>
  <c r="D42" i="2" s="1"/>
  <c r="E42" i="2"/>
  <c r="F42" i="2"/>
  <c r="F41" i="2"/>
  <c r="G41" i="2"/>
  <c r="D41" i="2" s="1"/>
  <c r="E40" i="2"/>
  <c r="G40" i="2"/>
  <c r="D40" i="2" s="1"/>
  <c r="F40" i="2"/>
  <c r="K132" i="2"/>
  <c r="K131" i="2"/>
  <c r="E135" i="2"/>
  <c r="G135" i="2"/>
  <c r="D135" i="2" s="1"/>
  <c r="F135" i="2"/>
  <c r="G134" i="2"/>
  <c r="D134" i="2" s="1"/>
  <c r="F134" i="2"/>
  <c r="E134" i="2"/>
  <c r="G133" i="2"/>
  <c r="D133" i="2" s="1"/>
  <c r="F133" i="2"/>
  <c r="E133" i="2"/>
  <c r="E130" i="2"/>
  <c r="F130" i="2"/>
  <c r="G130" i="2"/>
  <c r="D130" i="2" s="1"/>
  <c r="M817" i="2"/>
  <c r="K817" i="2"/>
  <c r="N806" i="2"/>
  <c r="K806" i="2"/>
  <c r="N771" i="2"/>
  <c r="K771" i="2"/>
  <c r="N760" i="2"/>
  <c r="K760" i="2"/>
  <c r="M747" i="2"/>
  <c r="K747" i="2"/>
  <c r="N736" i="2"/>
  <c r="K736" i="2"/>
  <c r="N701" i="2"/>
  <c r="K701" i="2"/>
  <c r="M657" i="2"/>
  <c r="K657" i="2"/>
  <c r="M646" i="2"/>
  <c r="K646" i="2"/>
  <c r="M624" i="2"/>
  <c r="K624" i="2"/>
  <c r="M613" i="2"/>
  <c r="K613" i="2"/>
  <c r="M591" i="2"/>
  <c r="K591" i="2"/>
  <c r="N580" i="2"/>
  <c r="K580" i="2"/>
  <c r="N569" i="2"/>
  <c r="N862" i="2" s="1"/>
  <c r="I64" i="1" s="1"/>
  <c r="J64" i="1" s="1"/>
  <c r="K569" i="2"/>
  <c r="G861" i="2" s="1"/>
  <c r="M545" i="2"/>
  <c r="M534" i="2"/>
  <c r="M523" i="2"/>
  <c r="M512" i="2"/>
  <c r="M500" i="2"/>
  <c r="M478" i="2"/>
  <c r="M467" i="2"/>
  <c r="M455" i="2"/>
  <c r="M444" i="2"/>
  <c r="G75" i="2"/>
  <c r="D75" i="2" s="1"/>
  <c r="F75" i="2"/>
  <c r="E75" i="2"/>
  <c r="G82" i="2"/>
  <c r="D82" i="2" s="1"/>
  <c r="F82" i="2"/>
  <c r="E82" i="2"/>
  <c r="G96" i="2"/>
  <c r="D96" i="2" s="1"/>
  <c r="F96" i="2"/>
  <c r="E96" i="2"/>
  <c r="G103" i="2"/>
  <c r="D103" i="2" s="1"/>
  <c r="F103" i="2"/>
  <c r="E103" i="2"/>
  <c r="G110" i="2"/>
  <c r="D110" i="2" s="1"/>
  <c r="F110" i="2"/>
  <c r="E110" i="2"/>
  <c r="G117" i="2"/>
  <c r="D117" i="2" s="1"/>
  <c r="F117" i="2"/>
  <c r="E117" i="2"/>
  <c r="G118" i="2"/>
  <c r="D118" i="2" s="1"/>
  <c r="F118" i="2"/>
  <c r="E118" i="2"/>
  <c r="G119" i="2"/>
  <c r="D119" i="2" s="1"/>
  <c r="F119" i="2"/>
  <c r="E119" i="2"/>
  <c r="G159" i="2"/>
  <c r="D159" i="2" s="1"/>
  <c r="F159" i="2"/>
  <c r="E159" i="2"/>
  <c r="G166" i="2"/>
  <c r="D166" i="2" s="1"/>
  <c r="F166" i="2"/>
  <c r="E166" i="2"/>
  <c r="G173" i="2"/>
  <c r="D173" i="2" s="1"/>
  <c r="F173" i="2"/>
  <c r="E173" i="2"/>
  <c r="G180" i="2"/>
  <c r="D180" i="2" s="1"/>
  <c r="F180" i="2"/>
  <c r="E180" i="2"/>
  <c r="G187" i="2"/>
  <c r="D187" i="2" s="1"/>
  <c r="F187" i="2"/>
  <c r="E187" i="2"/>
  <c r="G188" i="2"/>
  <c r="D188" i="2" s="1"/>
  <c r="F188" i="2"/>
  <c r="E188" i="2"/>
  <c r="G194" i="2"/>
  <c r="D194" i="2" s="1"/>
  <c r="F194" i="2"/>
  <c r="E194" i="2"/>
  <c r="G201" i="2"/>
  <c r="D201" i="2" s="1"/>
  <c r="F201" i="2"/>
  <c r="E201" i="2"/>
  <c r="M330" i="2"/>
  <c r="M319" i="2"/>
  <c r="M308" i="2"/>
  <c r="M297" i="2"/>
  <c r="M286" i="2"/>
  <c r="M275" i="2"/>
  <c r="G556" i="2" s="1"/>
  <c r="D19" i="11"/>
  <c r="D19" i="10"/>
  <c r="C20" i="6"/>
  <c r="C20" i="5"/>
  <c r="D20" i="3"/>
  <c r="C21" i="2"/>
  <c r="J146" i="1"/>
  <c r="I220" i="1"/>
  <c r="J220" i="1" s="1"/>
  <c r="J203" i="1"/>
  <c r="H88" i="10"/>
  <c r="H87" i="10"/>
  <c r="H86" i="10"/>
  <c r="H84" i="10"/>
  <c r="H80" i="10"/>
  <c r="H79" i="10"/>
  <c r="H78" i="10"/>
  <c r="H76" i="10"/>
  <c r="H72" i="10"/>
  <c r="H71" i="10"/>
  <c r="H70" i="10"/>
  <c r="H68" i="10"/>
  <c r="H64" i="10"/>
  <c r="H63" i="10"/>
  <c r="H62" i="10"/>
  <c r="H60" i="10"/>
  <c r="H56" i="10"/>
  <c r="H55" i="10"/>
  <c r="H54" i="10"/>
  <c r="H52" i="10"/>
  <c r="H48" i="10"/>
  <c r="H47" i="10"/>
  <c r="H46" i="10"/>
  <c r="H44" i="10"/>
  <c r="G35" i="2"/>
  <c r="E162" i="6"/>
  <c r="G214" i="3"/>
  <c r="E89" i="5" s="1"/>
  <c r="E168" i="6"/>
  <c r="E95" i="5"/>
  <c r="G220" i="3"/>
  <c r="I156" i="3"/>
  <c r="O29" i="3"/>
  <c r="I14" i="7"/>
  <c r="G14" i="7"/>
  <c r="I16" i="7"/>
  <c r="G16" i="7"/>
  <c r="I18" i="7"/>
  <c r="G18" i="7"/>
  <c r="I20" i="7"/>
  <c r="G20" i="7"/>
  <c r="I22" i="7"/>
  <c r="G22" i="7"/>
  <c r="I24" i="7"/>
  <c r="G24" i="7"/>
  <c r="I26" i="7"/>
  <c r="G26" i="7"/>
  <c r="I28" i="7"/>
  <c r="G28" i="7"/>
  <c r="I30" i="7"/>
  <c r="G30" i="7"/>
  <c r="I37" i="7"/>
  <c r="G37" i="7"/>
  <c r="I39" i="7"/>
  <c r="G39" i="7"/>
  <c r="I41" i="7"/>
  <c r="G41" i="7"/>
  <c r="I43" i="7"/>
  <c r="G43" i="7"/>
  <c r="I45" i="7"/>
  <c r="G45" i="7"/>
  <c r="I47" i="7"/>
  <c r="G47" i="7"/>
  <c r="I49" i="7"/>
  <c r="G49" i="7"/>
  <c r="I51" i="7"/>
  <c r="G51" i="7"/>
  <c r="I54" i="7"/>
  <c r="G54" i="7"/>
  <c r="I56" i="7"/>
  <c r="G56" i="7"/>
  <c r="I58" i="7"/>
  <c r="G58" i="7"/>
  <c r="I60" i="7"/>
  <c r="G60" i="7"/>
  <c r="I62" i="7"/>
  <c r="G62" i="7"/>
  <c r="I64" i="7"/>
  <c r="G64" i="7"/>
  <c r="I66" i="7"/>
  <c r="G66" i="7"/>
  <c r="I68" i="7"/>
  <c r="G68" i="7"/>
  <c r="I70" i="7"/>
  <c r="G70" i="7"/>
  <c r="I72" i="7"/>
  <c r="G72" i="7"/>
  <c r="I75" i="7"/>
  <c r="G75" i="7"/>
  <c r="I77" i="7"/>
  <c r="G77" i="7"/>
  <c r="I79" i="7"/>
  <c r="G79" i="7"/>
  <c r="I81" i="7"/>
  <c r="G81" i="7"/>
  <c r="I83" i="7"/>
  <c r="G83" i="7"/>
  <c r="I85" i="7"/>
  <c r="G85" i="7"/>
  <c r="I87" i="7"/>
  <c r="G87" i="7"/>
  <c r="I89" i="7"/>
  <c r="G89" i="7"/>
  <c r="I91" i="7"/>
  <c r="G91" i="7"/>
  <c r="I93" i="7"/>
  <c r="G93" i="7"/>
  <c r="I96" i="7"/>
  <c r="G96" i="7"/>
  <c r="I98" i="7"/>
  <c r="G98" i="7"/>
  <c r="I100" i="7"/>
  <c r="G100" i="7"/>
  <c r="I102" i="7"/>
  <c r="G102" i="7"/>
  <c r="I104" i="7"/>
  <c r="G104" i="7"/>
  <c r="I107" i="7"/>
  <c r="G107" i="7"/>
  <c r="I109" i="7"/>
  <c r="G109" i="7"/>
  <c r="I111" i="7"/>
  <c r="G111" i="7"/>
  <c r="I113" i="7"/>
  <c r="G113" i="7"/>
  <c r="I115" i="7"/>
  <c r="G115" i="7"/>
  <c r="I118" i="7"/>
  <c r="G118" i="7"/>
  <c r="I120" i="7"/>
  <c r="G120" i="7"/>
  <c r="I122" i="7"/>
  <c r="G122" i="7"/>
  <c r="I124" i="7"/>
  <c r="G124" i="7"/>
  <c r="I126" i="7"/>
  <c r="G126" i="7"/>
  <c r="I129" i="7"/>
  <c r="G129" i="7"/>
  <c r="I131" i="7"/>
  <c r="G131" i="7"/>
  <c r="I133" i="7"/>
  <c r="G133" i="7"/>
  <c r="I135" i="7"/>
  <c r="G135" i="7"/>
  <c r="I137" i="7"/>
  <c r="G137" i="7"/>
  <c r="I192" i="3"/>
  <c r="O170" i="3"/>
  <c r="H170" i="3" s="1"/>
  <c r="I208" i="3"/>
  <c r="O202" i="3"/>
  <c r="H202" i="3" s="1"/>
  <c r="J55" i="11"/>
  <c r="J55" i="10"/>
  <c r="J56" i="11"/>
  <c r="J56" i="10"/>
  <c r="K14" i="7"/>
  <c r="K16" i="7"/>
  <c r="K18" i="7"/>
  <c r="K20" i="7"/>
  <c r="K22" i="7"/>
  <c r="K24" i="7"/>
  <c r="K26" i="7"/>
  <c r="K28" i="7"/>
  <c r="K30" i="7"/>
  <c r="K37" i="7"/>
  <c r="K39" i="7"/>
  <c r="K41" i="7"/>
  <c r="K43" i="7"/>
  <c r="K45" i="7"/>
  <c r="K47" i="7"/>
  <c r="K49" i="7"/>
  <c r="K51" i="7"/>
  <c r="K54" i="7"/>
  <c r="K56" i="7"/>
  <c r="K58" i="7"/>
  <c r="K60" i="7"/>
  <c r="K62" i="7"/>
  <c r="K64" i="7"/>
  <c r="K66" i="7"/>
  <c r="K68" i="7"/>
  <c r="K70" i="7"/>
  <c r="K72" i="7"/>
  <c r="K75" i="7"/>
  <c r="K77" i="7"/>
  <c r="K79" i="7"/>
  <c r="K81" i="7"/>
  <c r="K83" i="7"/>
  <c r="K85" i="7"/>
  <c r="K87" i="7"/>
  <c r="K89" i="7"/>
  <c r="K91" i="7"/>
  <c r="K93" i="7"/>
  <c r="K96" i="7"/>
  <c r="K98" i="7"/>
  <c r="K100" i="7"/>
  <c r="K102" i="7"/>
  <c r="K104" i="7"/>
  <c r="K107" i="7"/>
  <c r="K109" i="7"/>
  <c r="K111" i="7"/>
  <c r="K113" i="7"/>
  <c r="K115" i="7"/>
  <c r="K118" i="7"/>
  <c r="K120" i="7"/>
  <c r="K122" i="7"/>
  <c r="K124" i="7"/>
  <c r="K126" i="7"/>
  <c r="K129" i="7"/>
  <c r="K131" i="7"/>
  <c r="K133" i="7"/>
  <c r="K135" i="7"/>
  <c r="K137" i="7"/>
  <c r="J33" i="10"/>
  <c r="K28" i="10"/>
  <c r="L28" i="10" s="1"/>
  <c r="L30" i="10"/>
  <c r="K32" i="10"/>
  <c r="L32" i="10" s="1"/>
  <c r="K31" i="10"/>
  <c r="L31" i="10" s="1"/>
  <c r="J41" i="10"/>
  <c r="K36" i="10"/>
  <c r="L38" i="10"/>
  <c r="K40" i="10"/>
  <c r="L40" i="10" s="1"/>
  <c r="K39" i="10"/>
  <c r="L39" i="10" s="1"/>
  <c r="J49" i="10"/>
  <c r="K44" i="10"/>
  <c r="J33" i="11"/>
  <c r="K28" i="11"/>
  <c r="L28" i="11" s="1"/>
  <c r="L30" i="11"/>
  <c r="K32" i="11"/>
  <c r="L32" i="11" s="1"/>
  <c r="K31" i="11"/>
  <c r="L31" i="11" s="1"/>
  <c r="J41" i="11"/>
  <c r="K36" i="11"/>
  <c r="L38" i="11"/>
  <c r="K40" i="11"/>
  <c r="L40" i="11" s="1"/>
  <c r="K39" i="11"/>
  <c r="L39" i="11" s="1"/>
  <c r="J49" i="11"/>
  <c r="K44" i="11"/>
  <c r="L46" i="11"/>
  <c r="K48" i="11"/>
  <c r="L48" i="11" s="1"/>
  <c r="K47" i="11"/>
  <c r="L47" i="11" s="1"/>
  <c r="H65" i="10" l="1"/>
  <c r="H89" i="10"/>
  <c r="H49" i="10"/>
  <c r="L44" i="10" s="1"/>
  <c r="H73" i="10"/>
  <c r="H52" i="3"/>
  <c r="D35" i="7"/>
  <c r="H50" i="3"/>
  <c r="I112" i="1" s="1"/>
  <c r="J112" i="1" s="1"/>
  <c r="D33" i="7"/>
  <c r="M862" i="2"/>
  <c r="I63" i="1" s="1"/>
  <c r="J63" i="1" s="1"/>
  <c r="H81" i="10"/>
  <c r="H57" i="10"/>
  <c r="G1111" i="2"/>
  <c r="I73" i="1" s="1"/>
  <c r="J73" i="1" s="1"/>
  <c r="K48" i="10"/>
  <c r="K47" i="10"/>
  <c r="G131" i="2"/>
  <c r="D131" i="2" s="1"/>
  <c r="E131" i="2"/>
  <c r="F131" i="2"/>
  <c r="M136" i="2"/>
  <c r="M45" i="2"/>
  <c r="G206" i="2" s="1"/>
  <c r="G39" i="2"/>
  <c r="D39" i="2" s="1"/>
  <c r="F39" i="2"/>
  <c r="E39" i="2"/>
  <c r="E132" i="2"/>
  <c r="G132" i="2"/>
  <c r="D132" i="2" s="1"/>
  <c r="F132" i="2"/>
  <c r="K49" i="11"/>
  <c r="L44" i="11"/>
  <c r="K41" i="11"/>
  <c r="L36" i="11"/>
  <c r="K41" i="10"/>
  <c r="L36" i="10"/>
  <c r="J64" i="10"/>
  <c r="J64" i="11"/>
  <c r="K56" i="11"/>
  <c r="J63" i="10"/>
  <c r="J63" i="11"/>
  <c r="K55" i="11"/>
  <c r="I209" i="3"/>
  <c r="J54" i="11" s="1"/>
  <c r="D12" i="7"/>
  <c r="H29" i="3"/>
  <c r="J52" i="11"/>
  <c r="J52" i="10"/>
  <c r="L48" i="10" l="1"/>
  <c r="L46" i="10"/>
  <c r="K35" i="7"/>
  <c r="G35" i="7"/>
  <c r="I35" i="7"/>
  <c r="K33" i="7"/>
  <c r="G33" i="7"/>
  <c r="I33" i="7"/>
  <c r="K56" i="10"/>
  <c r="K55" i="10"/>
  <c r="L47" i="10"/>
  <c r="K49" i="10"/>
  <c r="I41" i="1"/>
  <c r="J41" i="1" s="1"/>
  <c r="G1224" i="2"/>
  <c r="J60" i="10"/>
  <c r="J60" i="11"/>
  <c r="H156" i="3"/>
  <c r="H209" i="3" s="1"/>
  <c r="J54" i="10" s="1"/>
  <c r="I110" i="1"/>
  <c r="D139" i="7"/>
  <c r="I12" i="7"/>
  <c r="G12" i="7"/>
  <c r="K12" i="7"/>
  <c r="J62" i="11"/>
  <c r="K54" i="11"/>
  <c r="L54" i="11" s="1"/>
  <c r="M55" i="11"/>
  <c r="N55" i="11" s="1"/>
  <c r="L55" i="11"/>
  <c r="J71" i="11"/>
  <c r="K63" i="11"/>
  <c r="J71" i="10"/>
  <c r="K63" i="10"/>
  <c r="M56" i="11"/>
  <c r="N56" i="11" s="1"/>
  <c r="L56" i="11"/>
  <c r="J72" i="11"/>
  <c r="K64" i="11"/>
  <c r="J72" i="10"/>
  <c r="K64" i="10"/>
  <c r="K139" i="7" l="1"/>
  <c r="L56" i="10"/>
  <c r="M56" i="10"/>
  <c r="N56" i="10" s="1"/>
  <c r="M55" i="10"/>
  <c r="N55" i="10" s="1"/>
  <c r="L55" i="10"/>
  <c r="G1225" i="2"/>
  <c r="J53" i="10"/>
  <c r="J61" i="10" s="1"/>
  <c r="J53" i="11"/>
  <c r="K52" i="11" s="1"/>
  <c r="M64" i="10"/>
  <c r="N64" i="10" s="1"/>
  <c r="L64" i="10"/>
  <c r="J80" i="10"/>
  <c r="K72" i="10"/>
  <c r="M64" i="11"/>
  <c r="N64" i="11" s="1"/>
  <c r="L64" i="11"/>
  <c r="J80" i="11"/>
  <c r="K72" i="11"/>
  <c r="M63" i="10"/>
  <c r="N63" i="10" s="1"/>
  <c r="L63" i="10"/>
  <c r="J79" i="10"/>
  <c r="K71" i="10"/>
  <c r="M63" i="11"/>
  <c r="N63" i="11" s="1"/>
  <c r="L63" i="11"/>
  <c r="J79" i="11"/>
  <c r="K71" i="11"/>
  <c r="J70" i="11"/>
  <c r="K62" i="11"/>
  <c r="L62" i="11" s="1"/>
  <c r="J110" i="1"/>
  <c r="I160" i="1"/>
  <c r="J62" i="10"/>
  <c r="K54" i="10"/>
  <c r="L54" i="10" s="1"/>
  <c r="J68" i="11"/>
  <c r="J68" i="10"/>
  <c r="M70" i="10" l="1"/>
  <c r="N70" i="10" s="1"/>
  <c r="M86" i="11"/>
  <c r="N86" i="11" s="1"/>
  <c r="M78" i="11"/>
  <c r="N78" i="11" s="1"/>
  <c r="M70" i="11"/>
  <c r="N70" i="11" s="1"/>
  <c r="M62" i="11"/>
  <c r="N62" i="11" s="1"/>
  <c r="M54" i="11"/>
  <c r="N54" i="11" s="1"/>
  <c r="M86" i="10"/>
  <c r="N86" i="10" s="1"/>
  <c r="M78" i="10"/>
  <c r="N78" i="10" s="1"/>
  <c r="M62" i="10"/>
  <c r="N62" i="10" s="1"/>
  <c r="M54" i="10"/>
  <c r="N54" i="10" s="1"/>
  <c r="J61" i="11"/>
  <c r="J69" i="11" s="1"/>
  <c r="J57" i="11"/>
  <c r="K52" i="10"/>
  <c r="J57" i="10"/>
  <c r="J65" i="10"/>
  <c r="J69" i="10"/>
  <c r="K60" i="10"/>
  <c r="M52" i="11"/>
  <c r="L52" i="11"/>
  <c r="J76" i="10"/>
  <c r="J76" i="11"/>
  <c r="J70" i="10"/>
  <c r="K62" i="10"/>
  <c r="L62" i="10" s="1"/>
  <c r="I221" i="1"/>
  <c r="J221" i="1" s="1"/>
  <c r="J160" i="1"/>
  <c r="J78" i="11"/>
  <c r="K70" i="11"/>
  <c r="L70" i="11" s="1"/>
  <c r="M71" i="11"/>
  <c r="N71" i="11" s="1"/>
  <c r="L71" i="11"/>
  <c r="J87" i="11"/>
  <c r="K87" i="11" s="1"/>
  <c r="K79" i="11"/>
  <c r="M71" i="10"/>
  <c r="N71" i="10" s="1"/>
  <c r="L71" i="10"/>
  <c r="J87" i="10"/>
  <c r="K87" i="10" s="1"/>
  <c r="K79" i="10"/>
  <c r="M72" i="11"/>
  <c r="N72" i="11" s="1"/>
  <c r="L72" i="11"/>
  <c r="J88" i="11"/>
  <c r="K88" i="11" s="1"/>
  <c r="K80" i="11"/>
  <c r="M72" i="10"/>
  <c r="N72" i="10" s="1"/>
  <c r="L72" i="10"/>
  <c r="J88" i="10"/>
  <c r="K88" i="10" s="1"/>
  <c r="K80" i="10"/>
  <c r="K60" i="11" l="1"/>
  <c r="M60" i="11" s="1"/>
  <c r="J65" i="11"/>
  <c r="L52" i="10"/>
  <c r="M52" i="10"/>
  <c r="M57" i="10" s="1"/>
  <c r="M58" i="10" s="1"/>
  <c r="J77" i="11"/>
  <c r="J73" i="11"/>
  <c r="K68" i="11"/>
  <c r="L60" i="10"/>
  <c r="M60" i="10"/>
  <c r="J77" i="10"/>
  <c r="K68" i="10"/>
  <c r="M57" i="11"/>
  <c r="N52" i="11"/>
  <c r="M80" i="10"/>
  <c r="N80" i="10" s="1"/>
  <c r="L80" i="10"/>
  <c r="M88" i="10"/>
  <c r="N88" i="10" s="1"/>
  <c r="L88" i="10"/>
  <c r="M80" i="11"/>
  <c r="N80" i="11" s="1"/>
  <c r="L80" i="11"/>
  <c r="M88" i="11"/>
  <c r="N88" i="11" s="1"/>
  <c r="L88" i="11"/>
  <c r="M79" i="10"/>
  <c r="N79" i="10" s="1"/>
  <c r="L79" i="10"/>
  <c r="M87" i="10"/>
  <c r="N87" i="10" s="1"/>
  <c r="L87" i="10"/>
  <c r="M79" i="11"/>
  <c r="N79" i="11" s="1"/>
  <c r="L79" i="11"/>
  <c r="M87" i="11"/>
  <c r="N87" i="11" s="1"/>
  <c r="L87" i="11"/>
  <c r="J86" i="11"/>
  <c r="K86" i="11" s="1"/>
  <c r="L86" i="11" s="1"/>
  <c r="K78" i="11"/>
  <c r="L78" i="11" s="1"/>
  <c r="J78" i="10"/>
  <c r="K70" i="10"/>
  <c r="L70" i="10" s="1"/>
  <c r="J73" i="10"/>
  <c r="J84" i="11"/>
  <c r="J84" i="10"/>
  <c r="L60" i="11" l="1"/>
  <c r="N52" i="10"/>
  <c r="J85" i="11"/>
  <c r="J81" i="11"/>
  <c r="K76" i="11"/>
  <c r="M68" i="11"/>
  <c r="L68" i="11"/>
  <c r="M65" i="11"/>
  <c r="N60" i="11"/>
  <c r="M65" i="10"/>
  <c r="M66" i="10" s="1"/>
  <c r="N60" i="10"/>
  <c r="J85" i="10"/>
  <c r="K84" i="10" s="1"/>
  <c r="J81" i="10"/>
  <c r="K76" i="10"/>
  <c r="L68" i="10"/>
  <c r="M68" i="10"/>
  <c r="M76" i="10"/>
  <c r="L76" i="10"/>
  <c r="J86" i="10"/>
  <c r="K78" i="10"/>
  <c r="L78" i="10" s="1"/>
  <c r="N68" i="10" l="1"/>
  <c r="M73" i="10"/>
  <c r="M74" i="10" s="1"/>
  <c r="J89" i="11"/>
  <c r="K84" i="11"/>
  <c r="M76" i="11"/>
  <c r="L76" i="11"/>
  <c r="M73" i="11"/>
  <c r="N68" i="11"/>
  <c r="K86" i="10"/>
  <c r="L86" i="10" s="1"/>
  <c r="J89" i="10"/>
  <c r="M84" i="10"/>
  <c r="L84" i="10"/>
  <c r="M81" i="10"/>
  <c r="M82" i="10" s="1"/>
  <c r="N76" i="10"/>
  <c r="M84" i="11" l="1"/>
  <c r="L84" i="11"/>
  <c r="M81" i="11"/>
  <c r="N76" i="11"/>
  <c r="M89" i="10"/>
  <c r="M90" i="10" s="1"/>
  <c r="N84" i="10"/>
  <c r="M89" i="11" l="1"/>
  <c r="N8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39" authorId="0" shapeId="0" xr:uid="{00000000-0006-0000-0100-00000E000000}">
      <text>
        <r>
          <rPr>
            <sz val="11"/>
            <color theme="1"/>
            <rFont val="Arial"/>
            <family val="2"/>
            <scheme val="minor"/>
          </rPr>
          <t>======
ID#AAAALPkNprs
bangsdm    (2020-12-28 13:27:25)
sks</t>
        </r>
      </text>
    </comment>
    <comment ref="J39" authorId="0" shapeId="0" xr:uid="{00000000-0006-0000-0100-00001B000000}">
      <text>
        <r>
          <rPr>
            <sz val="11"/>
            <color theme="1"/>
            <rFont val="Arial"/>
            <family val="2"/>
            <scheme val="minor"/>
          </rPr>
          <t>======
ID#AAAALPkNpqs
bangsdm    (2020-12-28 13:27:25)
kelas</t>
        </r>
      </text>
    </comment>
    <comment ref="I46" authorId="0" shapeId="0" xr:uid="{00000000-0006-0000-0100-000013000000}">
      <text>
        <r>
          <rPr>
            <sz val="11"/>
            <color theme="1"/>
            <rFont val="Arial"/>
            <family val="2"/>
            <scheme val="minor"/>
          </rPr>
          <t>======
ID#AAAALPkNprU
bangsdm    (2020-12-28 13:27:25)
sks</t>
        </r>
      </text>
    </comment>
    <comment ref="J46" authorId="0" shapeId="0" xr:uid="{00000000-0006-0000-0100-000006000000}">
      <text>
        <r>
          <rPr>
            <sz val="11"/>
            <color theme="1"/>
            <rFont val="Arial"/>
            <family val="2"/>
            <scheme val="minor"/>
          </rPr>
          <t>======
ID#AAAALPkNpsU
bangsdm    (2020-12-28 13:27:25)
kelas</t>
        </r>
      </text>
    </comment>
    <comment ref="I53" authorId="0" shapeId="0" xr:uid="{00000000-0006-0000-0100-000020000000}">
      <text>
        <r>
          <rPr>
            <sz val="11"/>
            <color theme="1"/>
            <rFont val="Arial"/>
            <family val="2"/>
            <scheme val="minor"/>
          </rPr>
          <t>======
ID#AAAALPkNpq0
bangsdm    (2020-12-28 13:27:25)
sks</t>
        </r>
      </text>
    </comment>
    <comment ref="J53" authorId="0" shapeId="0" xr:uid="{00000000-0006-0000-0100-000017000000}">
      <text>
        <r>
          <rPr>
            <sz val="11"/>
            <color theme="1"/>
            <rFont val="Arial"/>
            <family val="2"/>
            <scheme val="minor"/>
          </rPr>
          <t>======
ID#AAAALPkNprY
bangsdm    (2020-12-28 13:27:25)
kelas</t>
        </r>
      </text>
    </comment>
    <comment ref="I60" authorId="0" shapeId="0" xr:uid="{00000000-0006-0000-0100-00001F000000}">
      <text>
        <r>
          <rPr>
            <sz val="11"/>
            <color theme="1"/>
            <rFont val="Arial"/>
            <family val="2"/>
            <scheme val="minor"/>
          </rPr>
          <t>======
ID#AAAALPkNpqg
bangsdm    (2020-12-28 13:27:25)
sks</t>
        </r>
      </text>
    </comment>
    <comment ref="J60" authorId="0" shapeId="0" xr:uid="{00000000-0006-0000-0100-000008000000}">
      <text>
        <r>
          <rPr>
            <sz val="11"/>
            <color theme="1"/>
            <rFont val="Arial"/>
            <family val="2"/>
            <scheme val="minor"/>
          </rPr>
          <t>======
ID#AAAALPkNpsM
bangsdm    (2020-12-28 13:27:25)
kelas</t>
        </r>
      </text>
    </comment>
    <comment ref="I67" authorId="0" shapeId="0" xr:uid="{00000000-0006-0000-0100-000033000000}">
      <text>
        <r>
          <rPr>
            <sz val="11"/>
            <color theme="1"/>
            <rFont val="Arial"/>
            <family val="2"/>
            <scheme val="minor"/>
          </rPr>
          <t>======
ID#AAAALPkNppc
bangsdm    (2020-12-28 13:27:25)
sks</t>
        </r>
      </text>
    </comment>
    <comment ref="J67" authorId="0" shapeId="0" xr:uid="{00000000-0006-0000-0100-000023000000}">
      <text>
        <r>
          <rPr>
            <sz val="11"/>
            <color theme="1"/>
            <rFont val="Arial"/>
            <family val="2"/>
            <scheme val="minor"/>
          </rPr>
          <t>======
ID#AAAALPkNpqU
bangsdm    (2020-12-28 13:27:25)
kelas</t>
        </r>
      </text>
    </comment>
    <comment ref="I74" authorId="0" shapeId="0" xr:uid="{00000000-0006-0000-0100-000002000000}">
      <text>
        <r>
          <rPr>
            <sz val="11"/>
            <color theme="1"/>
            <rFont val="Arial"/>
            <family val="2"/>
            <scheme val="minor"/>
          </rPr>
          <t>======
ID#AAAALPkNpsE
bangsdm    (2020-12-28 13:27:25)
sks</t>
        </r>
      </text>
    </comment>
    <comment ref="J74" authorId="0" shapeId="0" xr:uid="{00000000-0006-0000-0100-000028000000}">
      <text>
        <r>
          <rPr>
            <sz val="11"/>
            <color theme="1"/>
            <rFont val="Arial"/>
            <family val="2"/>
            <scheme val="minor"/>
          </rPr>
          <t>======
ID#AAAALPkNpqA
bangsdm    (2020-12-28 13:27:25)
kelas</t>
        </r>
      </text>
    </comment>
    <comment ref="I81" authorId="0" shapeId="0" xr:uid="{00000000-0006-0000-0100-000029000000}">
      <text>
        <r>
          <rPr>
            <sz val="11"/>
            <color theme="1"/>
            <rFont val="Arial"/>
            <family val="2"/>
            <scheme val="minor"/>
          </rPr>
          <t>======
ID#AAAALPkNpqE
bangsdm    (2020-12-28 13:27:25)
sks</t>
        </r>
      </text>
    </comment>
    <comment ref="J81" authorId="0" shapeId="0" xr:uid="{00000000-0006-0000-0100-00001E000000}">
      <text>
        <r>
          <rPr>
            <sz val="11"/>
            <color theme="1"/>
            <rFont val="Arial"/>
            <family val="2"/>
            <scheme val="minor"/>
          </rPr>
          <t>======
ID#AAAALPkNpqo
bangsdm    (2020-12-28 13:27:25)
kelas</t>
        </r>
      </text>
    </comment>
    <comment ref="I88" authorId="0" shapeId="0" xr:uid="{00000000-0006-0000-0100-000003000000}">
      <text>
        <r>
          <rPr>
            <sz val="11"/>
            <color theme="1"/>
            <rFont val="Arial"/>
            <family val="2"/>
            <scheme val="minor"/>
          </rPr>
          <t>======
ID#AAAALPkNpsI
bangsdm    (2020-12-28 13:27:25)
sks</t>
        </r>
      </text>
    </comment>
    <comment ref="J88" authorId="0" shapeId="0" xr:uid="{00000000-0006-0000-0100-00002E000000}">
      <text>
        <r>
          <rPr>
            <sz val="11"/>
            <color theme="1"/>
            <rFont val="Arial"/>
            <family val="2"/>
            <scheme val="minor"/>
          </rPr>
          <t>======
ID#AAAALPkNpps
bangsdm    (2020-12-28 13:27:25)
kelas</t>
        </r>
      </text>
    </comment>
    <comment ref="I95" authorId="0" shapeId="0" xr:uid="{00000000-0006-0000-0100-00000A000000}">
      <text>
        <r>
          <rPr>
            <sz val="11"/>
            <color theme="1"/>
            <rFont val="Arial"/>
            <family val="2"/>
            <scheme val="minor"/>
          </rPr>
          <t>======
ID#AAAALPkNpsc
bangsdm    (2020-12-28 13:27:25)
sks</t>
        </r>
      </text>
    </comment>
    <comment ref="J95" authorId="0" shapeId="0" xr:uid="{00000000-0006-0000-0100-00002A000000}">
      <text>
        <r>
          <rPr>
            <sz val="11"/>
            <color theme="1"/>
            <rFont val="Arial"/>
            <family val="2"/>
            <scheme val="minor"/>
          </rPr>
          <t>======
ID#AAAALPkNpp0
bangsdm    (2020-12-28 13:27:25)
kelas</t>
        </r>
      </text>
    </comment>
    <comment ref="I102" authorId="0" shapeId="0" xr:uid="{00000000-0006-0000-0100-000009000000}">
      <text>
        <r>
          <rPr>
            <sz val="11"/>
            <color theme="1"/>
            <rFont val="Arial"/>
            <family val="2"/>
            <scheme val="minor"/>
          </rPr>
          <t>======
ID#AAAALPkNpsQ
bangsdm    (2020-12-28 13:27:25)
sks</t>
        </r>
      </text>
    </comment>
    <comment ref="J102" authorId="0" shapeId="0" xr:uid="{00000000-0006-0000-0100-00000B000000}">
      <text>
        <r>
          <rPr>
            <sz val="11"/>
            <color theme="1"/>
            <rFont val="Arial"/>
            <family val="2"/>
            <scheme val="minor"/>
          </rPr>
          <t>======
ID#AAAALPkNprg
bangsdm    (2020-12-28 13:27:25)
kelas</t>
        </r>
      </text>
    </comment>
    <comment ref="I109" authorId="0" shapeId="0" xr:uid="{00000000-0006-0000-0100-000021000000}">
      <text>
        <r>
          <rPr>
            <sz val="11"/>
            <color theme="1"/>
            <rFont val="Arial"/>
            <family val="2"/>
            <scheme val="minor"/>
          </rPr>
          <t>======
ID#AAAALPkNpq4
bangsdm    (2020-12-28 13:27:25)
sks</t>
        </r>
      </text>
    </comment>
    <comment ref="J109" authorId="0" shapeId="0" xr:uid="{00000000-0006-0000-0100-00001C000000}">
      <text>
        <r>
          <rPr>
            <sz val="11"/>
            <color theme="1"/>
            <rFont val="Arial"/>
            <family val="2"/>
            <scheme val="minor"/>
          </rPr>
          <t>======
ID#AAAALPkNpqw
bangsdm    (2020-12-28 13:27:25)
kelas</t>
        </r>
      </text>
    </comment>
    <comment ref="I116" authorId="0" shapeId="0" xr:uid="{00000000-0006-0000-0100-000025000000}">
      <text>
        <r>
          <rPr>
            <sz val="11"/>
            <color rgb="FF000000"/>
            <rFont val="Arial"/>
            <family val="2"/>
          </rPr>
          <t xml:space="preserve">======
</t>
        </r>
        <r>
          <rPr>
            <sz val="11"/>
            <color rgb="FF000000"/>
            <rFont val="Arial"/>
            <family val="2"/>
          </rPr>
          <t xml:space="preserve">ID#AAAALPkNpqc
</t>
        </r>
        <r>
          <rPr>
            <sz val="11"/>
            <color rgb="FF000000"/>
            <rFont val="Arial"/>
            <family val="2"/>
          </rPr>
          <t xml:space="preserve">bangsdm    (2020-12-28 13:27:25)
</t>
        </r>
        <r>
          <rPr>
            <sz val="11"/>
            <color rgb="FF000000"/>
            <rFont val="Arial"/>
            <family val="2"/>
          </rPr>
          <t>sks</t>
        </r>
      </text>
    </comment>
    <comment ref="J116" authorId="0" shapeId="0" xr:uid="{00000000-0006-0000-0100-00001A000000}">
      <text>
        <r>
          <rPr>
            <sz val="11"/>
            <color rgb="FF000000"/>
            <rFont val="Arial"/>
            <family val="2"/>
          </rPr>
          <t xml:space="preserve">======
</t>
        </r>
        <r>
          <rPr>
            <sz val="11"/>
            <color rgb="FF000000"/>
            <rFont val="Arial"/>
            <family val="2"/>
          </rPr>
          <t xml:space="preserve">ID#AAAALPkNpq8
</t>
        </r>
        <r>
          <rPr>
            <sz val="11"/>
            <color rgb="FF000000"/>
            <rFont val="Arial"/>
            <family val="2"/>
          </rPr>
          <t xml:space="preserve">bangsdm    (2020-12-28 13:27:25)
</t>
        </r>
        <r>
          <rPr>
            <sz val="11"/>
            <color rgb="FF000000"/>
            <rFont val="Arial"/>
            <family val="2"/>
          </rPr>
          <t>kelas</t>
        </r>
      </text>
    </comment>
    <comment ref="I123" authorId="0" shapeId="0" xr:uid="{00000000-0006-0000-0100-000014000000}">
      <text>
        <r>
          <rPr>
            <sz val="11"/>
            <color theme="1"/>
            <rFont val="Arial"/>
            <family val="2"/>
            <scheme val="minor"/>
          </rPr>
          <t>======
ID#AAAALPkNprI
bangsdm    (2020-12-28 13:27:25)
sks</t>
        </r>
      </text>
    </comment>
    <comment ref="J123" authorId="0" shapeId="0" xr:uid="{00000000-0006-0000-0100-000015000000}">
      <text>
        <r>
          <rPr>
            <sz val="11"/>
            <color theme="1"/>
            <rFont val="Arial"/>
            <family val="2"/>
            <scheme val="minor"/>
          </rPr>
          <t>======
ID#AAAALPkNprM
bangsdm    (2020-12-28 13:27:25)
kelas</t>
        </r>
      </text>
    </comment>
    <comment ref="I130" authorId="0" shapeId="0" xr:uid="{00000000-0006-0000-0100-000019000000}">
      <text>
        <r>
          <rPr>
            <sz val="11"/>
            <color rgb="FF000000"/>
            <rFont val="Arial"/>
            <family val="2"/>
          </rPr>
          <t xml:space="preserve">======
</t>
        </r>
        <r>
          <rPr>
            <sz val="11"/>
            <color rgb="FF000000"/>
            <rFont val="Arial"/>
            <family val="2"/>
          </rPr>
          <t xml:space="preserve">ID#AAAALPkNprE
</t>
        </r>
        <r>
          <rPr>
            <sz val="11"/>
            <color rgb="FF000000"/>
            <rFont val="Arial"/>
            <family val="2"/>
          </rPr>
          <t xml:space="preserve">bangsdm    (2020-12-28 13:27:25)
</t>
        </r>
        <r>
          <rPr>
            <sz val="11"/>
            <color rgb="FF000000"/>
            <rFont val="Arial"/>
            <family val="2"/>
          </rPr>
          <t>sks</t>
        </r>
      </text>
    </comment>
    <comment ref="J130" authorId="0" shapeId="0" xr:uid="{00000000-0006-0000-0100-000018000000}">
      <text>
        <r>
          <rPr>
            <sz val="11"/>
            <color rgb="FF000000"/>
            <rFont val="Arial"/>
            <family val="2"/>
          </rPr>
          <t xml:space="preserve">======
</t>
        </r>
        <r>
          <rPr>
            <sz val="11"/>
            <color rgb="FF000000"/>
            <rFont val="Arial"/>
            <family val="2"/>
          </rPr>
          <t xml:space="preserve">ID#AAAALPkNprA
</t>
        </r>
        <r>
          <rPr>
            <sz val="11"/>
            <color rgb="FF000000"/>
            <rFont val="Arial"/>
            <family val="2"/>
          </rPr>
          <t xml:space="preserve">bangsdm    (2020-12-28 13:27:25)
</t>
        </r>
        <r>
          <rPr>
            <sz val="11"/>
            <color rgb="FF000000"/>
            <rFont val="Arial"/>
            <family val="2"/>
          </rPr>
          <t>kelas</t>
        </r>
      </text>
    </comment>
    <comment ref="I137" authorId="0" shapeId="0" xr:uid="{00000000-0006-0000-0100-000004000000}">
      <text>
        <r>
          <rPr>
            <sz val="11"/>
            <color theme="1"/>
            <rFont val="Arial"/>
            <family val="2"/>
            <scheme val="minor"/>
          </rPr>
          <t>======
ID#AAAALPkNpsA
bangsdm    (2020-12-28 13:27:25)
sks</t>
        </r>
      </text>
    </comment>
    <comment ref="J137" authorId="0" shapeId="0" xr:uid="{00000000-0006-0000-0100-000032000000}">
      <text>
        <r>
          <rPr>
            <sz val="11"/>
            <color theme="1"/>
            <rFont val="Arial"/>
            <family val="2"/>
            <scheme val="minor"/>
          </rPr>
          <t>======
ID#AAAALPkNppU
bangsdm    (2020-12-28 13:27:25)
kelas</t>
        </r>
      </text>
    </comment>
    <comment ref="I144" authorId="0" shapeId="0" xr:uid="{00000000-0006-0000-0100-000024000000}">
      <text>
        <r>
          <rPr>
            <sz val="11"/>
            <color theme="1"/>
            <rFont val="Arial"/>
            <family val="2"/>
            <scheme val="minor"/>
          </rPr>
          <t>======
ID#AAAALPkNpqM
bangsdm    (2020-12-28 13:27:25)
sks</t>
        </r>
      </text>
    </comment>
    <comment ref="J144" authorId="0" shapeId="0" xr:uid="{00000000-0006-0000-0100-000012000000}">
      <text>
        <r>
          <rPr>
            <sz val="11"/>
            <color theme="1"/>
            <rFont val="Arial"/>
            <family val="2"/>
            <scheme val="minor"/>
          </rPr>
          <t>======
ID#AAAALPkNprQ
bangsdm    (2020-12-28 13:27:25)
kelas</t>
        </r>
      </text>
    </comment>
    <comment ref="I151" authorId="0" shapeId="0" xr:uid="{00000000-0006-0000-0100-00002D000000}">
      <text>
        <r>
          <rPr>
            <sz val="11"/>
            <color theme="1"/>
            <rFont val="Arial"/>
            <family val="2"/>
            <scheme val="minor"/>
          </rPr>
          <t>======
ID#AAAALPkNppo
bangsdm    (2020-12-28 13:27:25)
sks</t>
        </r>
      </text>
    </comment>
    <comment ref="J151" authorId="0" shapeId="0" xr:uid="{00000000-0006-0000-0100-000026000000}">
      <text>
        <r>
          <rPr>
            <sz val="11"/>
            <color theme="1"/>
            <rFont val="Arial"/>
            <family val="2"/>
            <scheme val="minor"/>
          </rPr>
          <t>======
ID#AAAALPkNpqY
bangsdm    (2020-12-28 13:27:25)
kelas</t>
        </r>
      </text>
    </comment>
    <comment ref="I158" authorId="0" shapeId="0" xr:uid="{00000000-0006-0000-0100-000010000000}">
      <text>
        <r>
          <rPr>
            <sz val="11"/>
            <color theme="1"/>
            <rFont val="Arial"/>
            <family val="2"/>
            <scheme val="minor"/>
          </rPr>
          <t>======
ID#AAAALPkNprk
bangsdm    (2020-12-28 13:27:25)
sks</t>
        </r>
      </text>
    </comment>
    <comment ref="J158" authorId="0" shapeId="0" xr:uid="{00000000-0006-0000-0100-00002F000000}">
      <text>
        <r>
          <rPr>
            <sz val="11"/>
            <color theme="1"/>
            <rFont val="Arial"/>
            <family val="2"/>
            <scheme val="minor"/>
          </rPr>
          <t>======
ID#AAAALPkNppg
bangsdm    (2020-12-28 13:27:25)
kelas</t>
        </r>
      </text>
    </comment>
    <comment ref="I159" authorId="0" shapeId="0" xr:uid="{00000000-0006-0000-0100-000007000000}">
      <text>
        <r>
          <rPr>
            <sz val="11"/>
            <color theme="1"/>
            <rFont val="Arial"/>
            <family val="2"/>
            <scheme val="minor"/>
          </rPr>
          <t>======
ID#AAAALPkNpsY
bangsdm    (2020-12-28 13:27:25)
sks</t>
        </r>
      </text>
    </comment>
    <comment ref="J159" authorId="0" shapeId="0" xr:uid="{00000000-0006-0000-0100-00001D000000}">
      <text>
        <r>
          <rPr>
            <sz val="11"/>
            <color theme="1"/>
            <rFont val="Arial"/>
            <family val="2"/>
            <scheme val="minor"/>
          </rPr>
          <t>======
ID#AAAALPkNpqk
bangsdm    (2020-12-28 13:27:25)
kelas</t>
        </r>
      </text>
    </comment>
    <comment ref="I165" authorId="0" shapeId="0" xr:uid="{00000000-0006-0000-0100-00000F000000}">
      <text>
        <r>
          <rPr>
            <sz val="11"/>
            <color theme="1"/>
            <rFont val="Arial"/>
            <family val="2"/>
            <scheme val="minor"/>
          </rPr>
          <t>======
ID#AAAALPkNprw
bangsdm    (2020-12-28 13:27:25)
sks</t>
        </r>
      </text>
    </comment>
    <comment ref="J165" authorId="0" shapeId="0" xr:uid="{00000000-0006-0000-0100-00000C000000}">
      <text>
        <r>
          <rPr>
            <sz val="11"/>
            <color theme="1"/>
            <rFont val="Arial"/>
            <family val="2"/>
            <scheme val="minor"/>
          </rPr>
          <t>======
ID#AAAALPkNpr4
bangsdm    (2020-12-28 13:27:25)
kelas</t>
        </r>
      </text>
    </comment>
    <comment ref="I172" authorId="0" shapeId="0" xr:uid="{00000000-0006-0000-0100-000011000000}">
      <text>
        <r>
          <rPr>
            <sz val="11"/>
            <color theme="1"/>
            <rFont val="Arial"/>
            <family val="2"/>
            <scheme val="minor"/>
          </rPr>
          <t>======
ID#AAAALPkNpro
bangsdm    (2020-12-28 13:27:25)
sks</t>
        </r>
      </text>
    </comment>
    <comment ref="J172" authorId="0" shapeId="0" xr:uid="{00000000-0006-0000-0100-000031000000}">
      <text>
        <r>
          <rPr>
            <sz val="11"/>
            <color theme="1"/>
            <rFont val="Arial"/>
            <family val="2"/>
            <scheme val="minor"/>
          </rPr>
          <t>======
ID#AAAALPkNppw
bangsdm    (2020-12-28 13:27:25)
kelas</t>
        </r>
      </text>
    </comment>
    <comment ref="I179" authorId="0" shapeId="0" xr:uid="{00000000-0006-0000-0100-000001000000}">
      <text>
        <r>
          <rPr>
            <sz val="11"/>
            <color theme="1"/>
            <rFont val="Arial"/>
            <family val="2"/>
            <scheme val="minor"/>
          </rPr>
          <t>======
ID#AAAALPkNpsg
bangsdm    (2020-12-28 13:27:25)
sks</t>
        </r>
      </text>
    </comment>
    <comment ref="J179" authorId="0" shapeId="0" xr:uid="{00000000-0006-0000-0100-00002B000000}">
      <text>
        <r>
          <rPr>
            <sz val="11"/>
            <color theme="1"/>
            <rFont val="Arial"/>
            <family val="2"/>
            <scheme val="minor"/>
          </rPr>
          <t>======
ID#AAAALPkNpp4
bangsdm    (2020-12-28 13:27:25)
kelas</t>
        </r>
      </text>
    </comment>
    <comment ref="I186" authorId="0" shapeId="0" xr:uid="{00000000-0006-0000-0100-00002C000000}">
      <text>
        <r>
          <rPr>
            <sz val="11"/>
            <color theme="1"/>
            <rFont val="Arial"/>
            <family val="2"/>
            <scheme val="minor"/>
          </rPr>
          <t>======
ID#AAAALPkNpp8
bangsdm    (2020-12-28 13:27:25)
sks</t>
        </r>
      </text>
    </comment>
    <comment ref="J186" authorId="0" shapeId="0" xr:uid="{00000000-0006-0000-0100-000005000000}">
      <text>
        <r>
          <rPr>
            <sz val="11"/>
            <color theme="1"/>
            <rFont val="Arial"/>
            <family val="2"/>
            <scheme val="minor"/>
          </rPr>
          <t>======
ID#AAAALPkNpr8
bangsdm    (2020-12-28 13:27:25)
kelas</t>
        </r>
      </text>
    </comment>
    <comment ref="I193" authorId="0" shapeId="0" xr:uid="{00000000-0006-0000-0100-000027000000}">
      <text>
        <r>
          <rPr>
            <sz val="11"/>
            <color theme="1"/>
            <rFont val="Arial"/>
            <family val="2"/>
            <scheme val="minor"/>
          </rPr>
          <t>======
ID#AAAALPkNpqI
bangsdm    (2020-12-28 13:27:25)
sks</t>
        </r>
      </text>
    </comment>
    <comment ref="J193" authorId="0" shapeId="0" xr:uid="{00000000-0006-0000-0100-000030000000}">
      <text>
        <r>
          <rPr>
            <sz val="11"/>
            <color theme="1"/>
            <rFont val="Arial"/>
            <family val="2"/>
            <scheme val="minor"/>
          </rPr>
          <t>======
ID#AAAALPkNppk
bangsdm    (2020-12-28 13:27:25)
kelas</t>
        </r>
      </text>
    </comment>
    <comment ref="I200" authorId="0" shapeId="0" xr:uid="{00000000-0006-0000-0100-00000D000000}">
      <text>
        <r>
          <rPr>
            <sz val="11"/>
            <color theme="1"/>
            <rFont val="Arial"/>
            <family val="2"/>
            <scheme val="minor"/>
          </rPr>
          <t>======
ID#AAAALPkNpr0
bangsdm    (2020-12-28 13:27:25)
sks</t>
        </r>
      </text>
    </comment>
    <comment ref="J200" authorId="0" shapeId="0" xr:uid="{00000000-0006-0000-0100-000034000000}">
      <text>
        <r>
          <rPr>
            <sz val="11"/>
            <color theme="1"/>
            <rFont val="Arial"/>
            <family val="2"/>
            <scheme val="minor"/>
          </rPr>
          <t>======
ID#AAAALPkNppY
bangsdm    (2020-12-28 13:27:25)
kelas</t>
        </r>
      </text>
    </comment>
    <comment ref="I201" authorId="0" shapeId="0" xr:uid="{00000000-0006-0000-0100-000022000000}">
      <text>
        <r>
          <rPr>
            <sz val="11"/>
            <color theme="1"/>
            <rFont val="Arial"/>
            <family val="2"/>
            <scheme val="minor"/>
          </rPr>
          <t>======
ID#AAAALPkNpqQ
bangsdm    (2020-12-28 13:27:25)
sks</t>
        </r>
      </text>
    </comment>
    <comment ref="J201" authorId="0" shapeId="0" xr:uid="{00000000-0006-0000-0100-000016000000}">
      <text>
        <r>
          <rPr>
            <sz val="11"/>
            <color theme="1"/>
            <rFont val="Arial"/>
            <family val="2"/>
            <scheme val="minor"/>
          </rPr>
          <t>======
ID#AAAALPkNprc
bangsdm    (2020-12-28 13:27:25)
kelas</t>
        </r>
      </text>
    </comment>
  </commentList>
  <extLst>
    <ext xmlns:r="http://schemas.openxmlformats.org/officeDocument/2006/relationships" uri="GoogleSheetsCustomDataVersion2">
      <go:sheetsCustomData xmlns:go="http://customooxmlschemas.google.com/" r:id="rId1" roundtripDataSignature="AMtx7miGksmuaWybOp3nWrK5W5sBKWpVCQ=="/>
    </ext>
  </extLst>
</comments>
</file>

<file path=xl/sharedStrings.xml><?xml version="1.0" encoding="utf-8"?>
<sst xmlns="http://schemas.openxmlformats.org/spreadsheetml/2006/main" count="6208" uniqueCount="1479">
  <si>
    <t>Lampiran IV Keputusan Bersama Menteri</t>
  </si>
  <si>
    <t xml:space="preserve">Pendidikan dan Kebudayaan </t>
  </si>
  <si>
    <t>dan Kepala Badan Kepegawaian Negara</t>
  </si>
  <si>
    <t>Nomor :          4/VIII/PB/2014</t>
  </si>
  <si>
    <t>Nomor :         24 TAHUN 2014</t>
  </si>
  <si>
    <t xml:space="preserve">Tentang
Ketentuan Pelaksanaan Peraturan
Menteri Pendayagunaan Aparatur Negara
Dan Reformasi Birokrasi Nomor 17 Tahun
2013 Tentang Jabatan Fungsional Dosen
Dan Angka Kreditnya, Sebagaimana Telah
Diubah Dengan Peraturan Menteri
Pendayagunaan Aparatur Negara Dan
Reformasi Birokrasi Republik Indonesia
Nomor 46 Tahun 2013
</t>
  </si>
  <si>
    <t>DAFTAR USUL PENETAPAN ANGKA KREDIT</t>
  </si>
  <si>
    <t>JABATAN AKADEMIK DOSEN</t>
  </si>
  <si>
    <t xml:space="preserve">MASA PENILAIAN :   </t>
  </si>
  <si>
    <t xml:space="preserve">Bulan </t>
  </si>
  <si>
    <t>Januari</t>
  </si>
  <si>
    <t>Tahun</t>
  </si>
  <si>
    <t>s.d.</t>
  </si>
  <si>
    <t>Petunjuk</t>
  </si>
  <si>
    <t>Bulan</t>
  </si>
  <si>
    <t>Juli</t>
  </si>
  <si>
    <t>: Kotak berwarna KUNING untuk diisi</t>
  </si>
  <si>
    <t xml:space="preserve">KETERANGAN PERORANGAN </t>
  </si>
  <si>
    <t>: Kotak berwarna HIJAU untuk dipilih sesuai pilihan yang ada</t>
  </si>
  <si>
    <t>N a m a</t>
  </si>
  <si>
    <t>Dahliar Ananda</t>
  </si>
  <si>
    <t>: Kotak berwarna MERAH rumus, tidak perlu melakukan pengisian pada Kotak Merah</t>
  </si>
  <si>
    <t>N I D N / N I P</t>
  </si>
  <si>
    <t>0402058203 / 09820030</t>
  </si>
  <si>
    <t>: Isilah Keterangan Perorangan terlebih dahulu, agar fungsi formula di tiap lampiran berfungsi</t>
  </si>
  <si>
    <t>Nomor Seri Kartu Pegawai</t>
  </si>
  <si>
    <t>-</t>
  </si>
  <si>
    <t>: Apabila Keterangan Perorangan sudah diisi, maka otomatis akan mengisi nama pada tiap Lampiran berikutnya</t>
  </si>
  <si>
    <t>Tempat dan Tanggal Lahir</t>
  </si>
  <si>
    <t>Banyuwangi, 2 Mei 1982</t>
  </si>
  <si>
    <t>: Untuk nama Atasan / yang memberi pernyataan, diisi pada Lampiran II</t>
  </si>
  <si>
    <t>Jenis Kelamin</t>
  </si>
  <si>
    <t>Laki-laki</t>
  </si>
  <si>
    <t>: Aplikasi Excel ini hanya bisa dioperasikan minimal pada Microsoft Excel 2010 s/d sekarang</t>
  </si>
  <si>
    <t>Pendidikan yang diperhitungkan angka kreditnya</t>
  </si>
  <si>
    <t>Magister (S2)</t>
  </si>
  <si>
    <t>Created By : Nathaleo M. Apon. - Eugeniotejo</t>
  </si>
  <si>
    <t>Jabatan Akademik Dosen/TMT</t>
  </si>
  <si>
    <t>Fakultas/Jurusan</t>
  </si>
  <si>
    <t>S1 Rekayasa Perangkat Lunak Kampus Surabaya Fakultas Informatika</t>
  </si>
  <si>
    <t>Masa Kerja Lama</t>
  </si>
  <si>
    <t>Masa Kerja Baru</t>
  </si>
  <si>
    <t xml:space="preserve">Unit Kerja </t>
  </si>
  <si>
    <t>II</t>
  </si>
  <si>
    <t xml:space="preserve"> </t>
  </si>
  <si>
    <t>NO</t>
  </si>
  <si>
    <t>UNSUR YANG DINILAI</t>
  </si>
  <si>
    <t>UNSUR, SUB UNSUR &amp; BUTIR KEGIATAN</t>
  </si>
  <si>
    <t>ANGKA KREDIT MENURUT</t>
  </si>
  <si>
    <t>INSTANSI PENGUSUL</t>
  </si>
  <si>
    <t>TIM PENILAI</t>
  </si>
  <si>
    <t>LAMA</t>
  </si>
  <si>
    <t>BARU</t>
  </si>
  <si>
    <t>JUMLAH</t>
  </si>
  <si>
    <t>I</t>
  </si>
  <si>
    <t xml:space="preserve">  PENDIDIKAN</t>
  </si>
  <si>
    <t>A</t>
  </si>
  <si>
    <t>Pendidikan Formal</t>
  </si>
  <si>
    <t xml:space="preserve"> Sarjana (S1)</t>
  </si>
  <si>
    <t xml:space="preserve"> Magister (S2)</t>
  </si>
  <si>
    <t xml:space="preserve"> Doktor (S3)</t>
  </si>
  <si>
    <t>B</t>
  </si>
  <si>
    <t>Pendidikan &amp; Pelatihan Prajabatan</t>
  </si>
  <si>
    <t>Pendidikan &amp; Pelatihan Prajabatan Golongan III</t>
  </si>
  <si>
    <t xml:space="preserve">  PELAKSANAAN PENDIDIKAN</t>
  </si>
  <si>
    <t>Melaksanakan Perkulihan/Tutorial &amp; Membimbing, Menguji Serta Menyelenggarakan Pendidikan di Laboratorium, Praktek Keguruan Bengkel/Studio/Kebun Percobaan/Teknologi Pengajaran &amp; Praktek Lapangan</t>
  </si>
  <si>
    <t>Melaksanakan Perkulihan/Tutorial &amp; Membimbing, Menguji Serta Menyelenggarakan Pendidikan di Laboratorium, Praktik Keguruan Bengkel/Studio/Kebun Pada Fakultas/Sekolah Tinggi/Akademi/ Politeknik Sendiri, Pada Fakultas Lain Dalam Lingkungan Universitas/Institut Sendiri, maupun di Luar Perguruan Tinggi Sendiri Secara Melembaga Paling Banyak 12 SKS/Semester</t>
  </si>
  <si>
    <t>UNSUR, SUB UNSUR DAN BUTIR KEGIATAN</t>
  </si>
  <si>
    <t>Membimbing Seminar</t>
  </si>
  <si>
    <t>Membimbing Mahasiswa Seminar</t>
  </si>
  <si>
    <t>C</t>
  </si>
  <si>
    <t>Membing Kuliah Kerja Nyata, Pratek Kerja Nyata, Praktek Kerja Lapangan</t>
  </si>
  <si>
    <t>Membimbing Mahasiswa Kuliah Kerja Nyata, Pratek Kerja Nyata, Praktek Kerja Lapangan</t>
  </si>
  <si>
    <t>D</t>
  </si>
  <si>
    <t>Membimbing &amp; Ikut Membimbing Dalam Menghasilkan Disertasi, Thesis, Skripsi &amp; Laporan Akhir Studi</t>
  </si>
  <si>
    <t xml:space="preserve">Pembimbing Utama </t>
  </si>
  <si>
    <t>a.</t>
  </si>
  <si>
    <t>Disertasi</t>
  </si>
  <si>
    <t>b.</t>
  </si>
  <si>
    <t>Thesis</t>
  </si>
  <si>
    <t>c.</t>
  </si>
  <si>
    <t>Skripsi</t>
  </si>
  <si>
    <t>d.</t>
  </si>
  <si>
    <t>Laporan Akhir</t>
  </si>
  <si>
    <t>Pembimbing Pendamping/Pembantu</t>
  </si>
  <si>
    <t>E</t>
  </si>
  <si>
    <t>Bertugas Sebagai Penguji Pada Ujian Akhir</t>
  </si>
  <si>
    <t>Ketua Penguji</t>
  </si>
  <si>
    <t>Anggota Penguji</t>
  </si>
  <si>
    <t>F</t>
  </si>
  <si>
    <t>Membina Kegiatan Mahasiswa</t>
  </si>
  <si>
    <t>Melakukan Pembinaan Kegiatan Mahasiswa di Bidang Akademik &amp; Kemahasiswaan</t>
  </si>
  <si>
    <t>G</t>
  </si>
  <si>
    <t>Mengembangkan Program Kuliah</t>
  </si>
  <si>
    <t>Melakukan Kegiatan Pengembangan Program Kuliah</t>
  </si>
  <si>
    <t>H</t>
  </si>
  <si>
    <t>Mengembangkan Bahan Pengajaran</t>
  </si>
  <si>
    <t>Buku Ajar</t>
  </si>
  <si>
    <t>Diktat, Modul, Petunjuk Praktikum, Model, Alat Bantu, Audio Visual, Naskah Tutorial</t>
  </si>
  <si>
    <t>Menyampaikan Orasi Ilmiah</t>
  </si>
  <si>
    <t>Melakukan Kegiatan Orasi Ilmiah Pada Perguruan Tinggi</t>
  </si>
  <si>
    <t>J</t>
  </si>
  <si>
    <t>Menduduki Jabatan Pimpinan Perguruan Tinggi</t>
  </si>
  <si>
    <t>Rektor</t>
  </si>
  <si>
    <t>Pembantu Rektor/Dekan/Direktur Program Pasca Sarjana</t>
  </si>
  <si>
    <t>Ketua Sekolah Tinggi/Pembantu Dekan/Asisten Direktur Program Pasca Sarjana/Direktur Politeknik</t>
  </si>
  <si>
    <t xml:space="preserve">Pembantu Ketua Sekolah Tinggi/Pembantu Direktur Politeknik </t>
  </si>
  <si>
    <t>Direktur Akademi</t>
  </si>
  <si>
    <t>Pembantu Direktur Akademi/Ketua Jurusan/Bagian Pada Universitas/Institut/Sekolah Tinggi</t>
  </si>
  <si>
    <t>Ketua Jurusan Pada Politeknik/Akademi/Sekretaris Jurusan/Bagian Pada Universitas/Institut/Sekolah Tinggi</t>
  </si>
  <si>
    <t>Sekretaris Jurusan Pada Politeknik/Akademik &amp; Kepala Laboratorium Universitas/Institut/Sekolah Tinggi/Politeknik/Akademi</t>
  </si>
  <si>
    <t>K</t>
  </si>
  <si>
    <t>Membimbing Akademik Dosen Yang Lebih Rendah Jabatannya</t>
  </si>
  <si>
    <t>Pembimbing Pencangkokan</t>
  </si>
  <si>
    <t>Reguler</t>
  </si>
  <si>
    <t>L</t>
  </si>
  <si>
    <t>Melaksanakan Kegiatan Detasering &amp; Pencangkokan Akademik Dosen</t>
  </si>
  <si>
    <t>Detasering</t>
  </si>
  <si>
    <t>Pencangkokan</t>
  </si>
  <si>
    <t>M</t>
  </si>
  <si>
    <t>Melakukan Kegiatan Pengembangan Diri Untuk Meningkatkan Kompetensi</t>
  </si>
  <si>
    <t>1.</t>
  </si>
  <si>
    <t>Lamanya Lebih Dari 960 Jam</t>
  </si>
  <si>
    <t>2.</t>
  </si>
  <si>
    <t>Lamanya 641-960 Jam</t>
  </si>
  <si>
    <t>3.</t>
  </si>
  <si>
    <t>Lamanya 481-640 Jam</t>
  </si>
  <si>
    <t>4.</t>
  </si>
  <si>
    <t>Lamanya 161-480 Jam</t>
  </si>
  <si>
    <t>5.</t>
  </si>
  <si>
    <t>Lamanya 81-160 Jam</t>
  </si>
  <si>
    <t>6.</t>
  </si>
  <si>
    <t>Lamanya 31-80 Jam</t>
  </si>
  <si>
    <t>(ke-1)</t>
  </si>
  <si>
    <t>7.</t>
  </si>
  <si>
    <t>Lamanya 10-30 Jam</t>
  </si>
  <si>
    <t>III</t>
  </si>
  <si>
    <t>PELAKSANAAN PENELITIAN</t>
  </si>
  <si>
    <t xml:space="preserve">Menghasilkan Karya Ilmiah </t>
  </si>
  <si>
    <t>Hasil Penelitian Atau Pemikiran Yang Dipublikasikan</t>
  </si>
  <si>
    <t>Dalam Bentuk :</t>
  </si>
  <si>
    <t>1)</t>
  </si>
  <si>
    <t>Monograf</t>
  </si>
  <si>
    <t>1.b).2). Hasil penelitian atau hasil pemikiran yang DIPUBLIKASIKAN dan berisi berbagai tulisan dari berbagai PENULIS NASIONAL</t>
  </si>
  <si>
    <t>2)</t>
  </si>
  <si>
    <t>Buku Referensi</t>
  </si>
  <si>
    <t>1.c).1). Hasil penelitian atau hasil pemikiran yang DIPUBLIKASIKAN dalam bentuk JURNAL INTERNASIONAL BEREPUTASI</t>
  </si>
  <si>
    <t>3)</t>
  </si>
  <si>
    <t>Book Chapter</t>
  </si>
  <si>
    <t>1.c).2). Hasil penelitian atau hasil pemikiran yang DIPUBLIKASIKAN dalam bentuk JURNAL INTERNASIONAL TERINDEK pada DATABASE INTERNASIONAL BEREPUTASI</t>
  </si>
  <si>
    <t>b</t>
  </si>
  <si>
    <t>Jurnal Ilmiah :</t>
  </si>
  <si>
    <t>1.c).3). Hasil penelitian atau hasil pemikiran yang DIPUBLIKASIKAN dalam bentuk JURNAL INTERNASIONAL TERINDEK pada DATABASE INTERNASIONAL</t>
  </si>
  <si>
    <t>Internasional</t>
  </si>
  <si>
    <t>Nasional Terakreditasi</t>
  </si>
  <si>
    <t>1.c).5).a). Hasil penelitian atau hasil pemikiran yang DIPUBLIKASIKAN dalam bentuk JURNAL NASIONAL BERBAHASA INDONESIA terindex pada DOAJ</t>
  </si>
  <si>
    <t>Tidak Terakreditasi</t>
  </si>
  <si>
    <t>1.c).5).b). Hasil penelitian atau hasil pemikiran yang DIPUBLIKASIKAN dalam bentuk JURNAL NASIONAL BERBAHASA INGGRIS atau BAHASA RESMI (PBB) terindek pada DOAJ</t>
  </si>
  <si>
    <t>Seminar</t>
  </si>
  <si>
    <t>1.c).6). Hasil penelitian atau hasil pemikiran yang DIPUBLIKASIKAN dalam bentuk JURNAL NASIONAL</t>
  </si>
  <si>
    <t>Disajikan Tingkat :</t>
  </si>
  <si>
    <t>1.c).7). Hasil penelitian atau hasil pemikiran yang DIPUBLIKASIKAN dalam bentuk JURNAL ILMIAH yang ditulis dalam BAHASA RESMI namum tidak memenuhi syarat-syarat sebagai JURNAL ILMIAH INTERNASIONAL</t>
  </si>
  <si>
    <t>a) Internasional</t>
  </si>
  <si>
    <t>2.a).1). Hasil penelitian atau hasil pemikiran yang DIDESIMINASIKAN DIPRESENTASIKAN secara ORAL dan dimuat dalam PROSIDING yang DIPUBLIKASISKAN (ber ISSN/ISBN) INTERNASIONAL</t>
  </si>
  <si>
    <t>b) Nasional</t>
  </si>
  <si>
    <t>2.a).2). Hasil penelitian atau hasil pemikiran yang DIDESIMINASIKAN DIPRESENTASIKAN secara ORAL dan dimuat dalam PROSIDING yang DIPUBLIKASISKAN (ber ISSN/ISBN) NASIONAL</t>
  </si>
  <si>
    <t>Poster Tingkat :</t>
  </si>
  <si>
    <t>2.b).1). Hasil penelitian atau hasil pemikiran yang DISAJIKAN dalam bentuk POSTER dan dimuat dalam PROSIDING yang DIPUBLIKASIKAN INTERNASIONAL</t>
  </si>
  <si>
    <t>2.b).2). Hasil penelitian atau hasil pemikiran yang DISAJIKAN dalam bentuk POSTER dan dimuat dalam PROSIDING yang DIPUBLIKASIKAN NASIONAL</t>
  </si>
  <si>
    <t>2.c).1). Hasil penelitian atau hasil pemikiran yang DISAJIKAN dalam SEMINAR/SIMPOSIUM/LOKAKARYA, tetapi TIDAK DIMUAT dalam PROSIDING yang DIPUBLIKASIKAN INTERNASIONAL</t>
  </si>
  <si>
    <t>d</t>
  </si>
  <si>
    <t>Dalam Koran/Majalah Populer/Umum</t>
  </si>
  <si>
    <t>2.c).2). Hasil penelitian atau hasil pemikiran yang DISAJIKAN dalam SEMINAR/SIMPOSIUM/LOKAKARYA, tetapi TIDAK DIMUAT dalam PROSIDING yang DIPUBLIKASIKAN NASIONAL</t>
  </si>
  <si>
    <t>Hasil Penelitian Atau Hasil Pemikiran Yang Tidak di Publikasikan (Tersimpan di Perpustakaan Perguruan Tinggi)</t>
  </si>
  <si>
    <t>2.d).1). Hasil penelitian atau hasil pemikiran yang TIDAK DISAJIKAN dalam SEMINAR/SIMPOSIUM/LOKAKARYA, tetapi dimuat dalam PROSIDING INTERNASIONAL</t>
  </si>
  <si>
    <t>Menerjemahkan / Menyadur Buku Ilmiah</t>
  </si>
  <si>
    <t>2.d).2). Hasil penelitian atau hasil pemikiran yang TIDAK DISAJIKAN dalam SEMINAR/SIMPOSIUM/LOKAKARYA, tetapi dimuat dalam PROSIDING NASIONAL</t>
  </si>
  <si>
    <t>Diterbitkan &amp; Diedarkan Secara Nasional</t>
  </si>
  <si>
    <t>2.e). Hasil penelitian atau hasil pemikiran yang DISAJIKAN dalam KORAN/MAJALAH POPULER/UMUM</t>
  </si>
  <si>
    <t>Mengedit/Menyunting Karya Ilmiah</t>
  </si>
  <si>
    <t>3. Hasil penelitian atau hasil pemikiran atau KERJASAMA INDUSTRI yang TIDAK DIPUBLIKASIKAN (tersimpan dalam perpustakaan)</t>
  </si>
  <si>
    <t>Membuat Rencana &amp; Karya Teknologi Yang dipatenkan</t>
  </si>
  <si>
    <t>Nasional</t>
  </si>
  <si>
    <t>Membuat Rancangan &amp; Karya Teknologi, Rancangan &amp; Karya Seni Monumental/Seni Pertunjukan/Karya Sastra</t>
  </si>
  <si>
    <t>Tingkat Internasional</t>
  </si>
  <si>
    <t>Tingkat Nasional</t>
  </si>
  <si>
    <t>Tingkat Lokal</t>
  </si>
  <si>
    <t>IV</t>
  </si>
  <si>
    <t>PELAKSANAAN PENGABDIAN KEPADA MASYARAKAT</t>
  </si>
  <si>
    <t>Menduduki Jabatan Pimpinan</t>
  </si>
  <si>
    <t>Menduduki Jabatan Pimpinan Pada Lembaga Pemerintahan/Pejabat Negara Yang Harus dibebaskan Dari Jabatan Organiknya</t>
  </si>
  <si>
    <t>Melaksanakan Pengembangan Hasil Pendidikan &amp; Penelitian</t>
  </si>
  <si>
    <t>Melaksanakan Pengembangan Hasil Pendidikan &amp; Penelitian Yang dapat dimanfaatkan Oleh Masyarakat</t>
  </si>
  <si>
    <t>Memberi Latihan/Penyuluhan/Penataran/Ceramah Pada Masyarakat</t>
  </si>
  <si>
    <t>Terjadwal/Terprogram</t>
  </si>
  <si>
    <t>Dalam Satu Semester Atau Lebih</t>
  </si>
  <si>
    <t>Kurang Dari Satu Semester &amp; Minimal Satu Bulan</t>
  </si>
  <si>
    <t>Insidental</t>
  </si>
  <si>
    <t>Memberi Pelayanan KePada Masyarakat Atau Kegiatan Lain Yang Menunjang Pelaksanaan Tugas Umum Pemerintah &amp; Pembangunan</t>
  </si>
  <si>
    <t>Berdasarkan Bidang Keahlian</t>
  </si>
  <si>
    <t>Berdasarkan Penugasan Lembaga Perguruan Tinggi</t>
  </si>
  <si>
    <t>Berdasarkan Fungsi/Jabatan</t>
  </si>
  <si>
    <t>Membuat/Menulis Karya Pengabdian</t>
  </si>
  <si>
    <t>Membuat/Menulis Karya Pengabdian Pada Masyarakat Yang Tidak Dipublikasikan</t>
  </si>
  <si>
    <t xml:space="preserve">JUMLAH UNSUR UTAMA </t>
  </si>
  <si>
    <t>V</t>
  </si>
  <si>
    <t>PENUNJANG TUGAS DOSEN</t>
  </si>
  <si>
    <t>Menjadi Anggota Dalam Suatu Panitia / Badan Pada Perguruan Tinggi</t>
  </si>
  <si>
    <t>Sebagai Ketua/Wakil Ketua Merangkap Anggota</t>
  </si>
  <si>
    <t>Sebagai Anggota</t>
  </si>
  <si>
    <t>Menjadi Anggota Panitia/Badan Pada Lembaga Pemerintah</t>
  </si>
  <si>
    <t>Panitia Pusat</t>
  </si>
  <si>
    <t>Ketua/Wakil Ketua</t>
  </si>
  <si>
    <t>Anggota</t>
  </si>
  <si>
    <t>Panitia Daerah</t>
  </si>
  <si>
    <t>Menjadi Anggota Organisasi Profesi</t>
  </si>
  <si>
    <t>a</t>
  </si>
  <si>
    <t>Pengurus</t>
  </si>
  <si>
    <t>Anggota Atas Permintaan</t>
  </si>
  <si>
    <t>c</t>
  </si>
  <si>
    <t>Mewakili Perguruan Tinggi/Lembaga Pemerintah</t>
  </si>
  <si>
    <t>Mewakili Perguruan Tinggi/Lembaga Pemerintah Duduk Dalam Panitia Antar Lembaga</t>
  </si>
  <si>
    <t>Menjadi Anggota Delegasi Nasional Ke Pertemuan Internasional</t>
  </si>
  <si>
    <t>Sebagai Ketua Delegasi</t>
  </si>
  <si>
    <t>Sebagai Anggota Delegasi</t>
  </si>
  <si>
    <t>Berperan Serta Aktif Dalam Pengelolaan Jurnal Ilmiah (Per Tahun)</t>
  </si>
  <si>
    <t>Editor/Dewan Redaksi Pada Jurnal Internasional</t>
  </si>
  <si>
    <t>Editor/Dewan Redaksi Pada Jurnal Nasional</t>
  </si>
  <si>
    <t>Berperan Serta Aktif Dalam Pertemuan Ilmiah</t>
  </si>
  <si>
    <t>Tingkat Internasional/Nasional/Regional Sebagai :</t>
  </si>
  <si>
    <t>Ketua</t>
  </si>
  <si>
    <t>Di Lingkungan Perguruan Tinggi Sebagai :</t>
  </si>
  <si>
    <t>Mendapat Penghargaan/Tanda Jasa</t>
  </si>
  <si>
    <t>Penghargaan/Tanda Jasa Satya Lancana Karya Satya</t>
  </si>
  <si>
    <t>30 (Tiga Puluh) Tahun</t>
  </si>
  <si>
    <t>20 (Dua Puluh) Tahun</t>
  </si>
  <si>
    <t>10 (Sepuluh) Tahun</t>
  </si>
  <si>
    <t>Memperoleh Penghargaan Lainnya</t>
  </si>
  <si>
    <t>Tingkat Provinsi</t>
  </si>
  <si>
    <t>Menulis Buku Pelajaran SLTA Ke Bawah Yang Diterbitkan &amp; Diedarkan Secara Nasional</t>
  </si>
  <si>
    <t>Buku SLTA / Setingkat</t>
  </si>
  <si>
    <t>Buku SLTP / Setingkat</t>
  </si>
  <si>
    <t>Buku SD / Setingkat</t>
  </si>
  <si>
    <t>Mempunyai Prestasi di Bidang Olahraga/Humaniora</t>
  </si>
  <si>
    <t>Tingkat Daerah/Lokal</t>
  </si>
  <si>
    <t>Keanggotaan Dalam Tim Penilaian</t>
  </si>
  <si>
    <t>Menjadi Anggota Tim Penilaian  Jabatan Akademik Dosen</t>
  </si>
  <si>
    <t>JUMLAH UNSUR PENUNJANG</t>
  </si>
  <si>
    <t>TOTAL (UNSUR UTAMA + UNSUR PENUNJANG</t>
  </si>
  <si>
    <t>LAMPIRAN PENDUKUNG DUPAK :</t>
  </si>
  <si>
    <t>Surat Pernyataan Telah Melaksanakan Kegiatan Pendidikan</t>
  </si>
  <si>
    <t>Surat Pernyataan Telah Melakukan Kegiatan Pengajaran</t>
  </si>
  <si>
    <t>Surat Pernyataan Telah Melakukan Kegiatan Penelitian</t>
  </si>
  <si>
    <t>Surat Pernyataan Telah Melakukan Kegiatan Pengabdian Kepada Masyarakat</t>
  </si>
  <si>
    <t xml:space="preserve">Surat Pernyataan Melakukan Kegiatan Penunjang </t>
  </si>
  <si>
    <t>Field di sebelah otomatis terisi apabila fakultas dan jurusan sudah dipilih pada Field keterangan perorangan</t>
  </si>
  <si>
    <t>Field tersebut otomatis terisi apabila nama dan NIP yang bertanda tangan pada lampiran II diisi</t>
  </si>
  <si>
    <t>Catatan Pejabat Pengusul :</t>
  </si>
  <si>
    <t>Rektor Universitas Telkom,</t>
  </si>
  <si>
    <t xml:space="preserve">NB: </t>
  </si>
  <si>
    <t>1. Untuk pengajuan ke Asisten Ahli / Lektor,pada Lampiran Pendukung DUPAK isikan nama Ketua Program Studi, nama Pejabat Pengusul diisikan nama Rektor Tel- U</t>
  </si>
  <si>
    <t>2. Untuk Pengajuan ke Lektor Kepala / Guru Besar, nama Rektor Tel-U diisikan pada Kolom Lampiran Pendukung DUPAK sedangkan pada Kolom Pejabat Pengusul diisikan nama Koordinator Kopertis Wilayah IV</t>
  </si>
  <si>
    <t>Prof. Dr. Adiwijaya</t>
  </si>
  <si>
    <t>NIK. 00740046</t>
  </si>
  <si>
    <t>Catatan Anggota Tim Penilai :</t>
  </si>
  <si>
    <t>Anggota Tim Penilai 1</t>
  </si>
  <si>
    <t>NIK/NIDN.</t>
  </si>
  <si>
    <t>Anggota Tim Penilai 2</t>
  </si>
  <si>
    <t>VI</t>
  </si>
  <si>
    <t>Catatan  Ketua Tim Penilai :</t>
  </si>
  <si>
    <t xml:space="preserve">Ketua Tim Penilai, </t>
  </si>
  <si>
    <t>Lampiran V Keputusan Bersama Menteri</t>
  </si>
  <si>
    <t>a.Rektor</t>
  </si>
  <si>
    <t>b.Pembantu rektor/dekan/direktur program pasca sarjana</t>
  </si>
  <si>
    <t>c.Ketua sekolah tinggi/pembantu dekan/asisten direktur program pasca sarjana/direktur politeknik</t>
  </si>
  <si>
    <t>d.Pembantu ketua sekolah tinggi/pembantu direktur politeknik</t>
  </si>
  <si>
    <t>e.Direktur akademi</t>
  </si>
  <si>
    <t>f.Pembantu direktur akademi/ketua jurusan/bagian pada universitas/institut/sekolah tinggi</t>
  </si>
  <si>
    <t>g.Ketua jurusan pada politeknik/akademi/sekretaris jurusan/bagian pada universitas/institu/sekolah tinggi</t>
  </si>
  <si>
    <t xml:space="preserve">SURAT PERNYATAAN </t>
  </si>
  <si>
    <t>h.Sekretaris jurusan pada politeknik/akademi dan kepala laboratorium universitas/institut/sekolah tinggi/politeknik/akademi</t>
  </si>
  <si>
    <t>MELAKSANAKAN KEGIATAN PENDIDIKAN  DAN PENGAJARAN</t>
  </si>
  <si>
    <t>Yang bertanda tangan di bawah ini:</t>
  </si>
  <si>
    <t>N I P</t>
  </si>
  <si>
    <t>Pangkat/Golongan Ruang</t>
  </si>
  <si>
    <t>Jabatan Fungsional</t>
  </si>
  <si>
    <t>Unit Kerja</t>
  </si>
  <si>
    <t>Menyatakan Bahwa</t>
  </si>
  <si>
    <t xml:space="preserve">Jabatan Fungsional </t>
  </si>
  <si>
    <t>: Kotak berwarna KUNING untuk diisi (khusus profil atasan/yang memberi pernyataan)</t>
  </si>
  <si>
    <t>Telah Melakukan Kegiatan Pendidikan dan Pengajaran Sebagai Berikut</t>
  </si>
  <si>
    <t>: Kotak berwarna MERAH rumus</t>
  </si>
  <si>
    <t>URAIAN KEGIATAN</t>
  </si>
  <si>
    <t>TANGGAL</t>
  </si>
  <si>
    <t>SATUAN HASIL</t>
  </si>
  <si>
    <t>JUMLAH VOLUME KEGIATAN</t>
  </si>
  <si>
    <t>ANGKA KREDIT</t>
  </si>
  <si>
    <t>JUMLAH ANGKA KREDIT</t>
  </si>
  <si>
    <t>KETERANGAN / BUKTI FISIK</t>
  </si>
  <si>
    <t>Untuk Row yang tidak diisi / dilewat mohon dihide
Created By : Nathaleo M. Apon.</t>
  </si>
  <si>
    <t>Pendidikan</t>
  </si>
  <si>
    <t>Pendidikan S1</t>
  </si>
  <si>
    <t>Pendidikan S2</t>
  </si>
  <si>
    <t>Pendidikan S3</t>
  </si>
  <si>
    <t>Jumlah</t>
  </si>
  <si>
    <t>Diklat Pra Jabatan</t>
  </si>
  <si>
    <t>Jumlah I</t>
  </si>
  <si>
    <t>Pelaksanaan Pendidikan</t>
  </si>
  <si>
    <t>Melaksanakan perkuliahan</t>
  </si>
  <si>
    <t>sks</t>
  </si>
  <si>
    <t>kelas</t>
  </si>
  <si>
    <t>KA1024 Algoritma dan Pemrograman, 4sks, 2kls</t>
  </si>
  <si>
    <t>2012/2013</t>
  </si>
  <si>
    <t>NOMOR : KEP. 039/ACD.11/1.0.0/2012</t>
  </si>
  <si>
    <t>nama mk, sks, kls</t>
  </si>
  <si>
    <t>( Isikan Nomor SK dengan lengkap)</t>
  </si>
  <si>
    <t>MI1264 Dasar Algoritma dan Pemrograman, 4sks, 2 kls</t>
  </si>
  <si>
    <t>2013/2014</t>
  </si>
  <si>
    <t>NOMOR : KEP. 044D/ACD.11/0.0.0/13</t>
  </si>
  <si>
    <t>2014/2015</t>
  </si>
  <si>
    <t>NOMOR : KR. 091/AKD18/FIT.0/14</t>
  </si>
  <si>
    <t>2015/2016</t>
  </si>
  <si>
    <t>NOMOR : 058A/AKD6/IT-DEK/15</t>
  </si>
  <si>
    <t>DPH1B4 Algoritma dan Pemrograman Komputer, 4sks, 2kls</t>
  </si>
  <si>
    <t>2016/2017</t>
  </si>
  <si>
    <t>NOMOR : 089/AKD6/IT-DEK/16</t>
  </si>
  <si>
    <t>DPH1B4 Algoritma dan Pemrograman Komputer, 4sks, 1kls</t>
  </si>
  <si>
    <t>2017/2018</t>
  </si>
  <si>
    <t>NOMOR : 073/AKD6/IT-DEK/2017</t>
  </si>
  <si>
    <t>DCH2A3 Jaringan Komputer, 3sks, 2kls</t>
  </si>
  <si>
    <t>DMH3B2 Etika Profesi, 2sks, 2kls</t>
  </si>
  <si>
    <t>2018/2019</t>
  </si>
  <si>
    <t>NOMOR : 081/AKD6/IT-DEK/2018</t>
  </si>
  <si>
    <t>DPH1C4 Pemrograman Berorientasi Obyek, 4sks, 2kls</t>
  </si>
  <si>
    <t>2019/2020</t>
  </si>
  <si>
    <t>NOMOR : 175/AKD6/IT-DEK/2019</t>
  </si>
  <si>
    <t>VII1A4 Implementasi Algoritma, 4sks, 1kls</t>
  </si>
  <si>
    <t>2020/2021</t>
  </si>
  <si>
    <t>NOMOR : 103/AKD6/IT-DEK/2020</t>
  </si>
  <si>
    <t>VII2C4 Pemrograman Berorientasi Obyek, 4sks, 1kls</t>
  </si>
  <si>
    <t>VII1B3 Dasar Sistem Komputer, 3sks, 2kls</t>
  </si>
  <si>
    <t>2021/2022</t>
  </si>
  <si>
    <t>NOMOR : 056/AKD6/IT-DEK/2021</t>
  </si>
  <si>
    <t>VII2B4 Pemrograman Berbasis Web 2, 4sks, 1kls</t>
  </si>
  <si>
    <t>VII2F4 Sistem Basis Data 2, 4sks, 1kls</t>
  </si>
  <si>
    <t>2022/2023</t>
  </si>
  <si>
    <t>NOMOR : 069/AKD6/IT-DEK/2022</t>
  </si>
  <si>
    <t>VII2B4 Pemrograman Berbasis Web 2, 4sks, 2kls</t>
  </si>
  <si>
    <t>SEC11K4 Algoritma Pemrograman dan Struktur Data, 4sks, 1kls</t>
  </si>
  <si>
    <t>2023/2024</t>
  </si>
  <si>
    <t>NOMOR : DEK.061/AKD5/DEK-TI/X/2023</t>
  </si>
  <si>
    <t>SEC31G3 Basis Data Lanjut, 3 sks, 1 kls</t>
  </si>
  <si>
    <t>SEC11J2 Konsep Pengembangan Sains dan Teknologi, 2sks, 1 kls</t>
  </si>
  <si>
    <t>SEC32O3 Pemrograman Integratif, 3 sks, 1 kls</t>
  </si>
  <si>
    <t>MI2304 Pemrograman Berorientasi Obyek Lanjut, 4sks, 1kls</t>
  </si>
  <si>
    <t>2011/2012</t>
  </si>
  <si>
    <t>https://telkomuniversityofficial-my.sharepoint.com/:b:/g/personal/sdmsby_telkomuniversity_ac_id/EZlu3NBmuoxFni_Iq1aMBs4BP-6fkWRnOtw3N8Pog7YqrQ?e=BIL0Nx</t>
  </si>
  <si>
    <t>MI1274 Algoritma dan Pemrograman Lanjut, 4sks, 2kls</t>
  </si>
  <si>
    <t>NOMOR: KEP.006B/ACD.11/1.0.0/2013</t>
  </si>
  <si>
    <t>NOMOR : KR.005/AKD18/FIT.0/14</t>
  </si>
  <si>
    <t>NOMOR : KR.001F/AKD18/FIT.0/15</t>
  </si>
  <si>
    <t>NOMOR: 007/AKD6/IT-DEK/16</t>
  </si>
  <si>
    <t>DPH1C4 Pemrograman Berorientasi Obyek, 4sks, 1kls</t>
  </si>
  <si>
    <t>NOMOR: 012/AKD6/IT-DEK/2017</t>
  </si>
  <si>
    <t>DMH1E2 Proyek 1</t>
  </si>
  <si>
    <t>NOMOR: 003/AKD6/IT-DEK/2018</t>
  </si>
  <si>
    <t>DUH1A2 Literasi TIK, 2sks, 1kls</t>
  </si>
  <si>
    <t>DMH1F4 Sistem Basis Data, 4sks, 2kls</t>
  </si>
  <si>
    <t>NOMOR: 064/AKD6/IT-DEK/2019</t>
  </si>
  <si>
    <t>DPH1H4 Implementasi Struktur Data, 4sks, 1kls</t>
  </si>
  <si>
    <t>NOMOR: 008/AKD6/IT-DEK/2020</t>
  </si>
  <si>
    <t>DPH1I4 Pemrograman Berbasis Web, 4sks, 1kls</t>
  </si>
  <si>
    <t>NOMOR: 025/AKD6/IT-DEK/2021</t>
  </si>
  <si>
    <t>VII1I4 Sistem Basis Data 1, 4sks, 2kls</t>
  </si>
  <si>
    <t>NOMOR: 020/AKD6/IT-DEK/2022</t>
  </si>
  <si>
    <t>VII2F4 Sistem Basis Data 2, 4sks, 2kls</t>
  </si>
  <si>
    <t>SEC12S3 PEMROGRAMAN BERORIENTASI OBYEK, 3 sks, 2 kls</t>
  </si>
  <si>
    <t>NOMOR: DEK.017/AKD5/DEK-TI/III/2023</t>
  </si>
  <si>
    <t>SEC12Q3 BASIS DATA, 3 sks, 2 kls</t>
  </si>
  <si>
    <t>Membimbing seminar</t>
  </si>
  <si>
    <t>a. Semester Gasal :</t>
  </si>
  <si>
    <t>Membimbing seminar, nama mhs (nim)</t>
  </si>
  <si>
    <t>2007/2008</t>
  </si>
  <si>
    <t>2008/2009</t>
  </si>
  <si>
    <t>2009/2010</t>
  </si>
  <si>
    <t>2010/2011</t>
  </si>
  <si>
    <t>b. Semester Genap:</t>
  </si>
  <si>
    <t>Membimbing Kuliah Kerja Nyata (KKN), Praktek Kerja Nyata (PKN), Praktek Kerja Lapangan (PKL)</t>
  </si>
  <si>
    <t>Membimbing KKN/PKL/PKN</t>
  </si>
  <si>
    <t>a. Semester Genap :</t>
  </si>
  <si>
    <t>Membimbing dan ikut membimbing dalam menghasilkan disertasi, tesis, skripsi dan laporan akhir studi</t>
  </si>
  <si>
    <t>30109419 - Marsheilla Mustika</t>
  </si>
  <si>
    <t>NOMOR : KEP. 522/ACD.11/1.1.1/12</t>
  </si>
  <si>
    <t>Pembimbing Utama</t>
  </si>
  <si>
    <t>Laporan akhir studi</t>
  </si>
  <si>
    <t>30109292 - Jagar Toro</t>
  </si>
  <si>
    <t>NOMOR : KEP. 529/ACD.11/1.1.1/12</t>
  </si>
  <si>
    <t>30109263 - Michael Willy E S</t>
  </si>
  <si>
    <t>NOMOR : KEP. 534/ACD.11/1.1.1/12</t>
  </si>
  <si>
    <t>nama mhs (nim)</t>
  </si>
  <si>
    <t>30110089 - Irwan Harianto Lumbanraja</t>
  </si>
  <si>
    <t>NOMOR : KEP.519/ACD.11/1.1.1/13</t>
  </si>
  <si>
    <t>Pembimbing Pendamping</t>
  </si>
  <si>
    <t>NOMOR : KEP.914/ACD.11/1.1.1/13</t>
  </si>
  <si>
    <t>6301104162 - Aqmarina Putri Dwayaza</t>
  </si>
  <si>
    <t>NOMOR : KEP.929/ACD.11/1.1.1/13</t>
  </si>
  <si>
    <t>6301100156 - Shagy Regita</t>
  </si>
  <si>
    <t>NOMOR : KEP.934/ACD.11/1.1.1/13</t>
  </si>
  <si>
    <t>6301090047 - Rozi Munadi</t>
  </si>
  <si>
    <t>NOMOR : KEP.020/ACD.11/1.1.1/14</t>
  </si>
  <si>
    <t>6301110033 - Felix Andrian</t>
  </si>
  <si>
    <t>Nomor: 1739/AKD9/IT-DEK/2016</t>
  </si>
  <si>
    <t>6301120278 - Yandi Apriandi</t>
  </si>
  <si>
    <t>Nomor: 1778/AKD9/IT-DEK/2016</t>
  </si>
  <si>
    <t>6301130171 - Dini Yulianti</t>
  </si>
  <si>
    <t>Nomor: 1726/AKD9/IT-DEK/2016</t>
  </si>
  <si>
    <t>6301130218 - Raafi'ud Darajaat</t>
  </si>
  <si>
    <t>Nomor: 1727/AKD9/IT-DEK/2016</t>
  </si>
  <si>
    <t>6301134003 - Helmi Mulyadi</t>
  </si>
  <si>
    <t>Nomor: 1780/AKD9/IT-DEK/2016</t>
  </si>
  <si>
    <t>6701140216 - Filma Sewasjaka</t>
  </si>
  <si>
    <t>Nomor: 2825/AKD9/IT-DEK/2017</t>
  </si>
  <si>
    <t>6701140229 - Muhammad Faishal Faris</t>
  </si>
  <si>
    <t>Nomor: 2807/AKD9/IT-DEK/2017</t>
  </si>
  <si>
    <t>6701144029 - Iqbal Wijaya</t>
  </si>
  <si>
    <t>Nomor: 2814/AKD9/IT-DEK/2017</t>
  </si>
  <si>
    <t>6701140059 - Ahmad Ulwan</t>
  </si>
  <si>
    <t>Nomor: 3746/AKD9/IT-DEK/2018</t>
  </si>
  <si>
    <t>6701150016 - Isna Nurdiansyah</t>
  </si>
  <si>
    <t>Nomor: 3572/AKD9/IT-DEK/2018</t>
  </si>
  <si>
    <t>6701150110 - Luh Putu Yuli Astrini</t>
  </si>
  <si>
    <t>Nomor: 3575/AKD9/IT-DEK/2018</t>
  </si>
  <si>
    <t>6701150120 - Bella Anggryeni</t>
  </si>
  <si>
    <t>Nomor: 3559/AKD9/IT-DEK/2018</t>
  </si>
  <si>
    <t>6701150130 - Lidya Nurinnahar</t>
  </si>
  <si>
    <t>Nomor: 3574/AKD9/IT-DEK/2018</t>
  </si>
  <si>
    <t>6701154140 - Latifa Nur Fitriana</t>
  </si>
  <si>
    <t>Nomor: 3573/AKD9/IT-DEK/2018</t>
  </si>
  <si>
    <t>6701154155 - Made Sintayati</t>
  </si>
  <si>
    <t>Nomor: 3576/AKD9/IT-DEK/2018</t>
  </si>
  <si>
    <t>6701154195 - Hafiyanida Rahmani</t>
  </si>
  <si>
    <t>Nomor: 3566/AKD9/IT-DEK/2018</t>
  </si>
  <si>
    <t>6706174081 - Andreas Pakpahan</t>
  </si>
  <si>
    <t>Nomor: 5447/AKD9/IT-DEK/2020</t>
  </si>
  <si>
    <t>30109134 - Totok Suryanto</t>
  </si>
  <si>
    <t>NOMOR : KEP.048/ACD.11/1.1.1/12</t>
  </si>
  <si>
    <t>30109077 - Rismayanti Ayu Purwani</t>
  </si>
  <si>
    <t>NOMOR : KEP.099/ACD.11/1.1.1/12</t>
  </si>
  <si>
    <t>30109096 - Desi Miyati</t>
  </si>
  <si>
    <t>NOMOR : KEP.100/ACD.11/1.1.1/12</t>
  </si>
  <si>
    <t>30109342 - Friestanti Yurinda C</t>
  </si>
  <si>
    <t>NOMOR : KEP.107/ACD.11/1.1.1/12</t>
  </si>
  <si>
    <t>30109173 - Ferdinan Sirait</t>
  </si>
  <si>
    <t>NOMOR : KEP.113/ACD.11/1.1.1/12</t>
  </si>
  <si>
    <t>30109059 - Dini Handayani</t>
  </si>
  <si>
    <t>NOMOR : KEP.117/ACD.11/1.1.1/12</t>
  </si>
  <si>
    <t>30109426 - Arif Rakhman</t>
  </si>
  <si>
    <t>NOMOR : KEP.198/ACD.11/1.1.1/12</t>
  </si>
  <si>
    <t>30109501 - Resti Rahmadani</t>
  </si>
  <si>
    <t>NOMOR : KEP.212/ACD.11/1.1.1/12</t>
  </si>
  <si>
    <t>30109163 - Erik Sandera</t>
  </si>
  <si>
    <t>NOMOR : KEP.213/ACD.11/1.1.1/12</t>
  </si>
  <si>
    <t>30109099 - Debby Osriwani</t>
  </si>
  <si>
    <t>NOMOR : KEP.258/ACD.11/1.1.1/12</t>
  </si>
  <si>
    <t>30109014 - Yayan Apriyanto</t>
  </si>
  <si>
    <t>NOMOR : KEP.259/ACD.11/1.1.1/12</t>
  </si>
  <si>
    <t>30109003 - M Alief Sapta R</t>
  </si>
  <si>
    <t>NOMOR : KEP.305/ACD.11/1.1.1/12</t>
  </si>
  <si>
    <t>30109247 - Rozi Munadi</t>
  </si>
  <si>
    <t>NOMOR : KEP.351/ACD.11/1.1.1/12</t>
  </si>
  <si>
    <t>NOMOR : KEP.388/ACD.11/1.1.1/12</t>
  </si>
  <si>
    <t>30108065 - Yustianisa Handayani</t>
  </si>
  <si>
    <t>NOMOR : KEP.458/ACD.11/1.1.1/12</t>
  </si>
  <si>
    <t>30110095 - Ahmad Harry Wibowo</t>
  </si>
  <si>
    <t>NOMOR : KEP.562/ACD.11/1.1.1/13</t>
  </si>
  <si>
    <t>30110128 - Ginanjar Sanjaya</t>
  </si>
  <si>
    <t>NOMOR : KEP.572/ACD.11/1.1.1/13</t>
  </si>
  <si>
    <t>30110140 - Bhudi Jati Priyo Utomo</t>
  </si>
  <si>
    <t>NOMOR : KEP.576/ACD.11/1.1.1/13</t>
  </si>
  <si>
    <t>30110162 - Angga Yusuf Hendrawan</t>
  </si>
  <si>
    <t>NOMOR : KEP.588/ACD.11/1.1.1/13</t>
  </si>
  <si>
    <t>30110208 - Agung Mahesa Yudhistira</t>
  </si>
  <si>
    <t>NOMOR : KEP.604/ACD.11/1.1.1/13</t>
  </si>
  <si>
    <t>30110244 - Herdiawan</t>
  </si>
  <si>
    <t>NOMOR : KEP.610/ACD.11/1.1.1/13</t>
  </si>
  <si>
    <t>30110288 - Fikri Noor Ramadhan</t>
  </si>
  <si>
    <t>NOMOR : KEP.625/ACD.11/1.1.1/13</t>
  </si>
  <si>
    <t>30110313 - Hilman Abu Dzarrin</t>
  </si>
  <si>
    <t>NOMOR : KEP.638/ACD.11/1.1.1/13</t>
  </si>
  <si>
    <t>30110356 - Annisa Nur Aisyah</t>
  </si>
  <si>
    <t>NOMOR : KEP.651/ACD.11/1.1.1/13</t>
  </si>
  <si>
    <t>30110360 - Findia Adi Nurrahman</t>
  </si>
  <si>
    <t>NOMOR : KEP.652/ACD.11/1.1.1/13</t>
  </si>
  <si>
    <t>30110372 - Anandika Paradisa</t>
  </si>
  <si>
    <t>NOMOR : KEP.656/ACD.11/1.1.1/13</t>
  </si>
  <si>
    <t>30110460 - Ahmad Juwindra</t>
  </si>
  <si>
    <t>NOMOR : KEP.690/ACD.11/1.1.1/13</t>
  </si>
  <si>
    <t>30110192 - Latifah Subarkah</t>
  </si>
  <si>
    <t>NOMOR : KEP.165/ACD.11/1.1.1/13</t>
  </si>
  <si>
    <t>30110203 - Muhammad Rofi Arafah</t>
  </si>
  <si>
    <t>NOMOR : KEP.166/ACD.11/1.1.1/13</t>
  </si>
  <si>
    <t>30110296 - Ahmad Yulia Rizqy Fahmi</t>
  </si>
  <si>
    <t>NOMOR : KEP.167/ACD.11/1.1.1/13</t>
  </si>
  <si>
    <t>30110413 - Try Hartanto</t>
  </si>
  <si>
    <t>NOMOR : KEP.168/ACD.11/1.1.1/13</t>
  </si>
  <si>
    <t>30119382 - Astri Gustriani</t>
  </si>
  <si>
    <t>NOMOR : KEP.232/ACD.11/1.1.1/13</t>
  </si>
  <si>
    <t>30110475 - Itsna Alfin Nur</t>
  </si>
  <si>
    <t>NOMOR : KEP.266/ACD.11/1.1.1/13</t>
  </si>
  <si>
    <t>30110019 - Apriandana Darmawan Pribadi</t>
  </si>
  <si>
    <t>NOMOR : KEP.268/ACD.11/1.1.1/13</t>
  </si>
  <si>
    <t>30119292 - Jagar Toro</t>
  </si>
  <si>
    <t>NOMOR : KEP.896/ACD.11/1.1.1/13</t>
  </si>
  <si>
    <t>6301110157 - Muhammad Dwi Aldhi</t>
  </si>
  <si>
    <t>NOMOR : KEP.062/AKD9/AS-DEK/2014</t>
  </si>
  <si>
    <t>6301114240 - Wahyu Wicaksana</t>
  </si>
  <si>
    <t>NOMOR : KEP.064/AKD9/AS-DEK/2014</t>
  </si>
  <si>
    <t>6301110076 - Ukfia Anggraini</t>
  </si>
  <si>
    <t>NOMOR : KEP.065/AKD9/AS-DEK/2014</t>
  </si>
  <si>
    <t>6301110227 - Danny Henry Galatang</t>
  </si>
  <si>
    <t>NOMOR : KEP.071/AKD9/AS-DEK/2014</t>
  </si>
  <si>
    <t>6301110334 - Syariah Hasibuan</t>
  </si>
  <si>
    <t>NOMOR : KEP.082/AKD9/AS-DEK/2014</t>
  </si>
  <si>
    <t>6301114291 - Irsan Mahendra</t>
  </si>
  <si>
    <t>NOMOR : KEP.083/AKD9/AS-DEK/2014</t>
  </si>
  <si>
    <t>6301110042 - Alfina Silviana</t>
  </si>
  <si>
    <t>NOMOR : KEP.085/AKD9/AS-DEK/2014</t>
  </si>
  <si>
    <t>6301114170 - Fariz Abdillah</t>
  </si>
  <si>
    <t>NOMOR : KEP.093/AKD9/AS-DEK/2014</t>
  </si>
  <si>
    <t>6301114208 - Rizky Aditya Perdana</t>
  </si>
  <si>
    <t>NOMOR : KEP.214/AKD9/AS-DEK/2014</t>
  </si>
  <si>
    <t>6301110023 - Fadhli Ali Rahiem</t>
  </si>
  <si>
    <t>NOMOR : KEP.308/AKD9/AS-DEK/2014</t>
  </si>
  <si>
    <t>6301102396 - Taufik Hidayat</t>
  </si>
  <si>
    <t>Nomor: 5/AKD9/IT-DEK/2015</t>
  </si>
  <si>
    <t>6301120107 - Wan Adli</t>
  </si>
  <si>
    <t>Nomor: 767/AKD9/IT-DEK/2015</t>
  </si>
  <si>
    <t>6301120096 - Ardhy Juliandi</t>
  </si>
  <si>
    <t>Nomor: 770/AKD9/IT-DEK/2015</t>
  </si>
  <si>
    <t>6301100029 - Adila Nawariana</t>
  </si>
  <si>
    <t>Nomor: 824/AKD9/IT-DEK/2015</t>
  </si>
  <si>
    <t>6301120211 - Muhammad Irvan Hermawan</t>
  </si>
  <si>
    <t>Nomor: 829/AKD9/IT-DEK/2015</t>
  </si>
  <si>
    <t>6301124065 - Goning Pratitis</t>
  </si>
  <si>
    <t>Nomor: 830/AKD9/IT-DEK/2015</t>
  </si>
  <si>
    <t>6301120074 - Gagah Kharismanuary</t>
  </si>
  <si>
    <t>Nomor: 836/AKD9/IT-DEK/2015</t>
  </si>
  <si>
    <t>6301120118 - Herry Kiswanto Z</t>
  </si>
  <si>
    <t>Nomor: 897/AKD9/IT-DEK/2015</t>
  </si>
  <si>
    <t>6301120203 - Martha Debora Simanjuntak</t>
  </si>
  <si>
    <t>Nomor: 929/AKD9/IT-DEK/2015</t>
  </si>
  <si>
    <t>6301112396 - Akbar Sidik Maulana</t>
  </si>
  <si>
    <t>Nomor : 1119/AKD9/IT-DEK/2016</t>
  </si>
  <si>
    <t>6301130087 - Anson Eka P</t>
  </si>
  <si>
    <t>Nomor : 1519/AKD9/IT-DEK/2016</t>
  </si>
  <si>
    <t>6301130150 - Muh. Ikram Aswad Fausy</t>
  </si>
  <si>
    <t>Nomor : 1518/AKD9/IT-DEK/2016</t>
  </si>
  <si>
    <t>6301130223 - Johanes</t>
  </si>
  <si>
    <t>Nomor : 1389/AKD9/IT-DEK/2016</t>
  </si>
  <si>
    <t>6301130234 - Miftahul Adnan Rasyid</t>
  </si>
  <si>
    <t>Nomor : 1652/AKD9/IT-DEK/2016</t>
  </si>
  <si>
    <t>6301130252 - Setyadi Putra Rahmandya</t>
  </si>
  <si>
    <t>Nomor : 1485/AKD9/IT-DEK/2016</t>
  </si>
  <si>
    <t>6301130280 - Nurrul Aisyah</t>
  </si>
  <si>
    <t>Nomor : 1517/AKD9/IT-DEK/2016</t>
  </si>
  <si>
    <t>6301131112 - Priscilla Ermita Silaban</t>
  </si>
  <si>
    <t>Nomor : 1390/AKD9/IT-DEK/2016</t>
  </si>
  <si>
    <t>6301132259 - Andini Sekarwati</t>
  </si>
  <si>
    <t>Nomor : 1391/AKD9/IT-DEK/2016</t>
  </si>
  <si>
    <t>6301134003 - Helmy Mulyadi</t>
  </si>
  <si>
    <t>Nomor : 1480/AKD9/IT-DEK/2016</t>
  </si>
  <si>
    <t>6301134054 - Jefry Kurniawan</t>
  </si>
  <si>
    <t>Nomor : 1650/AKD9/IT-DEK/2016</t>
  </si>
  <si>
    <t>6301120224 - Aliudin</t>
  </si>
  <si>
    <t>Nomor :2759/AKD9/IT-DEK/2017</t>
  </si>
  <si>
    <t>Nomor :2598/AKD9/IT-DEK/2017</t>
  </si>
  <si>
    <t>6301134054 - Jefri Kurniawan</t>
  </si>
  <si>
    <t>Nomor :2600/AKD9/IT-DEK/2017</t>
  </si>
  <si>
    <t>6701140048 - Sisca Pebriani Marpaung</t>
  </si>
  <si>
    <t>Nomor :2155/AKD9/IT-DEK/2017</t>
  </si>
  <si>
    <t>6701140121 - Rizky Arissaputra</t>
  </si>
  <si>
    <t>Nomor :2189/AKD9/IT-DEK/2017</t>
  </si>
  <si>
    <t>6701140195 - Lamsida Uli Nababan</t>
  </si>
  <si>
    <t>Nomor :2212/AKD9/IT-DEK/2017</t>
  </si>
  <si>
    <t>6701140202 - Gracella Nugraheni Munthe</t>
  </si>
  <si>
    <t>Nomor :2191/AKD9/IT-DEK/2017</t>
  </si>
  <si>
    <t>6701140224 - Mahendra Yuda Pratama</t>
  </si>
  <si>
    <t>Nomor :2202/AKD9/IT-DEK/2017</t>
  </si>
  <si>
    <t>6701140227 - Fina Lestari Fristianti</t>
  </si>
  <si>
    <t>Nomor :2160/AKD9/IT-DEK/2017</t>
  </si>
  <si>
    <t>Nomor :2244/AKD9/IT-DEK/2017</t>
  </si>
  <si>
    <t>6701144031 - Novandy Marcellius Setiawan</t>
  </si>
  <si>
    <t>Nomor :2128/AKD9/IT-DEK/2017</t>
  </si>
  <si>
    <t>6701144036 - Puput Fajriati Tri Sholekah</t>
  </si>
  <si>
    <t>Nomor :2157/AKD9/IT-DEK/2017</t>
  </si>
  <si>
    <t>6701144168 - Febriansyah Andhika Prasetia</t>
  </si>
  <si>
    <t>Nomor :2233/AKD9/IT-DEK/2017</t>
  </si>
  <si>
    <t>6701144194 - Wulanda Anggoro</t>
  </si>
  <si>
    <t>Nomor :2180/AKD9/IT-DEK/2017</t>
  </si>
  <si>
    <t>6701144238 - Firza Kamaludin Hamzah</t>
  </si>
  <si>
    <t>Nomor :2184/AKD9/IT-DEK/2017</t>
  </si>
  <si>
    <t>6701144266 - Andira Nugroho</t>
  </si>
  <si>
    <t>Nomor :2258/AKD9/IT-DEK/2017</t>
  </si>
  <si>
    <t>6701140205 - Mega Chandrawati</t>
  </si>
  <si>
    <t>Nomor: 3648/AKD9/IT-DEK/2018</t>
  </si>
  <si>
    <t>Nomor: 3357/AKD9/IT-DEK/2018</t>
  </si>
  <si>
    <t>6701150036 - Agung Harianto Sitanggang</t>
  </si>
  <si>
    <t>Nomor: 3501/AKD9/IT-DEK/2018</t>
  </si>
  <si>
    <t>6701150041 - Timmie Siswandi</t>
  </si>
  <si>
    <t>Nomor: 3506/AKD9/IT-DEK/2018</t>
  </si>
  <si>
    <t>6701151061 - Aji Bagus Panuntun</t>
  </si>
  <si>
    <t>Nomor: 3503/AKD9/IT-DEK/2018</t>
  </si>
  <si>
    <t>6701152193 - Ajeng Anjani Rachmawati</t>
  </si>
  <si>
    <t>Nomor: 3502/AKD9/IT-DEK/2018</t>
  </si>
  <si>
    <t>6701154150 - Zsazsa Dwi Linggasari</t>
  </si>
  <si>
    <t>Nomor: 3507/AKD9/IT-DEK/2018</t>
  </si>
  <si>
    <t>6701154160 - Nadia Salsabila</t>
  </si>
  <si>
    <t>Nomor: 3504/AKD9/IT-DEK/2018</t>
  </si>
  <si>
    <t>6701160010 - Citraning Dyah Savitri</t>
  </si>
  <si>
    <t>Nomor: 4246/AKD9/IT-DEK/2019</t>
  </si>
  <si>
    <t>6701160028 - Erizka Yolanda Putri</t>
  </si>
  <si>
    <t>Nomor: 4151/AKD9/IT-DEK/2019</t>
  </si>
  <si>
    <t>6701160029 - Serelin Ardianita</t>
  </si>
  <si>
    <t>Nomor: 4245/AKD9/IT-DEK/2019</t>
  </si>
  <si>
    <t>6701160072 - Ade Handiyanto</t>
  </si>
  <si>
    <t>Nomor: 4262/AKD9/IT-DEK/2019</t>
  </si>
  <si>
    <t>6701161018 - Rosa Wulan Handini</t>
  </si>
  <si>
    <t>Nomor: 4194/AKD9/IT-DEK/2019</t>
  </si>
  <si>
    <t>6701161129 - Yosifa Gianinda</t>
  </si>
  <si>
    <t>Nomor: 4198/AKD9/IT-DEK/2019</t>
  </si>
  <si>
    <t>6701162095 - Moh Wildan F</t>
  </si>
  <si>
    <t>Nomor: 4268/AKD9/IT-DEK/2019</t>
  </si>
  <si>
    <t>6701163013 - Ayu Della Ekaningrum</t>
  </si>
  <si>
    <t>Nomor: 4208/AKD9/IT-DEK/2019</t>
  </si>
  <si>
    <t>6701164006 - Shavira Edelia</t>
  </si>
  <si>
    <t>Nomor: 4259/AKD9/IT-DEK/2019</t>
  </si>
  <si>
    <t>6701164008 - Annisa Humairo</t>
  </si>
  <si>
    <t>Nomor: 4264/AKD9/IT-DEK/2019</t>
  </si>
  <si>
    <t>6701164131 - Ricky Pandu Cakra Susetya</t>
  </si>
  <si>
    <t>Nomor: 4229/AKD9/IT-DEK/2019</t>
  </si>
  <si>
    <t>6706170096 - Oxy Rokhmad Sadewo</t>
  </si>
  <si>
    <t>Nomor: 5044/AKD9/IT-DEK/2020</t>
  </si>
  <si>
    <t>6706170127 - Amien Jakfar Makrufi</t>
  </si>
  <si>
    <t>Nomor: 5049/AKD9/IT-DEK/2020</t>
  </si>
  <si>
    <t>6706174034 - Rahmat Mulya Simanjuntak</t>
  </si>
  <si>
    <t>Nomor: 5080/AKD9/IT-DEK/2020</t>
  </si>
  <si>
    <t>6706174129 - Muhammad Habli</t>
  </si>
  <si>
    <t>Nomor: 5128/AKD9/IT-DEK/2020</t>
  </si>
  <si>
    <t>6706180032 - Rikky Valentino Lingga</t>
  </si>
  <si>
    <t>Nomor: 5762/AKD9/IT-DEK/2021</t>
  </si>
  <si>
    <t>6706184020 - Ahmad Ridho Iwananda</t>
  </si>
  <si>
    <t>Nomor: 5805/AKD9/IT-DEK/2021</t>
  </si>
  <si>
    <t>6706184103 - Shakila Zahra Previa</t>
  </si>
  <si>
    <t>Nomor: 5845/AKD9/IT-DEK/2021</t>
  </si>
  <si>
    <t>6706184107 - Wina Darma Rahmah</t>
  </si>
  <si>
    <t>Nomor: 5859/AKD9/IT-DEK/2021</t>
  </si>
  <si>
    <t>6706190029 - Adiputra Yoshua Bradonly Y L</t>
  </si>
  <si>
    <t>Nomor: 6527/AKD9/IT-DEK/2022</t>
  </si>
  <si>
    <t>6706190084 - Rifqi Luthfian Thariq</t>
  </si>
  <si>
    <t>Nomor: 6533/AKD9/IT-DEK/2022</t>
  </si>
  <si>
    <t>6706192092 - Nurlailiyah Salsabilah Valentina</t>
  </si>
  <si>
    <t>Nomor: 6542/AKD9/IT-DEK/2022</t>
  </si>
  <si>
    <t>6706194064 - Bagus Pahlefi</t>
  </si>
  <si>
    <t>Nomor: 6567/AKD9/IT-DEK/2022</t>
  </si>
  <si>
    <t>Bertugas sebagai penguji pada Ujian Akhir</t>
  </si>
  <si>
    <t>Predy Gito Rollies B (30109054)</t>
  </si>
  <si>
    <t>Sabar F. Sianturi (30109480)</t>
  </si>
  <si>
    <t>Syasyi Anansyah Syamsir (30208013)</t>
  </si>
  <si>
    <t>Dimas Alif Tawakkal (30209165)</t>
  </si>
  <si>
    <t>Pardamean Simangungsong (30209176)</t>
  </si>
  <si>
    <t>Rizky Pratama Putra (30209085)</t>
  </si>
  <si>
    <t>Gilang Gemilang R. P. (30209314)</t>
  </si>
  <si>
    <t>Basuki Panorangan (30209352)</t>
  </si>
  <si>
    <t>Ryan Rizky Pratama (30209257)</t>
  </si>
  <si>
    <t>Olia Rahmat (30208386)</t>
  </si>
  <si>
    <t>Max 8</t>
  </si>
  <si>
    <t>Mohamad Noer Syamsi Ridwan (6701114125)</t>
  </si>
  <si>
    <t>Satria Fratisna Senjaya (6301110068)</t>
  </si>
  <si>
    <t>Denys Tegar Setyadi (6301104129)</t>
  </si>
  <si>
    <t>Viani Wicha Ekarista Lamtiur S (6301104149)</t>
  </si>
  <si>
    <t>Azka Arif Mulyanto (6301090046)</t>
  </si>
  <si>
    <t>Risma Andiani (6301090095)</t>
  </si>
  <si>
    <t>Shantia Dwi Endasti (6301100373)</t>
  </si>
  <si>
    <t>Adie Dermawan (6301122245)</t>
  </si>
  <si>
    <t>Muhammad Ikhwanul Luthfie (6301120198)</t>
  </si>
  <si>
    <t>Yudi Nur Adiansyah (6301120197)</t>
  </si>
  <si>
    <t>Azrul Tjan (6301122140)</t>
  </si>
  <si>
    <t>Akbar Sidik Maulana (6301112396)</t>
  </si>
  <si>
    <t>Amalia Septari (6301130216)</t>
  </si>
  <si>
    <t>Andhika Rizki Ekaputra (6301131125)</t>
  </si>
  <si>
    <t>Misbahulhadi P Siregar (6701142005)</t>
  </si>
  <si>
    <t>Dessy Yussela M. Y. (6701152148)</t>
  </si>
  <si>
    <t>Faizal Akbar Pratama (6706160039)</t>
  </si>
  <si>
    <t>Mochammad Faalih Rachman (6706164019)</t>
  </si>
  <si>
    <t>Rahmitha Mahrul Nisa (6706184100)</t>
  </si>
  <si>
    <t>Ahmad Indra Nurfauzi (670619077)</t>
  </si>
  <si>
    <t>Ahmad Widad Izzudin (6706190036)</t>
  </si>
  <si>
    <t>Rahmad Fitrianta Eka Saputra (6706194073)</t>
  </si>
  <si>
    <t>Iim Abdul Karim (6706190018)</t>
  </si>
  <si>
    <t>Primanda Sayarizki (6706192070)</t>
  </si>
  <si>
    <t>Naufal Sayyid Furqon (6706181063)</t>
  </si>
  <si>
    <t>Fadhly (30208269)</t>
  </si>
  <si>
    <t>Kiki Agnia Maryam Larasati (30209150)</t>
  </si>
  <si>
    <t>Rafki Altoberi (30209253)</t>
  </si>
  <si>
    <t>Dani Maulana (30208085)</t>
  </si>
  <si>
    <t>2004/2005</t>
  </si>
  <si>
    <t>Muhammad Reza Mandala (30108021)</t>
  </si>
  <si>
    <t>Fira Azyati Erawan (30110389)</t>
  </si>
  <si>
    <t>Yundhias Putri (30110473)</t>
  </si>
  <si>
    <t>Lukman Arie Susanto (6301100098)</t>
  </si>
  <si>
    <t>Budi Darmawan (30109485)</t>
  </si>
  <si>
    <t>Riko Anggara Azis (6301100015)</t>
  </si>
  <si>
    <t>Muhammad Aliy Zulfanny (6301100128)</t>
  </si>
  <si>
    <t>Muhammad Doni Munggaran (6301100163)</t>
  </si>
  <si>
    <t>Sri Rahayu (6301100030)</t>
  </si>
  <si>
    <t>Wahyu Ramadhan (6301100167)</t>
  </si>
  <si>
    <t>Ivan Agustiandra (6301100196)</t>
  </si>
  <si>
    <t>Yugo Manggala Runadi (6301100210)</t>
  </si>
  <si>
    <t>Dea Green Ayunda Wijaya (6301100245)</t>
  </si>
  <si>
    <t>Igom Gumilar (6301100251)</t>
  </si>
  <si>
    <t>Nurwanto Hendri Setiyawan (6301100261)</t>
  </si>
  <si>
    <t>Krisna Febri Prastika (6301100305)</t>
  </si>
  <si>
    <t>Moden Parlunduan Sinurat (6301100336)</t>
  </si>
  <si>
    <t>Wanggi Herofia Asandi (6301100355)</t>
  </si>
  <si>
    <t>Muhammad Sufi (6301100185)</t>
  </si>
  <si>
    <t>Dewa Made Tegar Nugraha Putra (6301100012)</t>
  </si>
  <si>
    <t>Moch. Darudewanto (6301102389)</t>
  </si>
  <si>
    <t>Muhamad Bayu Saputra (6301110057)</t>
  </si>
  <si>
    <t>Ratna (6301112409)</t>
  </si>
  <si>
    <t>Tri Adityo Achmad Rifaldi (6301112437)</t>
  </si>
  <si>
    <t>Ratu Verlaili Erlindriyani (6301114222)</t>
  </si>
  <si>
    <t>Danu Tri Wahyu H (6301090037)</t>
  </si>
  <si>
    <t>Dita Fitriani (6301090066)</t>
  </si>
  <si>
    <t>Zaldi Samudra (6301090070)</t>
  </si>
  <si>
    <t>Viky Armando Prawira (6301090073)</t>
  </si>
  <si>
    <t>Arga Laras Pradipta (6301090117)</t>
  </si>
  <si>
    <t>Norma Apriliana (6301100197)</t>
  </si>
  <si>
    <t>Verawati Herman Alex (6301110305)</t>
  </si>
  <si>
    <t>Nur Afiat Umar (6301110321)</t>
  </si>
  <si>
    <t>Rio Yudha Pratama (6301100229)</t>
  </si>
  <si>
    <t>Rizky Rahadian Hanani Putra (6301114198)</t>
  </si>
  <si>
    <t>Muh. Arif Saputra (6301120267)</t>
  </si>
  <si>
    <t>Angga Lhao Pasa (6301124048)</t>
  </si>
  <si>
    <t>Cindy Nadira (6701144148)</t>
  </si>
  <si>
    <t>Farido Marito Hutajulu (6701140190)</t>
  </si>
  <si>
    <t>Krisna Ilafat Mustofa (6701140103)</t>
  </si>
  <si>
    <t>Muhammad Ichsan Sanubari (6301134001)</t>
  </si>
  <si>
    <t>Ryan Ismail (6701144201)</t>
  </si>
  <si>
    <t>Imara Rachma Fadhila (6701142033)</t>
  </si>
  <si>
    <t>Nabila Maharani (6701140204)</t>
  </si>
  <si>
    <t>Wida Nursyahidah (6701144130)</t>
  </si>
  <si>
    <t>Jauza Choerun Nisa (6701144112)</t>
  </si>
  <si>
    <t>Muhammad Rijal Aditya Faza (67011144257)</t>
  </si>
  <si>
    <t>Muhammad Tri Hermawan (6701140068)</t>
  </si>
  <si>
    <t>Dinda Aisyah Jayarizkika Ahadian (6701154145)</t>
  </si>
  <si>
    <t>Khulafaur Rasyidin (6701154103)</t>
  </si>
  <si>
    <t>Laily Indaryani (6701151134)</t>
  </si>
  <si>
    <t>Laras Ardiana (6701150113)</t>
  </si>
  <si>
    <t>Nonita Sari Sihite (6701150125)</t>
  </si>
  <si>
    <t>Rahmad Geri Kurniawan (6701154170)</t>
  </si>
  <si>
    <t>Furqon Al-Khudzaefi (6701150001)</t>
  </si>
  <si>
    <t>Ilham Firdaus (6701150043)</t>
  </si>
  <si>
    <t>Kiki Sahnakri (6701150011)</t>
  </si>
  <si>
    <t>Ahmad Taufiq Hidayat (6706174058)</t>
  </si>
  <si>
    <t>SK terlampir</t>
  </si>
  <si>
    <t>Deviana Rahmadhani Sofyan (6706174111)</t>
  </si>
  <si>
    <t>Elsa Jelista Sari (6706170016)</t>
  </si>
  <si>
    <t>Ni Made Ria Rolina (6706170026)</t>
  </si>
  <si>
    <t>Zakaria Wahyu Nur Utomo (6706170028)</t>
  </si>
  <si>
    <t>Elza Melania Pradina (6706174022)</t>
  </si>
  <si>
    <t>Andri Marwan Tua Silalahi (6706174042)</t>
  </si>
  <si>
    <t>Fadli Hidayatullah (6706174001)</t>
  </si>
  <si>
    <t>I Made Muliana Nugraha (6706170121)</t>
  </si>
  <si>
    <t>Nindy Haris Putri (6706171018)</t>
  </si>
  <si>
    <t>Nur Muhammad Luthfi (6706170054)</t>
  </si>
  <si>
    <t>Rahmat Tobi Hidayat (6706174112)</t>
  </si>
  <si>
    <t>Riena Agustina Praja (6706170020)</t>
  </si>
  <si>
    <t>Rizky Asep Sutrisna (6706170087)</t>
  </si>
  <si>
    <t>Syafri Fajarian (6706174116)</t>
  </si>
  <si>
    <t>Taufan Akbar Aprialdo Daulay (6706174105)</t>
  </si>
  <si>
    <t>Ridlo Yanuar (6706174072)</t>
  </si>
  <si>
    <t>Wisnu Almi Pradya Sa'bani (6706174107)</t>
  </si>
  <si>
    <t>Bacharudin Adieb Pratama (6706180113)</t>
  </si>
  <si>
    <t>Fadil Ilham Muharram (6706184018)</t>
  </si>
  <si>
    <t>Fahmi Imam Syuhada (6706184097)</t>
  </si>
  <si>
    <t>Kharis Zakaria (6706180122)</t>
  </si>
  <si>
    <t>Muhamad Anas Mustopa (6706184026)</t>
  </si>
  <si>
    <t>Muhamad Andera Famuzia (6706184034)</t>
  </si>
  <si>
    <t>Muhammad Dicky Mujantara (6706181088)</t>
  </si>
  <si>
    <t>Muhammad Zaki Alkhairi (6706184117)</t>
  </si>
  <si>
    <t>Nur Wakhidah Fitri Amalia (6706180110)</t>
  </si>
  <si>
    <t>Putra Budiansyah (6706184090)</t>
  </si>
  <si>
    <t>Ridho Prawira Bahari (6706184065)</t>
  </si>
  <si>
    <t>Adnia Salsabila Ilham (6706184133)</t>
  </si>
  <si>
    <t>Fresya Maharani Sentosa (6706184104)</t>
  </si>
  <si>
    <t>Mia Anjani Darojatun Salam (6706184111)</t>
  </si>
  <si>
    <t>Wanda Alifia (6706180054)</t>
  </si>
  <si>
    <t>Adelia Nurul Solihah (6706194013)</t>
  </si>
  <si>
    <t>Ilham Ramadhani Saputro (6706193051)</t>
  </si>
  <si>
    <t>M. Riko Trisaputra (6706194052)</t>
  </si>
  <si>
    <t>Rozy Fauzan (6706194079)</t>
  </si>
  <si>
    <t>Membina kegiatan mahasiswa</t>
  </si>
  <si>
    <t>Max 4</t>
  </si>
  <si>
    <t>2005/2006</t>
  </si>
  <si>
    <t>2006/2007</t>
  </si>
  <si>
    <t>Mengembangkan program kuliah</t>
  </si>
  <si>
    <t>mata kuliah</t>
  </si>
  <si>
    <t>Max 2</t>
  </si>
  <si>
    <t>Mengembangkan bahan pengajaran</t>
  </si>
  <si>
    <t>buku ajar/diktat/modul</t>
  </si>
  <si>
    <t>b. Semester Genap :</t>
  </si>
  <si>
    <t>makalah / buku</t>
  </si>
  <si>
    <t>Max 10</t>
  </si>
  <si>
    <t>Menduduki jabatan pimpinan perguruan tinggi</t>
  </si>
  <si>
    <t>PJ. Manajer Infrastruktur dan Konten Direktorat Sistem Informasi</t>
  </si>
  <si>
    <t>Manajer Pengembangan Sistem Informasi Direktorat Sistem Informasi</t>
  </si>
  <si>
    <t>Kepala Bagian Sumber Daya Manusia</t>
  </si>
  <si>
    <t>posisi</t>
  </si>
  <si>
    <t>Manajer Infrastruktur dan Konten Direktorat Sistem Informasi</t>
  </si>
  <si>
    <t>2024/2025</t>
  </si>
  <si>
    <t>Membimbing dosen yang lebih rendah setiap semester (bagi dosen Lektor Kepala ke atas)</t>
  </si>
  <si>
    <t>kegiatan</t>
  </si>
  <si>
    <t>Melaksanakan kegiatan datasering dan pencangkokan di luar institusi tempat bekerja setiap semester (bagi dosen Lektor kepala ke atas)</t>
  </si>
  <si>
    <t>Melakukan kegiatan pengembangan diri untuk meningkatkan kompetensi</t>
  </si>
  <si>
    <t>Jumlah II</t>
  </si>
  <si>
    <t>Jumlah (I+II)</t>
  </si>
  <si>
    <t>Demikian pernyataan ini dibuat untuk dapat dipergunakan sebagaimana mestinya.</t>
  </si>
  <si>
    <t>Bandung,</t>
  </si>
  <si>
    <t>Catatan</t>
  </si>
  <si>
    <t>1. Dibuat per semester</t>
  </si>
  <si>
    <t>2. Ditanda tangani oleh Ketua Jurusan pada Universitas/Institut/Sekolah Tinggi/Akademik/Politeknik</t>
  </si>
  <si>
    <t>3. Dilampirkan bukti-bukti kegiatan tersebut</t>
  </si>
  <si>
    <t>Lampiran VI Keputusan Bersama Menteri</t>
  </si>
  <si>
    <t>1).a).Hasil penelitian atau hasil pemikiran yang DIPUBLIKASIKAN dalam bentuk BUKU MONOGRAF</t>
  </si>
  <si>
    <t>1).b).Hasil penelitian atau hasil pemikiran yang DIPUBLIKASIKAN dalam bentuk BUKU REFERENSI</t>
  </si>
  <si>
    <t>1).c).Hasil penelitian atau hasil pemikiran yang DIPUBLIKASIKAN dalam bentuk JURNAL ILMIAH INTERNASIONAL</t>
  </si>
  <si>
    <t>1).d).Hasil penelitian atau hasil pemikiran yang DIPUBLIKASIKAN dalam bentuk JURNAL ILMIAH NASIONAL TERAKREDITASI</t>
  </si>
  <si>
    <t>1).e).Hasil penelitian atau hasil pemikiran yang DIPUBLIKASIKAN dalam bentuk JURNAL ILMIAH TIDAK TERAKREDITASI</t>
  </si>
  <si>
    <t>1).f).Hasil penelitian atau hasil pemikiran yang DIPUBLIKASIKAN melalui SEMINAR DISAJIKAN TINGKAT INTERNASIONAL</t>
  </si>
  <si>
    <t>1).g).Hasil penelitian atau hasil pemikiran yang DIPUBLIKASIKAN melalui SEMINAR DISAJIKAN TINGKAT NASIONAL</t>
  </si>
  <si>
    <t>SURAT PERNYATAAN</t>
  </si>
  <si>
    <t>1).h).Hasil penelitian atau hasil pemikiran yang DIPUBLIKASIKAN melalui SEMINAR POSTER TINGKAT INTERNASIONAL</t>
  </si>
  <si>
    <t>MELAKSANAKAN PENELITIAN</t>
  </si>
  <si>
    <t>1).i).Hasil penelitian atau hasil pemikiran yang DIPUBLIKASIKAN melalui SEMINAR POSTER TINGKAT NASIONAL</t>
  </si>
  <si>
    <t>Yang Bertanda Tangan di Bawah Ini</t>
  </si>
  <si>
    <t>NAMA</t>
  </si>
  <si>
    <t>1).j).Hasil penelitian atau hasil pemikiran yang DIPUBLIKASIKAN dalam bentuk KORAN/MAJALAH POPULER/UMUM</t>
  </si>
  <si>
    <t>NIP/NIDN</t>
  </si>
  <si>
    <t>1).k).Hasil penelitan atau hasil pemikiran yang TIDAK DIPUBLIKASIKAN (tersimpan diperpustakaan PT)</t>
  </si>
  <si>
    <t>JABATAN FUNGSIONAL</t>
  </si>
  <si>
    <t>UNIT KERJA</t>
  </si>
  <si>
    <t>Untuk Row yang tidak diisi / dilewat mohon dihide</t>
  </si>
  <si>
    <t>AK
KOPERTIS</t>
  </si>
  <si>
    <t>Created By : Nathaleo M. Apon.</t>
  </si>
  <si>
    <t>Pelaksanaan Penelitian</t>
  </si>
  <si>
    <t>Menghasilkan karya ilmiah</t>
  </si>
  <si>
    <t>penulis</t>
  </si>
  <si>
    <t>kriteria karya ilmiah</t>
  </si>
  <si>
    <t>Hasil Penelitian Atau Hasil Pemikiran Yang Dipublikasikan Pada Jurnal Internasional</t>
  </si>
  <si>
    <t>Nama :</t>
  </si>
  <si>
    <t>aaa</t>
  </si>
  <si>
    <t>14 Februari 2014</t>
  </si>
  <si>
    <t>Jurnal International Bereputasi</t>
  </si>
  <si>
    <t>Jurnal Internasional (cantumkan SJR jika ada)
Link Url</t>
  </si>
  <si>
    <t>Judul  :</t>
  </si>
  <si>
    <t>Hasil Penelitian Atau Hasil Pemikiran Yang Dipublikasikan Pada Jurnal Nasional</t>
  </si>
  <si>
    <t>Jurnal Infotel</t>
  </si>
  <si>
    <t>https://ejournal.st3telkom.ac.id/index.php/infotel/article/view/41</t>
  </si>
  <si>
    <t>3 Penulis (ke-3)</t>
  </si>
  <si>
    <t>1.c).4). DIPUBLIKASIKAN dalam bentuk JURNAL NASIONAL TERAKREDITASI DIKTI DAN ATAU SINTA 1 &amp; SINTA 2</t>
  </si>
  <si>
    <t>Teknik Migrasi Data Lintas DBMS dengan Menggunakan Metadata
Nama Jurnal:  Jurnal Infotel
Penerbit: Institut Teknologi Telkom Purwokerto
Volume: 7
Nomor: 2
Tahun : 2015
Halaman: 137-142
ISSN: p-ISSN 2085-3688, e-ISSN : 2460-0997
Akreditasi :  Sinta 2
Link akreditasi : https://ejournal.st3telkom.ac.id/public/site/certificates/Sertfikat_INFOTEL_S2.pdf</t>
  </si>
  <si>
    <t>Hasil Penelitian Atau Hasil Pemikiran Yang Dipublikasikan Pada Prosiding Internasional</t>
  </si>
  <si>
    <t>Prosiding Internasional (cantumkan SJR jika ada)
Link Url</t>
  </si>
  <si>
    <t>Hasil Penelitian Atau Hasil Pemikiran Yang Dipublikasikan Pada Prosiding Nasional</t>
  </si>
  <si>
    <t>SEMNASTEKNOMEDIA 2016</t>
  </si>
  <si>
    <t>https://ojs.amikom.ac.id/index.php/semnasteknomedia/article/view/1311/1236</t>
  </si>
  <si>
    <t>1 Penulis (ke-1)</t>
  </si>
  <si>
    <t>2.a).4). DIDESIMINASIKAN DIPRESENTASIKAN secara ORAL dan dimuat dalam PROSIDING yang DIPUBLIKASISKAN (ber ISSN/ISBN) NASIONAL TIDAK TERINDEKS</t>
  </si>
  <si>
    <t>Pemodelan Sistem Informasi Layanan Karir dan Alumni Politeknik XYZ
Nama Prosiding:  SEMNASTEKNOMEDIA 2016
Penerbit: Universitas Amikom Yogyakarta
Volume: 4
Nomor: 1
Tahun : 2016
Halaman: 4.11-43
ISSN: 2302-3805</t>
  </si>
  <si>
    <t> </t>
  </si>
  <si>
    <t>https://openlibrarypublications.telkomuniversity.ac.id/index.php/appliedscience/article/view/4548</t>
  </si>
  <si>
    <t>3 Penulis (ke-2)</t>
  </si>
  <si>
    <t>2.d).2). TIDAK DISAJIKAN dalam SEMINAR/SIMPOSIUM/LOKAKARYA, tetapi dimuat dalam PROSIDING NASIONAL</t>
  </si>
  <si>
    <t>Sistem Monitoring Dan Kontrol Penimbangan Bahan Baku Berbasis Desktop Di Unit Penimbangan Dan Produksi Pt Hanz Cba Indonesia
Nama Prosiding:  eProceedings of Applied Science
Penerbit: Telkom University
Volume: 1
Nomor: 3
Tahun : 2015
Halaman:
ISSN: 2442-5826</t>
  </si>
  <si>
    <t>Deteksi Plagiarisme pada mata kuliah pemrograman berorientasi objek
Nama Jurnal:  e-Proceeding of Applied Science
Penerbit: Telkom University
Volume: 3
Nomor: 2
Tahun : Agustus 2017
Halaman:
ISSN: 2442-5826</t>
  </si>
  <si>
    <t>Hasil Penelitian/Pemikiran Yang Disajikan Dalam Poster</t>
  </si>
  <si>
    <t>Hasil Penelitian/Pemikiran Yang Disajikan Dalam Koran/Majalah Populer/Umum</t>
  </si>
  <si>
    <t>Karya Tulis
Link Url</t>
  </si>
  <si>
    <t>Hasil Penelitian Atau Pemikiran Atau Kerjasama Industri Yang Tidak Dipublikasikan (Tersimpan Dalam Perpustakaan)</t>
  </si>
  <si>
    <t>Karya Tulis
Link Url / repository</t>
  </si>
  <si>
    <t>Hasil Penelitian Atau Hasil Pemikiran Yang Dipublikasikan Dalam Bentuk Buku</t>
  </si>
  <si>
    <t>Buku Eksamplar</t>
  </si>
  <si>
    <t>Menerjemahkan/menyadur/buku ilmiah</t>
  </si>
  <si>
    <t>Mengedit/menyunting karya ilmiah</t>
  </si>
  <si>
    <t>Membuat rancangan dan karya teknologi yang dipatenkan terdaftar HaKi</t>
  </si>
  <si>
    <t>Sistem elektronik "Regulation Information System"</t>
  </si>
  <si>
    <t>4 Penulis (ke-3)</t>
  </si>
  <si>
    <t>f.karya ciptaan, desain industri, indikasi geografis yang memiliki sertifikat dari Dirjen Kekayaan Intelektual kemenkunham</t>
  </si>
  <si>
    <t>Rancangan /Karya Teknologi :</t>
  </si>
  <si>
    <t>Aplikasi pengelolaan surat resmi Universitas Telkom</t>
  </si>
  <si>
    <t>Sistem elektronik "Partnership Information System"</t>
  </si>
  <si>
    <t>4 Penulis (ke-4)</t>
  </si>
  <si>
    <t>Aplikasi pengelolaan penerbitan dan pencatatan kerjasama Universitas Telkom</t>
  </si>
  <si>
    <t>Aplikasi Permit Services</t>
  </si>
  <si>
    <t>Aplikasi International Office</t>
  </si>
  <si>
    <t>Aplikasi DIGI-OTA</t>
  </si>
  <si>
    <t>Aplikasi SSO</t>
  </si>
  <si>
    <t>Aplikasi Digi-PAK</t>
  </si>
  <si>
    <t>Aplikasi Dawai</t>
  </si>
  <si>
    <t>Aplikasi TelU Point Dosen</t>
  </si>
  <si>
    <t>Aplikasi TelU Point TPA</t>
  </si>
  <si>
    <t xml:space="preserve">                                                                                                                                                                                                                                                                                                                                                                                                                                                                              </t>
  </si>
  <si>
    <t>Membuat rancangan dan karya teknologi yang Tidak dipatenkan atau Tidak terdaftar HKI tetapi telah dipresentasikan pada Forum Teragenda</t>
  </si>
  <si>
    <t>Membuat rancangan dan karya Seni / Seni Pertunjukan yang tidak terdaftar di HaKI Angka Kreditnya</t>
  </si>
  <si>
    <t>Rancangan /Karya Seni :</t>
  </si>
  <si>
    <t>Jumlah III</t>
  </si>
  <si>
    <t>S2 Teknik Elektro Fakultas Teknik Elektro</t>
  </si>
  <si>
    <t>S2 Teknik Elektro Fakultas Teknik Elektro di Universitas Telkom pada LLDIKTI Wilayah IV Jawa Barat dan Banten</t>
  </si>
  <si>
    <t>1.a).1). DIPUBLIKASIKAN dalam bentuk BUKU REFERENSI</t>
  </si>
  <si>
    <t>A.1.a.1</t>
  </si>
  <si>
    <t>ASISTEN AHLI (III/b)</t>
  </si>
  <si>
    <t>≥ 55%</t>
  </si>
  <si>
    <t>≥ 25%</t>
  </si>
  <si>
    <t>≤ 10%</t>
  </si>
  <si>
    <t>a.internasional yang sudah diimplementasikan di industri (diakui minimal 4 negara)</t>
  </si>
  <si>
    <t>Komposer/penulis naskah/sutradara/perancang/pencipta/pengubah/kameramen/animator/kurator/editor audio visual</t>
  </si>
  <si>
    <t>Penata Muda, ruang III/a</t>
  </si>
  <si>
    <t>S1 Teknik Elektro Fakultas Teknik Elektro</t>
  </si>
  <si>
    <t>S1 Teknik Elektro Fakultas Teknik Elektro di Universitas Telkom pada LLDIKTI Wilayah IV Jawa Barat dan Banten</t>
  </si>
  <si>
    <t>1.a).2). DIPUBLIKASIKAN dalam bentuk BUKU MONOGRAF</t>
  </si>
  <si>
    <t>A.1.a.2</t>
  </si>
  <si>
    <t>LEKTOR (III/c)</t>
  </si>
  <si>
    <t>≥ 45%</t>
  </si>
  <si>
    <t>≥ 35%</t>
  </si>
  <si>
    <t>b.internasional (diakui minimal 4 negara)</t>
  </si>
  <si>
    <t>penata artistik/penata musik/penata rias/penata busana/penata tari/penata lampu/penata suara/penata panggung/ilustrator/foto/konduktor</t>
  </si>
  <si>
    <t>Penata Muda Tingkat I, ruang III/b</t>
  </si>
  <si>
    <t>S1 Teknik Telekomunikasi Fakultas Teknik Elektro</t>
  </si>
  <si>
    <t>S1 Teknik Telekomunikasi Fakultas Teknik Elektro di Universitas Telkom pada LLDIKTI Wilayah IV Jawa Barat dan Banten</t>
  </si>
  <si>
    <t>1.b).1). Hasil penelitian atau hasil pemikiran dalam buku yang DIPUBLIKASIKAN dan berisi berbagai tulisan dari berbagai PENULIS INTERNASIONAL</t>
  </si>
  <si>
    <t>Februari</t>
  </si>
  <si>
    <t>LEKTOR (III/d)</t>
  </si>
  <si>
    <t>c.nasional (sudah diimplementasikan di industri)</t>
  </si>
  <si>
    <t>pemusik/pengrawit/penari/dalang/pemeran/pengarah acara televisi/pelaksana perancangan/pendisplay pameran/pembuat foto dokumentasi/pewarta foto/pembawa acara/reporter/redaktur pelaksana</t>
  </si>
  <si>
    <t>Penata, ruang III/c</t>
  </si>
  <si>
    <t>S1 Sistem Komputer Fakultas Teknik Elektro</t>
  </si>
  <si>
    <t>S1 Sistem Komputer Fakultas Teknik Elektro di Universitas Telkom pada LLDIKTI Wilayah IV Jawa Barat dan Banten</t>
  </si>
  <si>
    <t>1.b).2). Hasil penelitian atau hasil pemikiran dalam buku yang DIPUBLIKASIKAN dan berisi berbagai tulisan dari berbagai PENULIS NASIONAL</t>
  </si>
  <si>
    <t>Maret</t>
  </si>
  <si>
    <t>LEKTOR KEPALA (IV/a)</t>
  </si>
  <si>
    <t>≥ 40%</t>
  </si>
  <si>
    <t>d.nasional</t>
  </si>
  <si>
    <t>penulis naskah drama/novel</t>
  </si>
  <si>
    <t>Penata Tingkat I, ruang III/d</t>
  </si>
  <si>
    <t>S1 Teknik Fisika Fakultas Teknik Elektro</t>
  </si>
  <si>
    <t>S1 Teknik Fisika Fakultas Teknik Elektro di Universitas Telkom pada LLDIKTI Wilayah IV Jawa Barat dan Banten</t>
  </si>
  <si>
    <t>1.c).1). DIPUBLIKASIKAN dalam bentuk JURNAL INTERNASIONAL BEREPUTASI &amp; BERDAMPAK</t>
  </si>
  <si>
    <t>A.1.b.1</t>
  </si>
  <si>
    <t>April</t>
  </si>
  <si>
    <t>LEKTOR KEPALA (IV/b)</t>
  </si>
  <si>
    <t>e.nasional dalam bentuk paten sederhana</t>
  </si>
  <si>
    <t>penulis buku kumpulan cerpen / komikus</t>
  </si>
  <si>
    <t>Pembina, ruang IV/a</t>
  </si>
  <si>
    <t>S1 Teknik Biomedik Fakultas Teknik Elektro</t>
  </si>
  <si>
    <t>S1 Teknik Biomedik Fakultas Teknik Elektro di Universitas Telkom pada LLDIKTI Wilayah IV Jawa Barat dan Banten</t>
  </si>
  <si>
    <t>1.c).2). DIPUBLIKASIKAN dalam bentuk JURNAL INTERNASIONAL TERINDEK pada BASIS DATA INTERNASIONAL BEREPUTASI</t>
  </si>
  <si>
    <t>Mei</t>
  </si>
  <si>
    <t>LEKTOR KEPALA (IV/c)</t>
  </si>
  <si>
    <t>penulis buku kumpulan puisi</t>
  </si>
  <si>
    <t>Pembina Tingkat I, ruang IV/b</t>
  </si>
  <si>
    <t>S2 Teknik Industri Fakultas Rekayasa Industri</t>
  </si>
  <si>
    <t>S2 Teknik Industri Fakultas Rekayasa Industri di Universitas Telkom pada LLDIKTI Wilayah IV Jawa Barat dan Banten</t>
  </si>
  <si>
    <t>1.c).3). DIPUBLIKASIKAN dalam bentuk JURNAL INTERNASIONAL TERINDEK pada BASIS DATA INTERNASIONAL di Luar Kategori 2</t>
  </si>
  <si>
    <t>Juni</t>
  </si>
  <si>
    <t>GURU BESAR (IV/d)</t>
  </si>
  <si>
    <t>Pembina Utama Muda, ruang IV/c</t>
  </si>
  <si>
    <t>S1 Teknik Industri Fakultas Rekayasa Industri</t>
  </si>
  <si>
    <t>S1 Teknik Industri Fakultas Rekayasa Industri di Universitas Telkom pada LLDIKTI Wilayah IV Jawa Barat dan Banten</t>
  </si>
  <si>
    <t>A.1.b.2</t>
  </si>
  <si>
    <t>GURU BESAR (IV/e)</t>
  </si>
  <si>
    <t>Pembina Utama Madya, ruang IV/d</t>
  </si>
  <si>
    <t>S1 Sistem Informasi Fakultas Rekayasa Industri</t>
  </si>
  <si>
    <t>S1 Sistem Informasi Fakultas Rekayasa Industri di Universitas Telkom pada LLDIKTI Wilayah IV Jawa Barat dan Banten</t>
  </si>
  <si>
    <t>1.c).5).a). DIPUBLIKASIKAN dalam bentuk JURNAL NASIONAL BERBAHASA INDONESIA terindex pada DOAJ DAN ATAU SINTA 3 &amp; SINTA 4</t>
  </si>
  <si>
    <t>Agustus</t>
  </si>
  <si>
    <t>Pembina Utama, ruang IV/e</t>
  </si>
  <si>
    <t>S1 Teknik Logistik Fakultas Rekayasa Industri</t>
  </si>
  <si>
    <t>S1 Teknik Logistik Fakultas Rekayasa Industri di Universitas Telkom pada LLDIKTI Wilayah IV Jawa Barat dan Banten</t>
  </si>
  <si>
    <t>1.c).5).b). DIPUBLIKASIKAN dalam bentuk JURNAL NASIONAL BERBAHASA INGGRIS atau BAHASA RESMI (PBB) terindek pada DOAJ DAN ATAU SINTA 3 &amp; SINTA 4</t>
  </si>
  <si>
    <t>September</t>
  </si>
  <si>
    <t>S2 Teknik Informatika Fakultas Informatika</t>
  </si>
  <si>
    <t>S2 Teknik Informatika Fakultas Informatika di Universitas Telkom pada LLDIKTI Wilayah IV Jawa Barat dan Banten</t>
  </si>
  <si>
    <t>1.c).6). DIPUBLIKASIKAN dalam bentuk JURNAL NASIONAL BERBAHASA INDONESIA (TIDAK MASUK SINTA)</t>
  </si>
  <si>
    <t>A.1.b.3</t>
  </si>
  <si>
    <t>Oktober</t>
  </si>
  <si>
    <t>S1 Teknik Informatika Fakultas Informatika</t>
  </si>
  <si>
    <t>S1 Teknik Informatika Fakultas Informatika di Universitas Telkom pada LLDIKTI Wilayah IV Jawa Barat dan Banten</t>
  </si>
  <si>
    <t>1.c).7). DIPUBLIKASIKAN dalam bentuk JURNAL ILMIAH yang ditulis dalam BAHASA RESMI namum tidak memenuhi syarat-syarat sebagai JURNAL ILMIAH INTERNASIONAL</t>
  </si>
  <si>
    <t>November</t>
  </si>
  <si>
    <t>S1 Rekayasa Perangkat Lunak Fakultas Informatika</t>
  </si>
  <si>
    <t>S1 Rekayasa Perangkat Lunak Fakultas Informatika di Universitas Telkom pada LLDIKTI Wilayah IV Jawa Barat dan Banten</t>
  </si>
  <si>
    <t xml:space="preserve">2.a).1). DIDESIMINASIKAN DIPRESENTASIKAN secara ORAL dan dimuat dalam PROSIDING yang DIPUBLIKASISKAN (ber ISSN/ISBN) INTERNASIONAL SCOPUS/SJR </t>
  </si>
  <si>
    <t>A.1.c.1.a</t>
  </si>
  <si>
    <t>Desember</t>
  </si>
  <si>
    <t>S1 Teknologi Informasi Fakultas Informatika</t>
  </si>
  <si>
    <t>S1 Teknologi Informasi Fakultas Informatika di Universitas Telkom pada LLDIKTI Wilayah IV Jawa Barat dan Banten</t>
  </si>
  <si>
    <t>2.a).2). DIDESIMINASIKAN DIPRESENTASIKAN secara ORAL dan dimuat dalam PROSIDING yang DIPUBLIKASISKAN (ber ISSN/ISBN) INTERNASIONAL SCOPUS/IEEE EXPLORE/SPIE</t>
  </si>
  <si>
    <t>S1 Data Science Fakultas Informatika</t>
  </si>
  <si>
    <t>S1 Data Science Fakultas Informatika di Universitas Telkom pada LLDIKTI Wilayah IV Jawa Barat dan Banten</t>
  </si>
  <si>
    <t>2.a).3). DIDESIMINASIKAN DIPRESENTASIKAN secara ORAL dan dimuat dalam PROSIDING yang DIPUBLIKASISKAN (ber ISSN/ISBN) INTERNASIONAL TIDAK TERINDEKS</t>
  </si>
  <si>
    <t>S2 Manajemen Fakultas Ekonomi dan Bisnis</t>
  </si>
  <si>
    <t>S2 Manajemen Fakultas Ekonomi dan Bisnis di Universitas Telkom pada LLDIKTI Wilayah IV Jawa Barat dan Banten</t>
  </si>
  <si>
    <t>A.1.c.1.b</t>
  </si>
  <si>
    <t>S1 Manajemen Fakultas Ekonomi dan Bisnis</t>
  </si>
  <si>
    <t>S1 Manajemen Fakultas Ekonomi dan Bisnis di Universitas Telkom pada LLDIKTI Wilayah IV Jawa Barat dan Banten</t>
  </si>
  <si>
    <t>2.b).1). DISAJIKAN dalam bentuk POSTER dan dimuat dalam PROSIDING yang DIPUBLIKASIKAN INTERNASIONAL</t>
  </si>
  <si>
    <t>A.1.c.2.a</t>
  </si>
  <si>
    <t>S1 Akuntansi Fakultas Ekonomi dan Bisnis</t>
  </si>
  <si>
    <t>S1 Akuntansi Fakultas Ekonomi dan Bisnis di Universitas Telkom pada LLDIKTI Wilayah IV Jawa Barat dan Banten</t>
  </si>
  <si>
    <t>2.b).2). DISAJIKAN dalam bentuk POSTER dan dimuat dalam PROSIDING yang DIPUBLIKASIKAN NASIONAL</t>
  </si>
  <si>
    <t>A.1.c.2.b</t>
  </si>
  <si>
    <t>S1 Administrasi Bisnis Fakultas Komunikasi dan Bisnis</t>
  </si>
  <si>
    <t>S1 Administrasi Bisnis Fakultas Komunikasi dan Bisnis di Universitas Telkom pada LLDIKTI Wilayah IV Jawa Barat dan Banten</t>
  </si>
  <si>
    <t>2.c).1). DISAJIKAN dalam SEMINAR/SIMPOSIUM/LOKAKARYA, tetapi TIDAK DIMUAT dalam PROSIDING yang DIPUBLIKASIKAN INTERNASIONAL</t>
  </si>
  <si>
    <t>S1 Ilmu Komunikasi Fakultas Komunikasi dan Bisnis</t>
  </si>
  <si>
    <t>S1 Ilmu Komunikasi Fakultas Komunikasi dan Bisnis di Universitas Telkom pada LLDIKTI Wilayah IV Jawa Barat dan Banten</t>
  </si>
  <si>
    <t>2.c).2). DISAJIKAN dalam SEMINAR/SIMPOSIUM/LOKAKARYA, tetapi TIDAK DIMUAT dalam PROSIDING yang DIPUBLIKASIKAN NASIONAL</t>
  </si>
  <si>
    <t>S1 Digital Broadcasting Fakultas Komunikasi dan Bisnis</t>
  </si>
  <si>
    <t>S1 Digital Broadcasting Fakultas Komunikasi dan Bisnis di Universitas Telkom pada LLDIKTI Wilayah IV Jawa Barat dan Banten</t>
  </si>
  <si>
    <t>2.d).1). TIDAK DISAJIKAN dalam SEMINAR/SIMPOSIUM/LOKAKARYA, tetapi dimuat dalam PROSIDING INTERNASIONAL</t>
  </si>
  <si>
    <t>S1 Seni Rupa Murni Fakultas Industri Kreatif</t>
  </si>
  <si>
    <t>S1 Seni Rupa Murni Fakultas Industri Kreatif di Universitas Telkom pada LLDIKTI Wilayah IV Jawa Barat dan Banten</t>
  </si>
  <si>
    <t>S1 Kriya Tekstil Dan Mode Fakultas Industri Kreatif</t>
  </si>
  <si>
    <t>S1 Kriya Tekstil Dan Mode Fakultas Industri Kreatif di Universitas Telkom pada LLDIKTI Wilayah IV Jawa Barat dan Banten</t>
  </si>
  <si>
    <t>2.e). DISAJIKAN dalam KORAN/MAJALAH POPULER/UMUM</t>
  </si>
  <si>
    <t>A.1.d</t>
  </si>
  <si>
    <t>S1 Desain Interior Fakultas Industri Kreatif</t>
  </si>
  <si>
    <t>S1 Desain Interior Fakultas Industri Kreatif di Universitas Telkom pada LLDIKTI Wilayah IV Jawa Barat dan Banten</t>
  </si>
  <si>
    <t>A.2</t>
  </si>
  <si>
    <t>S1 Desain Produk Fakultas Industri Kreatif</t>
  </si>
  <si>
    <t>S1 Desain Produk Fakultas Industri Kreatif di Universitas Telkom pada LLDIKTI Wilayah IV Jawa Barat dan Banten</t>
  </si>
  <si>
    <t>S1 Desain Komunikasi Visual Fakultas Industri Kreatif</t>
  </si>
  <si>
    <t>S1 Desain Komunikasi Visual Fakultas Industri Kreatif di Universitas Telkom pada LLDIKTI Wilayah IV Jawa Barat dan Banten</t>
  </si>
  <si>
    <t>D4 Sistem Multimedia Fakultas Ilmu Terapan</t>
  </si>
  <si>
    <t>D4 Sistem Multimedia Fakultas Ilmu Terapan di Universitas Telkom pada LLDIKTI Wilayah IV Jawa Barat dan Banten</t>
  </si>
  <si>
    <t>D3 Teknik Telekomunikasi Fakultas Ilmu Terapan</t>
  </si>
  <si>
    <t>D3 Teknik Telekomunikasi Fakultas Ilmu Terapan di Universitas Telkom pada LLDIKTI Wilayah IV Jawa Barat dan Banten</t>
  </si>
  <si>
    <t>D3 Teknik Informatika Fakultas Ilmu Terapan</t>
  </si>
  <si>
    <t>D3 Teknik Informatika Fakultas Ilmu Terapan di Universitas Telkom pada LLDIKTI Wilayah IV Jawa Barat dan Banten</t>
  </si>
  <si>
    <t>D3 Teknik Komputer Fakultas Ilmu Terapan</t>
  </si>
  <si>
    <t>D3 Teknik Komputer Fakultas Ilmu Terapan di Universitas Telkom pada LLDIKTI Wilayah IV Jawa Barat dan Banten</t>
  </si>
  <si>
    <t>D3 Sistem Informasi Fakultas Ilmu Terapan</t>
  </si>
  <si>
    <t>D3 Sistem Informasi Fakultas Ilmu Terapan di Universitas Telkom pada LLDIKTI Wilayah IV Jawa Barat dan Banten</t>
  </si>
  <si>
    <t>D3 Sistem Informasi Akuntansi Fakultas Ilmu Terapan</t>
  </si>
  <si>
    <t>D3 Sistem Informasi Akuntansi Fakultas Ilmu Terapan di Universitas Telkom pada LLDIKTI Wilayah IV Jawa Barat dan Banten</t>
  </si>
  <si>
    <t>D3 Manajemen Pemasaran Fakultas Ilmu Terapan</t>
  </si>
  <si>
    <t>D3 Manajemen Pemasaran Fakultas Ilmu Terapan di Universitas Telkom pada LLDIKTI Wilayah IV Jawa Barat dan Banten</t>
  </si>
  <si>
    <t>D3 Perhotelan Fakultas Ilmu Terapan</t>
  </si>
  <si>
    <t>D3 Perhotelan Fakultas Ilmu Terapan di Universitas Telkom pada Kopertis LLDIKTI Wilayah IV Jawa Barat dan Banten</t>
  </si>
  <si>
    <t>S1 Rekayasa Perangkat Lunak Kampus Surabaya Fakultas Informatika di Universitas Telkom pada LLDIKTI Wilayah IV Jawa Barat dan Banten</t>
  </si>
  <si>
    <t>S1 Informatika Kampus Surabaya Fakultas Informatika</t>
  </si>
  <si>
    <t>S1 Informatika Kampus Surabaya Fakultas Informatika di Universitas Telkom pada LLDIKTI Wilayah IV Jawa Barat dan Banten</t>
  </si>
  <si>
    <t>S1 Teknologi Informasi Kampus Surabaya Fakultas Informatika</t>
  </si>
  <si>
    <t>S1 Teknologi Informasi Kampus Surabaya Fakultas Informatika di Universitas Telkom pada LLDIKTI Wilayah IV Jawa Barat dan Banten</t>
  </si>
  <si>
    <t>S1 Sains Data Kampus Surabaya Fakultas Informatika</t>
  </si>
  <si>
    <t>S1 Sains Data Kampus Surabaya Fakultas Informatika di Universitas Telkom pada LLDIKTI Wilayah IV Jawa Barat dan Banten</t>
  </si>
  <si>
    <t>S1 Teknik Industri Kampus Surabaya Fakultas Rekayasa Industri</t>
  </si>
  <si>
    <t>S1 Teknik Industri Kampus Surabaya Fakultas Rekayasa Industri di Universitas Telkom pada LLDIKTI Wilayah IV Jawa Barat dan Banten</t>
  </si>
  <si>
    <t>S1 Sistem Informasi Kampus Surabaya Fakultas Rekayasa Industri</t>
  </si>
  <si>
    <t>S1 Sistem Informasi Kampus Surabaya Fakultas Rekayasa Industri di Universitas Telkom pada LLDIKTI Wilayah IV Jawa Barat dan Banten</t>
  </si>
  <si>
    <t>S1 Teknik Logistik Kampus Surabaya Fakultas Rekayasa Industri</t>
  </si>
  <si>
    <t>S1 Teknik Logistik Kampus Surabaya Fakultas Rekayasa Industri di Universitas Telkom pada LLDIKTI Wilayah IV Jawa Barat dan Banten</t>
  </si>
  <si>
    <t>S1 Bisnis Digital Kampus Surabaya Fakultas Ekonomi dan Bisnis</t>
  </si>
  <si>
    <t>S1 Bisnis Digital Kampus Surabaya Fakultas Ekonomi dan Bisnis di Universitas Telkom pada LLDIKTI Wilayah IV Jawa Barat dan Banten</t>
  </si>
  <si>
    <t>S1 Teknik Elektro Kampus Surabaya Fakultas Teknik Elektro</t>
  </si>
  <si>
    <t>S1 Teknik Elektro Kampus Surabaya Fakultas Teknik Elektro di Universitas Telkom pada LLDIKTI Wilayah IV Jawa Barat dan Banten</t>
  </si>
  <si>
    <t>S1 Teknik Telekomunikasi Kampus Surabaya Fakultas Teknik Elektro</t>
  </si>
  <si>
    <t>S1 Teknik Telekomunikasi Kampus Surabaya Fakultas Teknik Elektro di Universitas Telkom pada LLDIKTI Wilayah IV Jawa Barat dan Banten</t>
  </si>
  <si>
    <t>S1 Teknik Komputer Kampus Surabaya Fakultas Teknik Elektro</t>
  </si>
  <si>
    <t>S1 Teknik Komputer Kampus Surabaya Fakultas Teknik Elektro di Universitas Telkom pada LLDIKTI Wilayah IV Jawa Barat dan Banten</t>
  </si>
  <si>
    <t>Lampiran VII Keputusan Bersama Menteri</t>
  </si>
  <si>
    <t>a.1).Terjadwal/terprogram Dalam satu semester atau lebih Tingkat Internasional tiap program</t>
  </si>
  <si>
    <t>a.2).Terjadwal/terprogram Dalam satu semester atau lebih Tingkat Nasional tiap program</t>
  </si>
  <si>
    <t>a.3).Terjadwal/terprogram Dalam satu semester atau lebih Tingkat Lokal tiap program</t>
  </si>
  <si>
    <t>a.4).Terjadwal/terprogram Kurang dari satu semester dan minimal satu bulan Tingkat Internasional tiap program</t>
  </si>
  <si>
    <t>a.5).Terjadwal/terprogram Kurang dari satu semester dan minimal satu bulan Tingkat Nasional tiap program</t>
  </si>
  <si>
    <t>a.6).Terjadwal/terprogram Kurang dari satu semester dan minimal satu bulan Tingkat Lokal tiap program</t>
  </si>
  <si>
    <t>b.Insidental, tiap kegiatan program</t>
  </si>
  <si>
    <t>MELAKSANAKAN KEGIATAN PENGABDIAN PADA MASYARAKAT</t>
  </si>
  <si>
    <t>Nama</t>
  </si>
  <si>
    <t>Telah Melakukan Kegiatan Pengabdian Pada Masyarakat sebagai berikut:</t>
  </si>
  <si>
    <t>Pelaksana Pengabdian kepada Masyarakat</t>
  </si>
  <si>
    <t>Menduduki jabatan pimpinan</t>
  </si>
  <si>
    <t>KETUA PEMBINA USAHA TANI( CONTOH )</t>
  </si>
  <si>
    <t>JAN- DES 2014</t>
  </si>
  <si>
    <t>SK</t>
  </si>
  <si>
    <t>SK. KEP 0976/00/DGA-04/2017</t>
  </si>
  <si>
    <t>Melaksanakan pengembangan hasil pendidikan &amp; penelitian</t>
  </si>
  <si>
    <t>Pelatihan Market Place Untuk Kebutuhan Otomotif SMK 4 LPPM</t>
  </si>
  <si>
    <t>JAN-JUN 2017</t>
  </si>
  <si>
    <t>SK Rektor Universitas Telkom No. KR-610/ABDI3/PPM/2017</t>
  </si>
  <si>
    <t>Melaksanakan pengembangan perprogram</t>
  </si>
  <si>
    <t>Pelatihan Desain Grafis Untuk Meningkatkan Kreativitas PDIP Kabupaten Bandung</t>
  </si>
  <si>
    <t>JUL-DES 2017</t>
  </si>
  <si>
    <t>SK Warek IV No. KWR4-067/ABDI3/PPM/2017</t>
  </si>
  <si>
    <t xml:space="preserve">
Pelatihan Desain Grafis untuk Meningkatkan Kreativitas Pengelola Dokumentasi Kabupaten Bandung</t>
  </si>
  <si>
    <t>JAN-JUN 2018</t>
  </si>
  <si>
    <t>SK Warek IV No. KWR4-068/ABDI3/PPM/2018</t>
  </si>
  <si>
    <t>Pembangunan Web Profil Panti Asuhan dan Pelatihan Pengelolaan Website serta Layanan Crowdfunding Panti Asuhan Nurul Falaah Soreang.</t>
  </si>
  <si>
    <t>JAN-JUN 2019</t>
  </si>
  <si>
    <t>SK WarekIV No.: KWR.0008/ABDI3/PKM/2019</t>
  </si>
  <si>
    <t>Pembangunan dan Pelatihan Official Web Komunitas Salimah, Bandung</t>
  </si>
  <si>
    <t>JUL-DES 2019</t>
  </si>
  <si>
    <t>SK Warek IV No.: KWR.0052/ABDI3/PKM/2019</t>
  </si>
  <si>
    <t>Instalasi Aplikasi Katalog Barang Berbasis Web dan Penggunaan Dashboard CPanel pada PD Salimah Kota Bandung</t>
  </si>
  <si>
    <t>JAN-JUN 2020</t>
  </si>
  <si>
    <t>SK Warek IV No. :KWR.0044/ABDI3/PPM-JPM/2020</t>
  </si>
  <si>
    <t>PENGEMBANGAN APLIKASI PENGELOLAAN STOK BARANG DAN TRANSAKSI DI PT. ANUGRAH LAUT INDONESIA</t>
  </si>
  <si>
    <t>JUL-DES 2020</t>
  </si>
  <si>
    <t>SK Warek IV No. :KWR.0131/ABDI3/PPM-JPM/2020</t>
  </si>
  <si>
    <t>Pengembangan aplikasi pengelolaan karyawan dan penggajian di PT. Anugrah Laut Indonesia</t>
  </si>
  <si>
    <t>JAN-JUN 2021</t>
  </si>
  <si>
    <t>SK Warek IV Nomor : KWR4..012/ABDII3/PPM-JPM/2021</t>
  </si>
  <si>
    <t xml:space="preserve">Memberi latihan/peyuluhan/penataran/ceramah pada masyarakat
</t>
  </si>
  <si>
    <t>Trainer VSGA Web Developer VSGA DTS 2021</t>
  </si>
  <si>
    <t>JUL-DES 2021</t>
  </si>
  <si>
    <t>SK Rektor Nomor: KR..625/ABDI2/SPIO-KST/2021</t>
  </si>
  <si>
    <t>Trainer VSGA Web Developer VSGA DTS 2022</t>
  </si>
  <si>
    <t>JUL-DES 2022</t>
  </si>
  <si>
    <t>SK Rektor Nomor: KR..546/ABDI2/SPIO-KST/2022</t>
  </si>
  <si>
    <t xml:space="preserve">Memberi pelayanan kepada masyarakat atau kegiatan lain menunjang pelaksanaan tugas umum pemerintah dan pembangunan
</t>
  </si>
  <si>
    <t xml:space="preserve">Membuat/menulis karya pengabdian
</t>
  </si>
  <si>
    <t>karya</t>
  </si>
  <si>
    <t>Jumlah IV</t>
  </si>
  <si>
    <t>Lampiran VIII Keputusan Bersama Menteri</t>
  </si>
  <si>
    <t>1) TINGKAT INTERNASIONAL Sebagai PENGURUS</t>
  </si>
  <si>
    <t>a.1). Tingkat Internasional/Nasional/Regional sebagai Ketua, tiap kegiatan</t>
  </si>
  <si>
    <t>2) TINGKAT INTERNASIONAL Sebagai ANGGOTA ATAS PERMINTAAN</t>
  </si>
  <si>
    <t>a.2). Tingkat Internasional/Nasional/Regional sebagai Anggota/peserta, tiap kegiatan</t>
  </si>
  <si>
    <t>3) TINGKAT INTERNASIONAL Sebagai ANGGOTA</t>
  </si>
  <si>
    <t>b.1). Di Lingkungan Perguruan Tinggi sebagai Ketua, tiap kegiatan</t>
  </si>
  <si>
    <t>4) TINGKAT NASIONAL Sebagai PENGURUS</t>
  </si>
  <si>
    <t>b.2). Di Lingkungan Perguruan Tinggi sebagai Anggota/peserta, tiap kegiatan</t>
  </si>
  <si>
    <t>5) TINGKAT NASIONAL Sebagai ANGGOTA ATAS PERMINTAAN</t>
  </si>
  <si>
    <t>6) TINGKAT NASIONAL Sebagai ANGGOTA</t>
  </si>
  <si>
    <t>MELAKSANAKAN KEGIATAN PENUNJANG TUGAS DOSEN</t>
  </si>
  <si>
    <t>Telah Melakukan Kegiatan Penunjang Tridharma Perguruan Tinggi sebagai berikut:</t>
  </si>
  <si>
    <t>Penunjang Kegiatan Akademik Dosen</t>
  </si>
  <si>
    <t>Menjadi anggota dalam suatu Panitia/Badan pada Perguruan Tinggi</t>
  </si>
  <si>
    <t>Anggota tim penyusun borang akreditasi Prodi D3 RPLA 2020</t>
  </si>
  <si>
    <t>SK Dekan FIT NOMOR : KD. 122/SP12/IT-DEK/2020</t>
  </si>
  <si>
    <t>KR. 2116/SDM.2/REK/2014</t>
  </si>
  <si>
    <t>b.Sebagai Anggota pertahun</t>
  </si>
  <si>
    <t>Anggota tim penyusun Kurikulum Prodi Manajemen Informatika 2015</t>
  </si>
  <si>
    <t>SK Dekan FIT NOMOR : KD. 078 /AKD4/IT-DEK/2015</t>
  </si>
  <si>
    <t xml:space="preserve">Menjadi anggota Panitia/Badan pada Lembaga Pemerintah
</t>
  </si>
  <si>
    <t xml:space="preserve">Menjadi Anggota Organisasi Profesi Dosen
</t>
  </si>
  <si>
    <t>ACM Membership 2022 - Number 3740163</t>
  </si>
  <si>
    <t xml:space="preserve">Menjadi Anggota Delegasi Nasional ke pertemuan Internasional
</t>
  </si>
  <si>
    <t>Berperan serta aktif dalam pengelolaan jurnal ilmiah (pertahun)</t>
  </si>
  <si>
    <t>Berperan serta aktif dalam pertemuan ilmiah</t>
  </si>
  <si>
    <t>Mendapat penghargaan/tanda jasa</t>
  </si>
  <si>
    <t>nama penghargaan</t>
  </si>
  <si>
    <t>Menulis buku pelajaran SLTA, kebawah yang diterbitkan dan diedarkan secara nasional</t>
  </si>
  <si>
    <t>judul buku</t>
  </si>
  <si>
    <t>Mempunyai prestasi dibidang olah raga/humaniora</t>
  </si>
  <si>
    <t>prestasi</t>
  </si>
  <si>
    <t>Keanggotaan dalam tim penilai</t>
  </si>
  <si>
    <t>Jumlah V</t>
  </si>
  <si>
    <t>DAFTAR NILAI HASIL REVIEW PENELITIAN / PUBLIKASI KARYA ILMIAH</t>
  </si>
  <si>
    <t>DOSEN BIASA YANG DINILAI</t>
  </si>
  <si>
    <t>Dr. Endang Soekamti, S.Si., M.Si</t>
  </si>
  <si>
    <t>00740196-1 / 0421097401</t>
  </si>
  <si>
    <t>Lektor Kepala</t>
  </si>
  <si>
    <t>: Kotak berwarna MERAH rumus yang akan otomatis terisi apabila Lampiran III sudah diisi</t>
  </si>
  <si>
    <t>S1 Ilmu Komputasi, Fakultas Informatika, Universitas Telkom</t>
  </si>
  <si>
    <t>Untuk Row yang tidak diisi / dilewat mohon dihide, untuk field yang kurang, bisa copy Row kemudian Insert Row
Created By : Nathaleo M. Apon.</t>
  </si>
  <si>
    <t>ANGKA KREDIT MENURUT PEER REVIEWER EKSTERNAL</t>
  </si>
  <si>
    <t>JUDUL KARYA ILMIAH</t>
  </si>
  <si>
    <t>NILAI MAKSIMAL</t>
  </si>
  <si>
    <t>JENIS KARYA ILMIAH</t>
  </si>
  <si>
    <t>Reviewer 1 
(Prof. AAAA)</t>
  </si>
  <si>
    <t>Nilai Setelah Direview Prof. AAAA)</t>
  </si>
  <si>
    <t>Reviewer 2
(Prof. SSSSS)</t>
  </si>
  <si>
    <t>Nilai Setelah Direview Prof. SSSSS</t>
  </si>
  <si>
    <t>RATA-RATA PERSENTASE HASIL PEER REVIEW</t>
  </si>
  <si>
    <t xml:space="preserve">Nilai yang diusulkan setelah peer Review </t>
  </si>
  <si>
    <t>Jurnal Internasional</t>
  </si>
  <si>
    <t>Jurnal Nasional</t>
  </si>
  <si>
    <t>Prosiding Internasional</t>
  </si>
  <si>
    <t>Prosiding Nasional</t>
  </si>
  <si>
    <t>Hasil pemikiran dalam Poster</t>
  </si>
  <si>
    <t>Bandung,                                    2016</t>
  </si>
  <si>
    <t>Wakil Rektor I</t>
  </si>
  <si>
    <t>Universitas Telkom</t>
  </si>
  <si>
    <t>Dr. Ir. Heroe Wijanto, M.T.</t>
  </si>
  <si>
    <t>No</t>
  </si>
  <si>
    <t>Penulis</t>
  </si>
  <si>
    <t>Judul</t>
  </si>
  <si>
    <t>Jenis Publikasi</t>
  </si>
  <si>
    <t>Nama Jurnal / Prosiding</t>
  </si>
  <si>
    <t>Penerbit / Penyelenggara</t>
  </si>
  <si>
    <t>Akreditasi/SINTA/ SCOPUS/SJR/IEEE</t>
  </si>
  <si>
    <t>Vol</t>
  </si>
  <si>
    <t>Halaman</t>
  </si>
  <si>
    <t>ISSN</t>
  </si>
  <si>
    <t>Link Full Paper + Cover + Editorial Board
(Paper with Identity)</t>
  </si>
  <si>
    <t>Link Untuk download Full Paper Only</t>
  </si>
  <si>
    <t>Link Publisher - Link Sesuai Penerbit, DAN BAIKNYA LANGSUNG TERTUJU KE LAMAN ARTIKELNYA</t>
  </si>
  <si>
    <t>URL Index Jurnal / Akreditasi</t>
  </si>
  <si>
    <t>URL Dokumen Bukti Korespondensi</t>
  </si>
  <si>
    <t>URL Similarity Check</t>
  </si>
  <si>
    <t>Wahyu Hidayat, Muhammad Dwi Aldhi, Dahliar Ananda</t>
  </si>
  <si>
    <t>Teknik Migrasi Data Lintas DBMS dengan Menggunakan Metadata</t>
  </si>
  <si>
    <t>Institut Teknologi Telkom Purwokerto</t>
  </si>
  <si>
    <t>Sinta 2</t>
  </si>
  <si>
    <t>137-142</t>
  </si>
  <si>
    <t xml:space="preserve">p-ISSN 2085-3688,e-ISSN : 2460-0997 </t>
  </si>
  <si>
    <t>https://ejournal.st3telkom.ac.id/index.php/infotel/issue/view/5</t>
  </si>
  <si>
    <t>https://ejournal.st3telkom.ac.id/index.php/infotel/article/view/41/42</t>
  </si>
  <si>
    <t>Jefry Kurniawan, Sari Dewi Budiwati, Dahliar Ananda</t>
  </si>
  <si>
    <t>Deteksi Plagiarisme Pada Mata Kuliah Pemrograman Berorientasi Objek</t>
  </si>
  <si>
    <t>eProceedings</t>
  </si>
  <si>
    <t>eProceedings of Applied Science</t>
  </si>
  <si>
    <t>2442-5826</t>
  </si>
  <si>
    <t>https://openlibrarypublications.telkomuniversity.ac.id/index.php/appliedscience/article/view/9233</t>
  </si>
  <si>
    <t>https://openlibrarypublications.telkomuniversity.ac.id/index.php/appliedscience/article/view/9233/9099</t>
  </si>
  <si>
    <t>Yora RadityoHutomo, Dahliar Ananda, Monterico Adrian</t>
  </si>
  <si>
    <t>Sistem Monitoring Dan Kontrol Penimbangan Bahan Baku Berbasis Desktop Di Unit Penimbangan Dan Produksi Pt Hanz Cba Indonesia</t>
  </si>
  <si>
    <t>https://openlibrarypublications.telkomuniversity.ac.id/index.php/appliedscience/article/view/4548/4282</t>
  </si>
  <si>
    <t>Pemodelan Sistem Informasi Layanan Karir dan Alumni Politeknik XYZ</t>
  </si>
  <si>
    <t>SEMNASTEKNOMEDIA</t>
  </si>
  <si>
    <t>Universitas Amikom Yogyakarta</t>
  </si>
  <si>
    <t>4.11-43</t>
  </si>
  <si>
    <t>2302-3805</t>
  </si>
  <si>
    <t>https://ojs.amikom.ac.id/index.php/semnasteknomedia/article/view/1311</t>
  </si>
  <si>
    <t>Rekapitulasi Hasil Penelusuran Similarity Karya Ilmiah dengan Tool i-Thenticate</t>
  </si>
  <si>
    <t>Usulan Jabatan Akademik Dosen ke- [Asisten Ahli, Lektor, Lektor Kepala, Guru Besar] a.n. Dr. Ir. Endang Soekamti, M.Sc. [CONTOH]</t>
  </si>
  <si>
    <t>No.</t>
  </si>
  <si>
    <t>Judul Karya Ilmiah</t>
  </si>
  <si>
    <t xml:space="preserve">Penulis </t>
  </si>
  <si>
    <t>Identitas Karya Ilmiah</t>
  </si>
  <si>
    <t xml:space="preserve">LINK Publikasi </t>
  </si>
  <si>
    <t>Persentase Similarity Tanpa ada yang di-Exclude</t>
  </si>
  <si>
    <t>Persentase Similarity Exclude</t>
  </si>
  <si>
    <t>Rincian &amp; Keterangan Similarity</t>
  </si>
  <si>
    <t>On what-coloring of Corola Product of a Wymcycle with some other guy in weird Moment [CONTOH]</t>
  </si>
  <si>
    <t>Soekamti, Sasaki, Cahyana</t>
  </si>
  <si>
    <t>Journal of Comb. Math. and Comb. Computing 2009 , vol. 71
print ISBN: 978-1-4673-0891-5 
published 2012</t>
  </si>
  <si>
    <t>https://jurkubank.wordpress.com/tag/capital-structure/</t>
  </si>
  <si>
    <t>a. Internet 15% (researchgate)
b. Telkom University 15% (Open Library)
c. personal Blog 10% 
[CONTOH]</t>
  </si>
  <si>
    <t>Phonetic Line String Matcher Modified</t>
  </si>
  <si>
    <t>Soekamti, Cahyana, Ashari</t>
  </si>
  <si>
    <t>Jurnal Penelitian dan Pengembangan TELEKOMUNIKASI Volume 16  Nomor 1, Juni 2014 (No. ISSN : 1611-7468   Akreditasi : No. 34/DIKTI/Kep/2010)</t>
  </si>
  <si>
    <t>a. Internet 2% (nrl.navy.mil)
b. Openlib</t>
  </si>
  <si>
    <t>Optical character recognition using modified direction feature and nested multi layer Perceptrons Neutron to Megatron [CONTOH]</t>
  </si>
  <si>
    <t>Ashari, Sarah, Soekamti</t>
  </si>
  <si>
    <t>[CONTOH]</t>
  </si>
  <si>
    <t>CrossCheck 76%, Indexed Document submitted to Telkom University 23%
[CONTOH]</t>
  </si>
  <si>
    <t>CrossCheck 57%, Indexed Document submitted to Telkom University 35%
[CONTOH]</t>
  </si>
  <si>
    <t>Indexed Document submitted to Telkom University 100%
[CONTOH]</t>
  </si>
  <si>
    <t>Bandung,                                            2018</t>
  </si>
  <si>
    <t>Mengetahui,</t>
  </si>
  <si>
    <t>Ketua Tim PAK Fakultas</t>
  </si>
  <si>
    <t>[Nama]</t>
  </si>
  <si>
    <t>[nip]</t>
  </si>
  <si>
    <t>1. Setiap Persentase lebih dari 5% dan / atau satu paragraf (non parafrase) sama persis WAJIB diberi keterangan dan apabila ditemukan lebih dari 1 Paragraf tanpa sitasi sesuai kewajaran/kepatutan penulisan karya ilmiah,karya tersebut tidak dapat (jangan) diusulkan untuk kenaikan  JAD
2.  Exclude hanya pada similarity antar Publisher dengan Repository, lalu beri keterangan pada kolom Keterangan Similarity
3. CrossRef jangan diexclude namun beri keterangan pada kolom Rincian dan Keterangan Similarity
4. Bila ditemukan similarity tinggi karena disitasi orang lain, beri keterangan pada rincian &amp; keterangan similarity beserta tahun terbit dan tahun disitasi (bila publish duluan, aman)</t>
  </si>
  <si>
    <t>SIMULASI REKAPITULASI</t>
  </si>
  <si>
    <t>JABATAN FUNGSIONAL DOSEN</t>
  </si>
  <si>
    <t>I.</t>
  </si>
  <si>
    <t xml:space="preserve"> KETERANGAN PERORANGAN</t>
  </si>
  <si>
    <t>NIP/NIRD/NIDN</t>
  </si>
  <si>
    <t>Nomor Serie Kartu Pegawai</t>
  </si>
  <si>
    <t>Pendidikan Tertinggi</t>
  </si>
  <si>
    <t>Pangkat/Golongan Ruang (TMT)</t>
  </si>
  <si>
    <t>Jabatan Fungsional (TMT)</t>
  </si>
  <si>
    <t>Masa Kerja</t>
  </si>
  <si>
    <t>Lama</t>
  </si>
  <si>
    <t>Baru</t>
  </si>
  <si>
    <t>II.</t>
  </si>
  <si>
    <t xml:space="preserve"> REKAPITULASI PENILAIAN</t>
  </si>
  <si>
    <t>UNSUR-UNSUR</t>
  </si>
  <si>
    <t>ANGKA KREDIT KUMULATIF (AKK)</t>
  </si>
  <si>
    <t>Akk Lama &amp; Lebihan</t>
  </si>
  <si>
    <t>AKK Target Minimum</t>
  </si>
  <si>
    <t>AKK Capaian</t>
  </si>
  <si>
    <t>AKK Capaian ( Lektor Kepala/Guru Besar)</t>
  </si>
  <si>
    <t>AKK
Lama</t>
  </si>
  <si>
    <t>AKK
LAMA (LEBIHAN)</t>
  </si>
  <si>
    <t>AKK
Hangus</t>
  </si>
  <si>
    <t>AKK 
Sisa</t>
  </si>
  <si>
    <t>Jumlah
AKK Minimal</t>
  </si>
  <si>
    <t>Persen
Kriteria</t>
  </si>
  <si>
    <t>AKK
Capaian Baru</t>
  </si>
  <si>
    <t>Persen
Capaian</t>
  </si>
  <si>
    <t>Prediksi AKK</t>
  </si>
  <si>
    <t>(1)</t>
  </si>
  <si>
    <t>(2)</t>
  </si>
  <si>
    <t>(3)</t>
  </si>
  <si>
    <t>(4)</t>
  </si>
  <si>
    <t>(5)</t>
  </si>
  <si>
    <t>(6)</t>
  </si>
  <si>
    <t>(7)</t>
  </si>
  <si>
    <t>(8)</t>
  </si>
  <si>
    <t>(9)</t>
  </si>
  <si>
    <t>(10)</t>
  </si>
  <si>
    <t>(11)</t>
  </si>
  <si>
    <t>(12)</t>
  </si>
  <si>
    <t>A.</t>
  </si>
  <si>
    <t>Pendidikan/Sekolah</t>
  </si>
  <si>
    <t>Melaksanakan Pendidikan</t>
  </si>
  <si>
    <t>Melaksanakan Penelitian</t>
  </si>
  <si>
    <t>Melaksanakan Pengabdian kepada Masyarakat</t>
  </si>
  <si>
    <t>Melaksanakan Kegiatan Penunjang Tridharma</t>
  </si>
  <si>
    <t>Total</t>
  </si>
  <si>
    <t>B.</t>
  </si>
  <si>
    <t>AA(150)</t>
  </si>
  <si>
    <t>C.</t>
  </si>
  <si>
    <t>D.</t>
  </si>
  <si>
    <t>LEKTOR KEPALA (IV/a) 400</t>
  </si>
  <si>
    <t>Total AKK Capaian</t>
  </si>
  <si>
    <t>E.</t>
  </si>
  <si>
    <t>LEKTOR KEPALA (IV/b) 550</t>
  </si>
  <si>
    <t>F.</t>
  </si>
  <si>
    <t>LEKTOR KEPALA (IV/c) 700</t>
  </si>
  <si>
    <t>G.</t>
  </si>
  <si>
    <t>GURU BESAR (IV/d) 850</t>
  </si>
  <si>
    <t>H.</t>
  </si>
  <si>
    <t>GURU BESAR (IV/e) 1050</t>
  </si>
  <si>
    <t>SALINAN</t>
  </si>
  <si>
    <t>LAMPIRAN III</t>
  </si>
  <si>
    <t xml:space="preserve">PERATURAN BERSAMA </t>
  </si>
  <si>
    <t>MENTERI PENDIDIKAN DAN KEBUDAYAAN DAN</t>
  </si>
  <si>
    <t>KEPALA BADAN KEPEGAWAIAN NEGARA</t>
  </si>
  <si>
    <t xml:space="preserve">NOMOR : 4/VIII/PB/2014        </t>
  </si>
  <si>
    <t xml:space="preserve">NOMOR : 24 TAHUN 2014 </t>
  </si>
  <si>
    <t>TENTANG</t>
  </si>
  <si>
    <t xml:space="preserve">KETENTUAN PELAKSANAAN PERATURAN MENTERI PENDAYAGUNAAN APARATUR NEGARA DAN REFORMASI BIROKRASI  NOMOR 17 TAHUN 2013  TENTANG JABATAN FUNGSIONAL DOSEN DAN ANGKA KREDITNYA, SEBAGAIMANA TELAH DIUBAH DENGAN PERATURAN MENTERI PENDAYAGUNAAN APARATUR NEGARA DAN REFORMASI BIROKRASI  REPUBLIK INDONESIA NOMOR 46 TAHUN 2013   </t>
  </si>
  <si>
    <t>INSTANSI : ………………………………………</t>
  </si>
  <si>
    <t>Bulan ……… s/d  Bulan……… Tahun…………</t>
  </si>
  <si>
    <t>KETERANGAN PERORANGAN</t>
  </si>
  <si>
    <t xml:space="preserve"> Nama</t>
  </si>
  <si>
    <t xml:space="preserve"> N I P</t>
  </si>
  <si>
    <t xml:space="preserve"> Nomor Seri Kartu Pegawai</t>
  </si>
  <si>
    <t xml:space="preserve"> Tempat dan Tanggal Lahir</t>
  </si>
  <si>
    <t xml:space="preserve"> Jenis Kelamin</t>
  </si>
  <si>
    <t xml:space="preserve"> Pendidikan yang diperhitungkan angka kreditnya</t>
  </si>
  <si>
    <t xml:space="preserve"> Jabatan Akademik Dosen/TMT</t>
  </si>
  <si>
    <t>8.</t>
  </si>
  <si>
    <t xml:space="preserve"> Masa kerja golongan lama</t>
  </si>
  <si>
    <t>9.</t>
  </si>
  <si>
    <t xml:space="preserve"> Masa kerja golongan baru</t>
  </si>
  <si>
    <t>10.</t>
  </si>
  <si>
    <t xml:space="preserve"> Unit Kerja </t>
  </si>
  <si>
    <t>PENDIDIKAN</t>
  </si>
  <si>
    <t>Pendidikan formal</t>
  </si>
  <si>
    <t>Doktor (S3)</t>
  </si>
  <si>
    <t>Pendidikan dan pelatihan Prajabatan</t>
  </si>
  <si>
    <t>Pendidikan dan pelatihan Prajabatan golongan III</t>
  </si>
  <si>
    <t>PELAKSANAAN PENDIDIKAN</t>
  </si>
  <si>
    <t>Melaksanakan perkulihan/ tutorial dan membimbing, menguji serta menyelenggarakan pendidikan di laboratorium, praktek keguruan bengkel/ studio/kebun percobaan/teknologi pengajaran dan praktek lapangan</t>
  </si>
  <si>
    <t>Melaksanakan perkulihan/tutorial dan membimbing, menguji serta menyelenggarakan pendidikan di Laboratorium, Praktik Keguruan Bengkel/Studio/ Kebun pada Fakultas/Sekolah Tinggi/Akademi/ Politeknik sendiri, pada fakultas lain dalam lingkungan Universitas/Institut sendiri, maupun di luar perguruan tinggi sendiri secara melembaga paling banyak 12 sks per semester</t>
  </si>
  <si>
    <t>Membimbing mahasiswa seminar</t>
  </si>
  <si>
    <t xml:space="preserve">Membing kuliah kerja nyata, pratek kerja nyata, praktek kerja lapangan </t>
  </si>
  <si>
    <t xml:space="preserve">Membimbing mahasiswa kuliah kerja nyata, pratek kerja nyata, praktek kerja lapangan </t>
  </si>
  <si>
    <t>Membimbing dan ikut membimbing dalam menghasilkan disertasi, thesis, skripsi dan laporan akhir studi</t>
  </si>
  <si>
    <t xml:space="preserve">Pembimbing utama </t>
  </si>
  <si>
    <t>Laporan akhir</t>
  </si>
  <si>
    <t>Pembimbing pendamping/pembantu</t>
  </si>
  <si>
    <t>Bertugas sebagai penguji pada ujian akhir</t>
  </si>
  <si>
    <t>Ketua penguji</t>
  </si>
  <si>
    <t>Anggota penguji</t>
  </si>
  <si>
    <t>Melakukan pembinaan kegiatan mahasiswa di bidang Akademik dan kemahasiswaan</t>
  </si>
  <si>
    <t>Melakukan kegiatan pengembangan program kuliah</t>
  </si>
  <si>
    <t>Buku ajar</t>
  </si>
  <si>
    <t xml:space="preserve">Diktat, modul, petunjuk praktikum, model, alat bantu, audio visual, naskah tutorial </t>
  </si>
  <si>
    <t>Menyampaikan orasi ilmiah</t>
  </si>
  <si>
    <t xml:space="preserve">Melakukan kegiatan orasi ilmiah pada perguruan tinggi tiap tahun </t>
  </si>
  <si>
    <t>Pembantu rektor/dekan/direktur program pasca sarjana</t>
  </si>
  <si>
    <t>Ketua sekolah tinggi/pembantu dekan/asisten direktur program pasca sarjana/direktur politeknik</t>
  </si>
  <si>
    <t xml:space="preserve">Pembantu ketua sekolah tinggi/pembantu direktur politeknik </t>
  </si>
  <si>
    <t>Direktur akademi</t>
  </si>
  <si>
    <t>Pembantu direktur akademi/ketua jurusan/bagian pada Universitas/institut/sekolah tinggi</t>
  </si>
  <si>
    <t>Ketua jurusan pada politeknik/akademi/sekretaris jurusan/bagian pada universitas/institut/sekolah tinggi</t>
  </si>
  <si>
    <t>Sekretaris jurusan pada politeknik/akademik dan kepala laboratorium universitas/institut/sekolah tinggi/politeknik/akademi</t>
  </si>
  <si>
    <t>Membimbing Akademik Dosen yang lebih rendah jabatannya</t>
  </si>
  <si>
    <t>Pembimbing pencangkokan</t>
  </si>
  <si>
    <t>Melaksanakan kegiatan Detasering dan pencangkokan Akademik Dosen</t>
  </si>
  <si>
    <t>Lamanya lebih dari 960 jam</t>
  </si>
  <si>
    <t>Lamanya 641-960 jam</t>
  </si>
  <si>
    <t>Lamanya 481-640 jam</t>
  </si>
  <si>
    <t>Lamanya 161-480 jam</t>
  </si>
  <si>
    <t>Lamanya 81-160 jam</t>
  </si>
  <si>
    <t>Lamanya 31-80 jam</t>
  </si>
  <si>
    <t>Lamanya 10-30 jam</t>
  </si>
  <si>
    <t xml:space="preserve">Menghasilkan karya ilmiah </t>
  </si>
  <si>
    <t>Hasil penelitian atau pemikiran yang dipublikasikan</t>
  </si>
  <si>
    <t>Dalam bentuk:</t>
  </si>
  <si>
    <t>Buku referensi</t>
  </si>
  <si>
    <t>Jurnal ilmiah:</t>
  </si>
  <si>
    <t>Nasional terakreditasi</t>
  </si>
  <si>
    <t>Tidak terakreditasi</t>
  </si>
  <si>
    <t>Disajikan tingkat:</t>
  </si>
  <si>
    <t>Poster tingkat:</t>
  </si>
  <si>
    <t>Dalam koran/majalah populer/umum</t>
  </si>
  <si>
    <t>Hasil penelitian atau hasil pemikiran yang tidak di publikasikan (tersimpan di perpustakaan perguruan tinggi)</t>
  </si>
  <si>
    <t>Menerjemahkan / menyadur buku ilmiah</t>
  </si>
  <si>
    <t>Diterbitkan dan diedarkan secara nasional.</t>
  </si>
  <si>
    <t>Membuat rencana dan karya teknologi yang dipatenkan</t>
  </si>
  <si>
    <t xml:space="preserve">Membuat rancangan dan karya teknologi, rancangan dan karya seni monumental/seni pertunjukan/karya sastra </t>
  </si>
  <si>
    <t>Tingkat internasional</t>
  </si>
  <si>
    <t>Tingkat nasional</t>
  </si>
  <si>
    <t>Tingkat lokal</t>
  </si>
  <si>
    <t>Menduduki jabatan pimpinan pada lembaga pemerintahan/pejabat negara yang harus dibebaskan dari jabatan organiknya</t>
  </si>
  <si>
    <t>Melaksankan pengembangan hasil pendidikan dan penelitian</t>
  </si>
  <si>
    <t>Melaksanakan pengembangan hasil pendidikan dan penelitian yang dapat dimanfaatkan oleh masyarakat</t>
  </si>
  <si>
    <t>Memberi latihan/penyuluhan/penataran/ceramah pada masyarakat</t>
  </si>
  <si>
    <t>Terjadwal/terprogram</t>
  </si>
  <si>
    <t>Dalam satu semester atau lebih</t>
  </si>
  <si>
    <t>Kurang dari satu semester dan minimal satu bulan</t>
  </si>
  <si>
    <t>Memberi pelayanan kepada masyarakat atau kegiatan lain yang menunjang pelaksanaan tugas umum pemerintah dan pembangunan</t>
  </si>
  <si>
    <t>Berdasarkan bidang keahlian</t>
  </si>
  <si>
    <t>Berdasarkan penugasan lembaga perguruan tinggi</t>
  </si>
  <si>
    <t>Berdasarkan fungsi/jabatan</t>
  </si>
  <si>
    <t xml:space="preserve">Membuat/menulis karya pengabdian </t>
  </si>
  <si>
    <t>Membuat/menulis karya pengabdian pada masyarakat yang tidak dipublikasikan</t>
  </si>
  <si>
    <t>Menjadi anggota dalam suatu Panitia/Badan pada perguruan tinggi</t>
  </si>
  <si>
    <t>Sebagai ketua/wakil ketua merangkap anggota</t>
  </si>
  <si>
    <t>Sebagai anggota</t>
  </si>
  <si>
    <t>Menjadi anggota panitia/badan pada lembaga pemerintah</t>
  </si>
  <si>
    <t>Panitia pusat</t>
  </si>
  <si>
    <t>Panitia daerah</t>
  </si>
  <si>
    <t>Menjadi anggota organisasi profesi</t>
  </si>
  <si>
    <t>Anggota atas permintaan</t>
  </si>
  <si>
    <t>Mewakili perguruan tinggi/lembaga pemerintah</t>
  </si>
  <si>
    <t>Mewakili perguruan tinggi/lembaga pemerintah duduk dalam panitia antar lembaga</t>
  </si>
  <si>
    <t>Menjadi anggota delegasi nasional ke pertemuan internasional</t>
  </si>
  <si>
    <t>Sebagai ketua delegasi</t>
  </si>
  <si>
    <t>Sebagai anggota delegasi</t>
  </si>
  <si>
    <t>Tingkat internasional/nasional/regional sebagai :</t>
  </si>
  <si>
    <t>Di lingkungan perguruan tinggi sebagai :</t>
  </si>
  <si>
    <t>Mendapat penghargaan/ tanda jasa</t>
  </si>
  <si>
    <t>Penghargaan/tanda jasa Satya Lancana Karya Satya</t>
  </si>
  <si>
    <t>30 (tiga puluh) tahun</t>
  </si>
  <si>
    <t>20 (dua puluh) tahun</t>
  </si>
  <si>
    <t>10 (sepuluh) tahun</t>
  </si>
  <si>
    <t>Memperoleh penghargaan lainnya</t>
  </si>
  <si>
    <t>Tingkat provinsi</t>
  </si>
  <si>
    <t>Menulis buku pelajaran SLTA ke bawah yang diterbitkan dan diedarkan secara nasional</t>
  </si>
  <si>
    <t>Buku SLTA atau setingkat</t>
  </si>
  <si>
    <t>Buku SLTP atau setingkat</t>
  </si>
  <si>
    <t>Buku SD atau setingkat</t>
  </si>
  <si>
    <t>Mempunyai prestasi di bidang olahraga/humaniora</t>
  </si>
  <si>
    <t>Tingkat daerah/lokal</t>
  </si>
  <si>
    <t xml:space="preserve">Keanggotaan dalam tim penilaian </t>
  </si>
  <si>
    <t>Menjadi anggota tim penilaian  jabatan Akademik Dosen</t>
  </si>
  <si>
    <t>Surat pernyataan telah melaksanakan kegiatan pendidikan</t>
  </si>
  <si>
    <t>Surat pernyataan telah melakukan kegiatan pengajaran</t>
  </si>
  <si>
    <t>Surat pernyataan telah melakukan kegiatan pengabdian kepada masyarakat</t>
  </si>
  <si>
    <t xml:space="preserve">Surat pernyataan melakukan kegiatan penunjang </t>
  </si>
  <si>
    <t>…………………….,…………………………</t>
  </si>
  <si>
    <t>NIP.</t>
  </si>
  <si>
    <t>……</t>
  </si>
  <si>
    <t>dan seterusnya</t>
  </si>
  <si>
    <t>( jabatan )</t>
  </si>
  <si>
    <t>(nama  pejabat  pengusul )</t>
  </si>
  <si>
    <t xml:space="preserve">NIP. </t>
  </si>
  <si>
    <t>( Nama Penilai  I  )</t>
  </si>
  <si>
    <t>(Nama Penilai  II )</t>
  </si>
  <si>
    <t xml:space="preserve">Ketua  Tim Penilai, </t>
  </si>
  <si>
    <t xml:space="preserve"> ( N a m a  )</t>
  </si>
  <si>
    <t>NIP .</t>
  </si>
  <si>
    <t>Lektor</t>
  </si>
  <si>
    <t>4 Penulis (ke-1)</t>
  </si>
  <si>
    <t>Akumulasi</t>
  </si>
  <si>
    <t>HPS</t>
  </si>
  <si>
    <t>Sarjana (S1)</t>
  </si>
  <si>
    <t>Magister (S2) linier</t>
  </si>
  <si>
    <t>Doktor (S3) linier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</si>
</sst>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_(* #,##0.000_);_(* \(#,##0.000\);_(* &quot;-&quot;???_);_(@_)"/>
    <numFmt numFmtId="166" formatCode="0_)"/>
    <numFmt numFmtId="167" formatCode="[$-409]d\-mmm\-yy"/>
    <numFmt numFmtId="168" formatCode="0.0%"/>
  </numFmts>
  <fonts count="42" x14ac:knownFonts="1">
    <font>
      <sz val="11"/>
      <color theme="1"/>
      <name val="Arial"/>
      <scheme val="minor"/>
    </font>
    <font>
      <sz val="11"/>
      <color theme="1"/>
      <name val="Calibri"/>
      <family val="2"/>
    </font>
    <font>
      <b/>
      <sz val="12"/>
      <color theme="1"/>
      <name val="Calibri"/>
      <family val="2"/>
    </font>
    <font>
      <b/>
      <sz val="12"/>
      <color theme="1"/>
      <name val="Bookman Old Style"/>
      <family val="1"/>
    </font>
    <font>
      <b/>
      <sz val="11"/>
      <color theme="1"/>
      <name val="Calibri"/>
      <family val="2"/>
    </font>
    <font>
      <sz val="11"/>
      <name val="Arial"/>
      <family val="2"/>
    </font>
    <font>
      <sz val="9"/>
      <color theme="1"/>
      <name val="Calibri"/>
      <family val="2"/>
    </font>
    <font>
      <b/>
      <sz val="11"/>
      <color theme="1"/>
      <name val="Arial"/>
      <family val="2"/>
    </font>
    <font>
      <sz val="11"/>
      <color theme="1"/>
      <name val="Arial"/>
      <family val="2"/>
    </font>
    <font>
      <b/>
      <sz val="11"/>
      <color rgb="FF000000"/>
      <name val="Arial"/>
      <family val="2"/>
    </font>
    <font>
      <sz val="11"/>
      <color rgb="FF000000"/>
      <name val="Arial"/>
      <family val="2"/>
    </font>
    <font>
      <sz val="12"/>
      <color rgb="FF000000"/>
      <name val="Arial"/>
      <family val="2"/>
    </font>
    <font>
      <sz val="11"/>
      <color rgb="FFFF0000"/>
      <name val="Arial"/>
      <family val="2"/>
    </font>
    <font>
      <sz val="11"/>
      <color theme="1"/>
      <name val="Arial"/>
      <family val="2"/>
      <scheme val="minor"/>
    </font>
    <font>
      <b/>
      <i/>
      <u/>
      <sz val="11"/>
      <color rgb="FF000000"/>
      <name val="Arial"/>
      <family val="2"/>
    </font>
    <font>
      <b/>
      <sz val="9"/>
      <color theme="1"/>
      <name val="Calibri"/>
      <family val="2"/>
    </font>
    <font>
      <sz val="10"/>
      <color rgb="FF595959"/>
      <name val="Calibri"/>
      <family val="2"/>
    </font>
    <font>
      <sz val="10"/>
      <color theme="1"/>
      <name val="Calibri"/>
      <family val="2"/>
    </font>
    <font>
      <b/>
      <sz val="10"/>
      <color theme="1"/>
      <name val="Calibri"/>
      <family val="2"/>
    </font>
    <font>
      <sz val="10"/>
      <color theme="0"/>
      <name val="Calibri"/>
      <family val="2"/>
    </font>
    <font>
      <i/>
      <sz val="10"/>
      <color theme="1"/>
      <name val="Calibri"/>
      <family val="2"/>
    </font>
    <font>
      <sz val="8"/>
      <color theme="1"/>
      <name val="Calibri"/>
      <family val="2"/>
    </font>
    <font>
      <sz val="11"/>
      <color rgb="FF595959"/>
      <name val="Calibri"/>
      <family val="2"/>
    </font>
    <font>
      <b/>
      <sz val="12"/>
      <color theme="0"/>
      <name val="Calibri"/>
      <family val="2"/>
    </font>
    <font>
      <sz val="11"/>
      <color rgb="FFFF0000"/>
      <name val="Calibri"/>
      <family val="2"/>
    </font>
    <font>
      <sz val="11"/>
      <color rgb="FF000000"/>
      <name val="Calibri"/>
      <family val="2"/>
    </font>
    <font>
      <b/>
      <sz val="11"/>
      <color rgb="FF000000"/>
      <name val="Calibri"/>
      <family val="2"/>
    </font>
    <font>
      <u/>
      <sz val="11"/>
      <color theme="10"/>
      <name val="Calibri"/>
      <family val="2"/>
    </font>
    <font>
      <b/>
      <sz val="11"/>
      <color rgb="FFFF0000"/>
      <name val="Calibri"/>
      <family val="2"/>
    </font>
    <font>
      <sz val="11"/>
      <color theme="1"/>
      <name val="Bookman Old Style"/>
      <family val="1"/>
    </font>
    <font>
      <sz val="11"/>
      <color rgb="FF000000"/>
      <name val="Bookman Old Style"/>
      <family val="1"/>
    </font>
    <font>
      <b/>
      <sz val="11"/>
      <color rgb="FF000000"/>
      <name val="Bookman Old Style"/>
      <family val="1"/>
    </font>
    <font>
      <b/>
      <sz val="11"/>
      <color theme="1"/>
      <name val="Bookman Old Style"/>
      <family val="1"/>
    </font>
    <font>
      <sz val="12"/>
      <color rgb="FF000000"/>
      <name val="Bookman Old Style"/>
      <family val="1"/>
    </font>
    <font>
      <sz val="11"/>
      <color rgb="FFFF0000"/>
      <name val="Bookman Old Style"/>
      <family val="1"/>
    </font>
    <font>
      <b/>
      <i/>
      <u/>
      <sz val="11"/>
      <color rgb="FF000000"/>
      <name val="Bookman Old Style"/>
      <family val="1"/>
    </font>
    <font>
      <sz val="10"/>
      <color rgb="FF000000"/>
      <name val="Calibri"/>
      <family val="2"/>
    </font>
    <font>
      <u/>
      <sz val="11"/>
      <color theme="10"/>
      <name val="Arial"/>
      <family val="2"/>
      <scheme val="minor"/>
    </font>
    <font>
      <u/>
      <sz val="11"/>
      <color theme="10"/>
      <name val="Arial"/>
      <family val="2"/>
      <scheme val="minor"/>
    </font>
    <font>
      <sz val="11"/>
      <color rgb="FF000000"/>
      <name val="Calibri"/>
      <family val="2"/>
    </font>
    <font>
      <u/>
      <sz val="11"/>
      <color rgb="FF0563C1"/>
      <name val="Calibri"/>
      <family val="2"/>
    </font>
    <font>
      <u/>
      <sz val="11"/>
      <color rgb="FF0000FF"/>
      <name val="Calibri"/>
      <family val="2"/>
    </font>
  </fonts>
  <fills count="15">
    <fill>
      <patternFill patternType="none"/>
    </fill>
    <fill>
      <patternFill patternType="gray125"/>
    </fill>
    <fill>
      <patternFill patternType="solid">
        <fgColor rgb="FFF2DBDB"/>
        <bgColor rgb="FFF2DBDB"/>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0000"/>
        <bgColor rgb="FFFF0000"/>
      </patternFill>
    </fill>
    <fill>
      <patternFill patternType="solid">
        <fgColor rgb="FFFFFFFF"/>
        <bgColor rgb="FFFFFFFF"/>
      </patternFill>
    </fill>
    <fill>
      <patternFill patternType="solid">
        <fgColor rgb="FFD8D8D8"/>
        <bgColor rgb="FFD8D8D8"/>
      </patternFill>
    </fill>
    <fill>
      <patternFill patternType="solid">
        <fgColor rgb="FFF2F2F2"/>
        <bgColor rgb="FFF2F2F2"/>
      </patternFill>
    </fill>
    <fill>
      <patternFill patternType="solid">
        <fgColor rgb="FFB2A1C7"/>
        <bgColor rgb="FFB2A1C7"/>
      </patternFill>
    </fill>
    <fill>
      <patternFill patternType="solid">
        <fgColor rgb="FF92CDDC"/>
        <bgColor rgb="FF92CDDC"/>
      </patternFill>
    </fill>
    <fill>
      <patternFill patternType="solid">
        <fgColor rgb="FFB6DDE8"/>
        <bgColor rgb="FFB6DDE8"/>
      </patternFill>
    </fill>
    <fill>
      <patternFill patternType="solid">
        <fgColor rgb="FFD6E3BC"/>
        <bgColor rgb="FFD6E3BC"/>
      </patternFill>
    </fill>
    <fill>
      <patternFill patternType="solid">
        <fgColor rgb="FF0C0C0C"/>
        <bgColor rgb="FF0C0C0C"/>
      </patternFill>
    </fill>
  </fills>
  <borders count="4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37" fillId="0" borderId="0" applyNumberFormat="0" applyFill="0" applyBorder="0" applyAlignment="0" applyProtection="0"/>
  </cellStyleXfs>
  <cellXfs count="794">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left" vertical="top"/>
    </xf>
    <xf numFmtId="0" fontId="1" fillId="0" borderId="0" xfId="0" applyFont="1" applyAlignment="1">
      <alignment wrapText="1"/>
    </xf>
    <xf numFmtId="0" fontId="2"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horizontal="left"/>
    </xf>
    <xf numFmtId="0" fontId="4"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vertical="center"/>
    </xf>
    <xf numFmtId="0" fontId="4" fillId="0" borderId="0" xfId="0" applyFont="1"/>
    <xf numFmtId="0" fontId="1" fillId="0" borderId="1" xfId="0" applyFont="1" applyBorder="1"/>
    <xf numFmtId="0" fontId="1" fillId="0" borderId="2" xfId="0" applyFont="1" applyBorder="1" applyAlignment="1">
      <alignment horizontal="center" vertical="center"/>
    </xf>
    <xf numFmtId="0" fontId="6" fillId="0" borderId="0" xfId="0" applyFont="1"/>
    <xf numFmtId="0" fontId="8" fillId="0" borderId="0" xfId="0" applyFont="1" applyAlignment="1">
      <alignment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center"/>
    </xf>
    <xf numFmtId="0" fontId="8" fillId="0" borderId="0" xfId="0" applyFont="1" applyAlignment="1">
      <alignment horizontal="center"/>
    </xf>
    <xf numFmtId="0" fontId="10" fillId="0" borderId="2" xfId="0" applyFont="1" applyBorder="1" applyAlignment="1">
      <alignment horizontal="center" vertical="center"/>
    </xf>
    <xf numFmtId="0" fontId="8" fillId="0" borderId="2" xfId="0" applyFont="1" applyBorder="1"/>
    <xf numFmtId="0" fontId="8" fillId="0" borderId="6" xfId="0" applyFont="1" applyBorder="1" applyAlignment="1">
      <alignment vertical="center" wrapText="1"/>
    </xf>
    <xf numFmtId="0" fontId="11" fillId="0" borderId="2" xfId="0" applyFont="1" applyBorder="1" applyAlignment="1">
      <alignment vertical="top"/>
    </xf>
    <xf numFmtId="0" fontId="12" fillId="7" borderId="7" xfId="0" applyFont="1" applyFill="1" applyBorder="1" applyAlignment="1">
      <alignment horizontal="center" vertical="top" wrapText="1"/>
    </xf>
    <xf numFmtId="0" fontId="10" fillId="7" borderId="2" xfId="0" applyFont="1" applyFill="1" applyBorder="1" applyAlignment="1">
      <alignment horizontal="center" vertical="center" wrapText="1"/>
    </xf>
    <xf numFmtId="0" fontId="13" fillId="0" borderId="0" xfId="0" applyFont="1"/>
    <xf numFmtId="0" fontId="10" fillId="7" borderId="7" xfId="0" applyFont="1" applyFill="1" applyBorder="1" applyAlignment="1">
      <alignment horizontal="center" vertical="top" wrapText="1"/>
    </xf>
    <xf numFmtId="0" fontId="10" fillId="7" borderId="7" xfId="0" applyFont="1" applyFill="1" applyBorder="1" applyAlignment="1">
      <alignment vertical="center" wrapText="1"/>
    </xf>
    <xf numFmtId="0" fontId="10" fillId="7" borderId="8" xfId="0" applyFont="1" applyFill="1" applyBorder="1" applyAlignment="1">
      <alignment vertical="center" wrapText="1"/>
    </xf>
    <xf numFmtId="0" fontId="10" fillId="7" borderId="2" xfId="0" applyFont="1" applyFill="1" applyBorder="1" applyAlignment="1">
      <alignment vertical="center" wrapText="1"/>
    </xf>
    <xf numFmtId="0" fontId="8" fillId="0" borderId="2" xfId="0" applyFont="1" applyBorder="1" applyAlignment="1">
      <alignment vertical="center"/>
    </xf>
    <xf numFmtId="0" fontId="10" fillId="7" borderId="7" xfId="0" applyFont="1" applyFill="1" applyBorder="1" applyAlignment="1">
      <alignment horizontal="center" vertical="top"/>
    </xf>
    <xf numFmtId="0" fontId="10" fillId="7" borderId="8" xfId="0" applyFont="1" applyFill="1" applyBorder="1" applyAlignment="1">
      <alignment horizontal="center" vertical="center" wrapText="1"/>
    </xf>
    <xf numFmtId="0" fontId="8" fillId="0" borderId="2" xfId="0" applyFont="1" applyBorder="1" applyAlignment="1">
      <alignment horizontal="center" vertical="top" wrapText="1"/>
    </xf>
    <xf numFmtId="0" fontId="10" fillId="7" borderId="7" xfId="0" applyFont="1" applyFill="1" applyBorder="1" applyAlignment="1">
      <alignment horizontal="center" vertical="center" wrapText="1"/>
    </xf>
    <xf numFmtId="0" fontId="8" fillId="0" borderId="0" xfId="0" applyFont="1" applyAlignment="1">
      <alignment horizontal="left"/>
    </xf>
    <xf numFmtId="0" fontId="10" fillId="7" borderId="7" xfId="0" applyFont="1" applyFill="1" applyBorder="1" applyAlignment="1">
      <alignment horizontal="left" vertical="top" wrapText="1"/>
    </xf>
    <xf numFmtId="0" fontId="10" fillId="7" borderId="8" xfId="0" applyFont="1" applyFill="1" applyBorder="1" applyAlignment="1">
      <alignment horizontal="left" vertical="center" wrapText="1"/>
    </xf>
    <xf numFmtId="0" fontId="8" fillId="0" borderId="2" xfId="0" applyFont="1" applyBorder="1" applyAlignment="1">
      <alignment horizontal="left" vertical="center" wrapText="1"/>
    </xf>
    <xf numFmtId="0" fontId="10" fillId="0" borderId="2" xfId="0" applyFont="1" applyBorder="1" applyAlignment="1">
      <alignment horizontal="left" vertical="center"/>
    </xf>
    <xf numFmtId="0" fontId="8" fillId="0" borderId="2" xfId="0" applyFont="1" applyBorder="1" applyAlignment="1">
      <alignment horizontal="left"/>
    </xf>
    <xf numFmtId="0" fontId="8" fillId="7" borderId="9"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10" fillId="7" borderId="10" xfId="0" applyFont="1" applyFill="1" applyBorder="1" applyAlignment="1">
      <alignment horizontal="center" vertical="top" wrapText="1"/>
    </xf>
    <xf numFmtId="0" fontId="10" fillId="7" borderId="11" xfId="0" applyFont="1" applyFill="1" applyBorder="1" applyAlignment="1">
      <alignment horizontal="center" vertical="top" wrapText="1"/>
    </xf>
    <xf numFmtId="0" fontId="8" fillId="7" borderId="12" xfId="0" applyFont="1" applyFill="1" applyBorder="1" applyAlignment="1">
      <alignment horizontal="center" vertical="center" wrapText="1"/>
    </xf>
    <xf numFmtId="0" fontId="8" fillId="0" borderId="2" xfId="0" quotePrefix="1" applyFont="1" applyBorder="1" applyAlignment="1">
      <alignment horizontal="center" vertical="center"/>
    </xf>
    <xf numFmtId="2" fontId="10" fillId="0" borderId="2" xfId="0" applyNumberFormat="1" applyFont="1" applyBorder="1" applyAlignment="1">
      <alignment horizontal="center" vertical="center"/>
    </xf>
    <xf numFmtId="0" fontId="10" fillId="7" borderId="10" xfId="0" applyFont="1" applyFill="1" applyBorder="1" applyAlignment="1">
      <alignment horizontal="center" vertical="center" wrapText="1"/>
    </xf>
    <xf numFmtId="2" fontId="8" fillId="0" borderId="2" xfId="0" applyNumberFormat="1" applyFont="1" applyBorder="1" applyAlignment="1">
      <alignment horizontal="center" vertical="center" wrapText="1"/>
    </xf>
    <xf numFmtId="2" fontId="10" fillId="7" borderId="2" xfId="0" applyNumberFormat="1" applyFont="1" applyFill="1" applyBorder="1" applyAlignment="1">
      <alignment vertical="center" wrapText="1"/>
    </xf>
    <xf numFmtId="2" fontId="8" fillId="0" borderId="2" xfId="0" applyNumberFormat="1" applyFont="1" applyBorder="1" applyAlignment="1">
      <alignment vertical="center"/>
    </xf>
    <xf numFmtId="2" fontId="8" fillId="0" borderId="2" xfId="0" applyNumberFormat="1" applyFont="1" applyBorder="1" applyAlignment="1">
      <alignment horizontal="center" vertical="center"/>
    </xf>
    <xf numFmtId="0" fontId="8" fillId="0" borderId="2" xfId="0" applyFont="1" applyBorder="1" applyAlignment="1">
      <alignment horizontal="center" vertical="top"/>
    </xf>
    <xf numFmtId="1" fontId="8" fillId="0" borderId="2" xfId="0" applyNumberFormat="1" applyFont="1" applyBorder="1" applyAlignment="1">
      <alignment horizontal="center" vertical="center"/>
    </xf>
    <xf numFmtId="0" fontId="10" fillId="7" borderId="9" xfId="0" applyFont="1" applyFill="1" applyBorder="1" applyAlignment="1">
      <alignment horizontal="center" vertical="center" wrapText="1"/>
    </xf>
    <xf numFmtId="0" fontId="8" fillId="0" borderId="2" xfId="0" applyFont="1" applyBorder="1" applyAlignment="1">
      <alignment vertical="top"/>
    </xf>
    <xf numFmtId="2" fontId="7" fillId="8" borderId="2" xfId="0" applyNumberFormat="1" applyFont="1" applyFill="1" applyBorder="1" applyAlignment="1">
      <alignment horizontal="center" vertical="center" wrapText="1"/>
    </xf>
    <xf numFmtId="165" fontId="8" fillId="0" borderId="2" xfId="0" applyNumberFormat="1" applyFont="1" applyBorder="1" applyAlignment="1">
      <alignment horizontal="center" vertical="center" wrapText="1"/>
    </xf>
    <xf numFmtId="0" fontId="10" fillId="7" borderId="10" xfId="0" applyFont="1" applyFill="1" applyBorder="1" applyAlignment="1">
      <alignment horizontal="center" vertical="top"/>
    </xf>
    <xf numFmtId="165" fontId="8" fillId="0" borderId="2" xfId="0" applyNumberFormat="1" applyFont="1" applyBorder="1" applyAlignment="1">
      <alignment horizontal="center" vertical="center"/>
    </xf>
    <xf numFmtId="0" fontId="7" fillId="8" borderId="2" xfId="0" applyFont="1" applyFill="1" applyBorder="1" applyAlignment="1">
      <alignment horizontal="center" vertical="center"/>
    </xf>
    <xf numFmtId="2" fontId="7" fillId="8" borderId="2" xfId="0" applyNumberFormat="1" applyFont="1" applyFill="1" applyBorder="1" applyAlignment="1">
      <alignment horizontal="center" vertical="center"/>
    </xf>
    <xf numFmtId="0" fontId="8" fillId="0" borderId="0" xfId="0" applyFont="1" applyAlignment="1">
      <alignment horizontal="center" vertical="top"/>
    </xf>
    <xf numFmtId="0" fontId="10" fillId="0" borderId="0" xfId="0" applyFont="1"/>
    <xf numFmtId="0" fontId="10" fillId="0" borderId="0" xfId="0" applyFont="1" applyAlignment="1">
      <alignment horizontal="center" vertical="top"/>
    </xf>
    <xf numFmtId="0" fontId="8" fillId="0" borderId="0" xfId="0" applyFont="1" applyAlignment="1">
      <alignment horizontal="center" vertical="center"/>
    </xf>
    <xf numFmtId="0" fontId="8" fillId="0" borderId="0" xfId="0" applyFont="1" applyAlignment="1">
      <alignment horizontal="center" vertical="center" wrapText="1"/>
    </xf>
    <xf numFmtId="0" fontId="10" fillId="0" borderId="0" xfId="0" applyFont="1" applyAlignment="1">
      <alignment horizontal="center"/>
    </xf>
    <xf numFmtId="166" fontId="9" fillId="0" borderId="2" xfId="0" applyNumberFormat="1"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166" fontId="10" fillId="0" borderId="0" xfId="0" applyNumberFormat="1" applyFont="1" applyAlignment="1">
      <alignment vertical="center"/>
    </xf>
    <xf numFmtId="0" fontId="8" fillId="0" borderId="6" xfId="0" applyFont="1" applyBorder="1" applyAlignment="1">
      <alignment vertical="center"/>
    </xf>
    <xf numFmtId="166" fontId="10" fillId="0" borderId="0" xfId="0" applyNumberFormat="1" applyFont="1" applyAlignment="1">
      <alignment vertical="top"/>
    </xf>
    <xf numFmtId="0" fontId="8" fillId="0" borderId="0" xfId="0" applyFont="1" applyAlignment="1">
      <alignment vertical="top"/>
    </xf>
    <xf numFmtId="0" fontId="8" fillId="0" borderId="6" xfId="0" applyFont="1" applyBorder="1" applyAlignment="1">
      <alignment vertical="top"/>
    </xf>
    <xf numFmtId="166" fontId="10" fillId="0" borderId="0" xfId="0" applyNumberFormat="1" applyFont="1" applyAlignment="1">
      <alignment horizontal="left" vertical="center"/>
    </xf>
    <xf numFmtId="166" fontId="10" fillId="0" borderId="0" xfId="0" applyNumberFormat="1" applyFont="1" applyAlignment="1">
      <alignment horizontal="left" vertical="top"/>
    </xf>
    <xf numFmtId="166" fontId="10" fillId="0" borderId="1" xfId="0" applyNumberFormat="1" applyFont="1" applyBorder="1" applyAlignment="1">
      <alignment vertical="top"/>
    </xf>
    <xf numFmtId="166" fontId="10" fillId="0" borderId="1" xfId="0" applyNumberFormat="1" applyFont="1" applyBorder="1" applyAlignment="1">
      <alignment horizontal="left" vertical="top"/>
    </xf>
    <xf numFmtId="0" fontId="8" fillId="0" borderId="1" xfId="0" applyFont="1" applyBorder="1" applyAlignment="1">
      <alignment vertical="top"/>
    </xf>
    <xf numFmtId="0" fontId="8" fillId="0" borderId="1" xfId="0" applyFont="1" applyBorder="1" applyAlignment="1">
      <alignment horizontal="center" vertical="top"/>
    </xf>
    <xf numFmtId="0" fontId="8" fillId="0" borderId="3" xfId="0" applyFont="1" applyBorder="1" applyAlignment="1">
      <alignment vertical="top"/>
    </xf>
    <xf numFmtId="166" fontId="9" fillId="0" borderId="1" xfId="0" applyNumberFormat="1" applyFont="1" applyBorder="1" applyAlignment="1">
      <alignment horizontal="left" vertical="top"/>
    </xf>
    <xf numFmtId="166" fontId="9" fillId="0" borderId="1" xfId="0" applyNumberFormat="1" applyFont="1" applyBorder="1" applyAlignment="1">
      <alignment vertical="top"/>
    </xf>
    <xf numFmtId="0" fontId="7" fillId="0" borderId="1" xfId="0" applyFont="1" applyBorder="1" applyAlignment="1">
      <alignment vertical="top"/>
    </xf>
    <xf numFmtId="0" fontId="7" fillId="0" borderId="1" xfId="0" applyFont="1" applyBorder="1" applyAlignment="1">
      <alignment horizontal="center" vertical="top"/>
    </xf>
    <xf numFmtId="0" fontId="7" fillId="0" borderId="3" xfId="0" applyFont="1" applyBorder="1" applyAlignment="1">
      <alignment vertical="top"/>
    </xf>
    <xf numFmtId="0" fontId="7" fillId="0" borderId="0" xfId="0" applyFont="1" applyAlignment="1">
      <alignment vertical="top"/>
    </xf>
    <xf numFmtId="0" fontId="7" fillId="0" borderId="0" xfId="0" applyFont="1"/>
    <xf numFmtId="0" fontId="8" fillId="0" borderId="1" xfId="0" applyFont="1" applyBorder="1"/>
    <xf numFmtId="166" fontId="9" fillId="0" borderId="4" xfId="0" applyNumberFormat="1" applyFont="1" applyBorder="1" applyAlignment="1">
      <alignment horizontal="left" vertical="top"/>
    </xf>
    <xf numFmtId="0" fontId="8" fillId="0" borderId="6" xfId="0" applyFont="1" applyBorder="1" applyAlignment="1">
      <alignment horizontal="center" vertical="top"/>
    </xf>
    <xf numFmtId="0" fontId="1" fillId="0" borderId="2" xfId="0" applyFont="1" applyBorder="1" applyAlignment="1">
      <alignment horizontal="center" vertical="top" wrapText="1"/>
    </xf>
    <xf numFmtId="0" fontId="1" fillId="0" borderId="2" xfId="0" applyFont="1" applyBorder="1" applyAlignment="1">
      <alignment horizontal="left" wrapText="1"/>
    </xf>
    <xf numFmtId="0" fontId="1" fillId="0" borderId="2" xfId="0" applyFont="1" applyBorder="1" applyAlignment="1">
      <alignment horizontal="left" vertical="top" wrapText="1"/>
    </xf>
    <xf numFmtId="0" fontId="4"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4" fillId="0" borderId="2" xfId="0" applyFont="1" applyBorder="1" applyAlignment="1">
      <alignment horizontal="left"/>
    </xf>
    <xf numFmtId="0" fontId="16" fillId="0" borderId="0" xfId="0" applyFont="1" applyAlignment="1">
      <alignment horizontal="center" vertical="center" wrapText="1"/>
    </xf>
    <xf numFmtId="0" fontId="17" fillId="0" borderId="0" xfId="0" applyFont="1" applyAlignment="1">
      <alignment wrapText="1"/>
    </xf>
    <xf numFmtId="0" fontId="4" fillId="0" borderId="2" xfId="0" applyFont="1" applyBorder="1" applyAlignment="1">
      <alignment horizontal="right" vertical="top"/>
    </xf>
    <xf numFmtId="0" fontId="17" fillId="0" borderId="2" xfId="0" applyFont="1" applyBorder="1" applyAlignment="1">
      <alignment horizontal="right" vertical="top"/>
    </xf>
    <xf numFmtId="0" fontId="17" fillId="0" borderId="2" xfId="0" applyFont="1" applyBorder="1" applyAlignment="1">
      <alignment horizontal="center" vertical="center" wrapText="1"/>
    </xf>
    <xf numFmtId="0" fontId="4" fillId="0" borderId="2" xfId="0" applyFont="1" applyBorder="1" applyAlignment="1">
      <alignment horizontal="center" vertical="center"/>
    </xf>
    <xf numFmtId="0" fontId="17" fillId="0" borderId="0" xfId="0" applyFont="1" applyAlignment="1">
      <alignment horizontal="center" wrapText="1"/>
    </xf>
    <xf numFmtId="0" fontId="17" fillId="0" borderId="2" xfId="0" applyFont="1" applyBorder="1" applyAlignment="1">
      <alignment horizontal="right" vertical="center" wrapText="1"/>
    </xf>
    <xf numFmtId="0" fontId="19" fillId="0" borderId="0" xfId="0" applyFont="1" applyAlignment="1">
      <alignment horizontal="center" wrapText="1"/>
    </xf>
    <xf numFmtId="0" fontId="1" fillId="0" borderId="0" xfId="0" applyFont="1" applyAlignment="1">
      <alignment horizontal="center" wrapText="1"/>
    </xf>
    <xf numFmtId="0" fontId="17" fillId="0" borderId="0" xfId="0" applyFont="1" applyAlignment="1">
      <alignment horizontal="center" vertical="center" wrapText="1"/>
    </xf>
    <xf numFmtId="0" fontId="4" fillId="0" borderId="2" xfId="0" applyFont="1" applyBorder="1" applyAlignment="1">
      <alignment horizontal="center" wrapText="1"/>
    </xf>
    <xf numFmtId="0" fontId="18" fillId="0" borderId="2" xfId="0" applyFont="1" applyBorder="1" applyAlignment="1">
      <alignment horizontal="center" vertical="center" wrapText="1"/>
    </xf>
    <xf numFmtId="0" fontId="4" fillId="0" borderId="2" xfId="0" applyFont="1" applyBorder="1" applyAlignment="1">
      <alignment horizontal="right" vertical="center" wrapText="1"/>
    </xf>
    <xf numFmtId="0" fontId="17" fillId="0" borderId="0" xfId="0" applyFont="1"/>
    <xf numFmtId="0" fontId="17" fillId="0" borderId="0" xfId="0" applyFont="1" applyAlignment="1">
      <alignment horizontal="center" vertical="center"/>
    </xf>
    <xf numFmtId="0" fontId="1" fillId="0" borderId="0" xfId="0" applyFont="1" applyAlignment="1">
      <alignment horizontal="center" vertical="center"/>
    </xf>
    <xf numFmtId="0" fontId="17" fillId="4" borderId="14" xfId="0" applyFont="1" applyFill="1" applyBorder="1" applyAlignment="1">
      <alignment vertical="center" wrapText="1"/>
    </xf>
    <xf numFmtId="0" fontId="17" fillId="0" borderId="0" xfId="0" applyFont="1" applyAlignment="1">
      <alignment horizontal="center"/>
    </xf>
    <xf numFmtId="0" fontId="17" fillId="4" borderId="14" xfId="0" applyFont="1" applyFill="1" applyBorder="1" applyAlignment="1">
      <alignment horizontal="center" vertical="center" wrapText="1"/>
    </xf>
    <xf numFmtId="0" fontId="1" fillId="0" borderId="2" xfId="0" applyFont="1" applyBorder="1" applyAlignment="1">
      <alignment wrapText="1"/>
    </xf>
    <xf numFmtId="0" fontId="17" fillId="0" borderId="0" xfId="0" applyFont="1" applyAlignment="1">
      <alignment horizontal="left" wrapText="1"/>
    </xf>
    <xf numFmtId="0" fontId="1" fillId="0" borderId="2" xfId="0" applyFont="1" applyBorder="1" applyAlignment="1">
      <alignment horizontal="right" vertical="center" wrapText="1"/>
    </xf>
    <xf numFmtId="0" fontId="18" fillId="0" borderId="0" xfId="0" applyFont="1" applyAlignment="1">
      <alignment wrapText="1"/>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8" fillId="0" borderId="2" xfId="0" applyFont="1" applyBorder="1" applyAlignment="1">
      <alignment horizontal="right" vertical="center" wrapText="1"/>
    </xf>
    <xf numFmtId="0" fontId="20" fillId="0" borderId="0" xfId="0" applyFont="1"/>
    <xf numFmtId="0" fontId="1" fillId="0" borderId="0" xfId="0" applyFont="1" applyAlignment="1">
      <alignment horizontal="right"/>
    </xf>
    <xf numFmtId="15" fontId="1" fillId="0" borderId="0" xfId="0" applyNumberFormat="1" applyFont="1" applyAlignment="1">
      <alignment horizontal="left"/>
    </xf>
    <xf numFmtId="49" fontId="1" fillId="0" borderId="0" xfId="0" applyNumberFormat="1" applyFont="1" applyAlignment="1">
      <alignment wrapText="1"/>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vertical="top"/>
    </xf>
    <xf numFmtId="0" fontId="4" fillId="0" borderId="0" xfId="0" applyFont="1" applyAlignment="1">
      <alignment horizontal="left"/>
    </xf>
    <xf numFmtId="0" fontId="4" fillId="0" borderId="2" xfId="0" applyFont="1" applyBorder="1" applyAlignment="1">
      <alignment horizontal="right" vertical="top" wrapText="1"/>
    </xf>
    <xf numFmtId="0" fontId="16" fillId="0" borderId="0" xfId="0" applyFont="1" applyAlignment="1">
      <alignment horizontal="center" vertical="center"/>
    </xf>
    <xf numFmtId="0" fontId="16" fillId="0" borderId="0" xfId="0" applyFont="1" applyAlignment="1">
      <alignment horizontal="center" wrapText="1"/>
    </xf>
    <xf numFmtId="0" fontId="22" fillId="0" borderId="0" xfId="0" applyFont="1" applyAlignment="1">
      <alignment horizontal="center" wrapText="1"/>
    </xf>
    <xf numFmtId="0" fontId="4" fillId="11" borderId="8" xfId="0" applyFont="1" applyFill="1" applyBorder="1" applyAlignment="1">
      <alignment vertical="center"/>
    </xf>
    <xf numFmtId="0" fontId="4" fillId="11" borderId="15" xfId="0" applyFont="1" applyFill="1" applyBorder="1" applyAlignment="1">
      <alignment vertical="center"/>
    </xf>
    <xf numFmtId="0" fontId="1" fillId="0" borderId="0" xfId="0" applyFont="1" applyAlignment="1">
      <alignment horizontal="center" vertical="center" wrapText="1"/>
    </xf>
    <xf numFmtId="2" fontId="2" fillId="0" borderId="2" xfId="0" applyNumberFormat="1" applyFont="1" applyBorder="1" applyAlignment="1">
      <alignment horizontal="center" vertical="center"/>
    </xf>
    <xf numFmtId="0" fontId="17" fillId="0" borderId="3" xfId="0" applyFont="1" applyBorder="1" applyAlignment="1">
      <alignment horizontal="center" vertical="center"/>
    </xf>
    <xf numFmtId="0" fontId="17" fillId="0" borderId="0" xfId="0" applyFont="1" applyAlignment="1">
      <alignment horizontal="left" vertical="center"/>
    </xf>
    <xf numFmtId="0" fontId="17" fillId="0" borderId="2" xfId="0" applyFont="1" applyBorder="1" applyAlignment="1">
      <alignment horizontal="center" vertical="center"/>
    </xf>
    <xf numFmtId="0" fontId="17" fillId="0" borderId="0" xfId="0" applyFont="1" applyAlignment="1">
      <alignment horizontal="left" vertical="center" wrapText="1"/>
    </xf>
    <xf numFmtId="2" fontId="4" fillId="0" borderId="2" xfId="0" applyNumberFormat="1" applyFont="1" applyBorder="1" applyAlignment="1">
      <alignment vertical="center" wrapText="1"/>
    </xf>
    <xf numFmtId="2" fontId="23" fillId="0" borderId="2" xfId="0" applyNumberFormat="1" applyFont="1" applyBorder="1" applyAlignment="1">
      <alignment horizontal="center" vertical="center"/>
    </xf>
    <xf numFmtId="0" fontId="24" fillId="0" borderId="0" xfId="0" applyFont="1" applyAlignment="1">
      <alignment horizontal="center" vertical="center" wrapText="1"/>
    </xf>
    <xf numFmtId="49" fontId="1" fillId="0" borderId="0" xfId="0" applyNumberFormat="1" applyFont="1" applyAlignment="1">
      <alignment horizontal="center" wrapText="1"/>
    </xf>
    <xf numFmtId="2" fontId="4" fillId="0" borderId="0" xfId="0" applyNumberFormat="1" applyFont="1"/>
    <xf numFmtId="2" fontId="1" fillId="0" borderId="0" xfId="0" applyNumberFormat="1" applyFont="1"/>
    <xf numFmtId="0" fontId="18" fillId="0" borderId="2" xfId="0" applyFont="1" applyBorder="1" applyAlignment="1">
      <alignment horizontal="center" vertical="center"/>
    </xf>
    <xf numFmtId="0" fontId="24" fillId="0" borderId="0" xfId="0" applyFont="1" applyAlignment="1">
      <alignment wrapText="1"/>
    </xf>
    <xf numFmtId="0" fontId="6" fillId="0" borderId="0" xfId="0" applyFont="1" applyAlignment="1">
      <alignment horizontal="left" vertical="top"/>
    </xf>
    <xf numFmtId="0" fontId="18" fillId="0" borderId="4" xfId="0" applyFont="1" applyBorder="1" applyAlignment="1">
      <alignment horizontal="right" vertical="center" wrapText="1"/>
    </xf>
    <xf numFmtId="0" fontId="4" fillId="0" borderId="4"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left" vertical="center"/>
    </xf>
    <xf numFmtId="14" fontId="1" fillId="0" borderId="0" xfId="0" applyNumberFormat="1" applyFont="1" applyAlignment="1">
      <alignment horizontal="center"/>
    </xf>
    <xf numFmtId="0" fontId="1" fillId="0" borderId="0" xfId="0" applyFont="1" applyAlignment="1">
      <alignment vertical="center"/>
    </xf>
    <xf numFmtId="0" fontId="4" fillId="0" borderId="2" xfId="0" applyFont="1" applyBorder="1" applyAlignment="1">
      <alignment vertical="center" wrapText="1"/>
    </xf>
    <xf numFmtId="2" fontId="17" fillId="12" borderId="15" xfId="0" applyNumberFormat="1" applyFont="1" applyFill="1" applyBorder="1" applyAlignment="1">
      <alignment horizontal="center" vertical="center"/>
    </xf>
    <xf numFmtId="0" fontId="17" fillId="0" borderId="1" xfId="0" applyFont="1" applyBorder="1" applyAlignment="1">
      <alignment horizontal="center" vertical="center"/>
    </xf>
    <xf numFmtId="0" fontId="25" fillId="0" borderId="0" xfId="0" applyFont="1"/>
    <xf numFmtId="0" fontId="25" fillId="0" borderId="0" xfId="0" applyFont="1" applyAlignment="1">
      <alignment horizontal="center" vertical="center"/>
    </xf>
    <xf numFmtId="0" fontId="26" fillId="0" borderId="2" xfId="0" applyFont="1" applyBorder="1" applyAlignment="1">
      <alignment horizontal="center" vertical="center"/>
    </xf>
    <xf numFmtId="0" fontId="26" fillId="0" borderId="2" xfId="0" applyFont="1" applyBorder="1" applyAlignment="1">
      <alignment horizontal="center" vertical="center" wrapText="1"/>
    </xf>
    <xf numFmtId="0" fontId="18" fillId="4" borderId="11" xfId="0" applyFont="1" applyFill="1" applyBorder="1" applyAlignment="1">
      <alignment horizontal="center" vertical="center" wrapText="1"/>
    </xf>
    <xf numFmtId="0" fontId="4" fillId="4" borderId="11" xfId="0" applyFont="1" applyFill="1" applyBorder="1" applyAlignment="1">
      <alignment horizontal="left" vertical="center" wrapText="1"/>
    </xf>
    <xf numFmtId="0" fontId="4" fillId="4" borderId="11" xfId="0" applyFont="1" applyFill="1" applyBorder="1" applyAlignment="1">
      <alignment horizontal="center" vertical="center" wrapText="1"/>
    </xf>
    <xf numFmtId="0" fontId="25" fillId="0" borderId="2" xfId="0" applyFont="1" applyBorder="1" applyAlignment="1">
      <alignment horizontal="center" vertical="center"/>
    </xf>
    <xf numFmtId="0" fontId="25" fillId="0" borderId="2" xfId="0" applyFont="1" applyBorder="1" applyAlignment="1">
      <alignment horizontal="center" vertical="center" wrapText="1"/>
    </xf>
    <xf numFmtId="0" fontId="27" fillId="0" borderId="2" xfId="0" applyFont="1" applyBorder="1" applyAlignment="1">
      <alignment wrapText="1"/>
    </xf>
    <xf numFmtId="0" fontId="1" fillId="0" borderId="2" xfId="0" applyFont="1" applyBorder="1" applyAlignment="1">
      <alignment horizontal="left" vertical="center" wrapText="1"/>
    </xf>
    <xf numFmtId="0" fontId="25" fillId="0" borderId="2" xfId="0" applyFont="1" applyBorder="1" applyAlignment="1">
      <alignment horizontal="left" vertical="center" wrapText="1"/>
    </xf>
    <xf numFmtId="49" fontId="25" fillId="0" borderId="2" xfId="0" applyNumberFormat="1" applyFont="1" applyBorder="1" applyAlignment="1">
      <alignment horizontal="center" vertical="center"/>
    </xf>
    <xf numFmtId="0" fontId="18" fillId="4" borderId="10" xfId="0" applyFont="1" applyFill="1" applyBorder="1" applyAlignment="1">
      <alignment horizontal="center" vertical="center" wrapText="1"/>
    </xf>
    <xf numFmtId="0" fontId="17" fillId="0" borderId="2" xfId="0" applyFont="1" applyBorder="1" applyAlignment="1">
      <alignment vertical="center" wrapText="1"/>
    </xf>
    <xf numFmtId="9" fontId="17" fillId="0" borderId="2" xfId="0" applyNumberFormat="1" applyFont="1" applyBorder="1" applyAlignment="1">
      <alignment horizontal="center" vertical="center" wrapText="1"/>
    </xf>
    <xf numFmtId="0" fontId="17" fillId="0" borderId="2" xfId="0" applyFont="1" applyBorder="1" applyAlignment="1">
      <alignment wrapText="1"/>
    </xf>
    <xf numFmtId="9" fontId="17" fillId="0" borderId="2" xfId="0" applyNumberFormat="1" applyFont="1" applyBorder="1" applyAlignment="1">
      <alignment wrapText="1"/>
    </xf>
    <xf numFmtId="0" fontId="6" fillId="0" borderId="0" xfId="0" applyFont="1" applyAlignment="1">
      <alignment wrapText="1"/>
    </xf>
    <xf numFmtId="0" fontId="4" fillId="0" borderId="0" xfId="0" applyFont="1" applyAlignment="1">
      <alignment horizontal="center"/>
    </xf>
    <xf numFmtId="0" fontId="1" fillId="0" borderId="2" xfId="0" applyFont="1" applyBorder="1" applyAlignment="1">
      <alignment horizontal="right"/>
    </xf>
    <xf numFmtId="0" fontId="1" fillId="0" borderId="2" xfId="0" applyFont="1" applyBorder="1" applyAlignment="1">
      <alignment horizontal="right" vertical="top" wrapText="1"/>
    </xf>
    <xf numFmtId="0" fontId="4" fillId="0" borderId="25" xfId="0" applyFont="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0" borderId="29" xfId="0" quotePrefix="1" applyFont="1" applyBorder="1" applyAlignment="1">
      <alignment horizontal="center"/>
    </xf>
    <xf numFmtId="0" fontId="4" fillId="0" borderId="30" xfId="0" quotePrefix="1" applyFont="1" applyBorder="1" applyAlignment="1">
      <alignment horizontal="center"/>
    </xf>
    <xf numFmtId="2" fontId="1" fillId="0" borderId="31" xfId="0" applyNumberFormat="1" applyFont="1" applyBorder="1" applyAlignment="1">
      <alignment horizontal="right" vertical="top"/>
    </xf>
    <xf numFmtId="2" fontId="1" fillId="0" borderId="2" xfId="0" applyNumberFormat="1" applyFont="1" applyBorder="1" applyAlignment="1">
      <alignment horizontal="center" vertical="top"/>
    </xf>
    <xf numFmtId="2" fontId="1" fillId="0" borderId="32" xfId="0" applyNumberFormat="1" applyFont="1" applyBorder="1" applyAlignment="1">
      <alignment horizontal="center" vertical="top"/>
    </xf>
    <xf numFmtId="2" fontId="1" fillId="0" borderId="32" xfId="0" applyNumberFormat="1" applyFont="1" applyBorder="1" applyAlignment="1">
      <alignment horizontal="right" vertical="top"/>
    </xf>
    <xf numFmtId="2" fontId="1" fillId="0" borderId="2" xfId="0" applyNumberFormat="1" applyFont="1" applyBorder="1" applyAlignment="1">
      <alignment vertical="top"/>
    </xf>
    <xf numFmtId="0" fontId="1" fillId="0" borderId="0" xfId="0" applyFont="1" applyAlignment="1">
      <alignment vertical="top"/>
    </xf>
    <xf numFmtId="2" fontId="28" fillId="13" borderId="33" xfId="0" applyNumberFormat="1" applyFont="1" applyFill="1" applyBorder="1" applyAlignment="1">
      <alignment horizontal="center" vertical="top"/>
    </xf>
    <xf numFmtId="2" fontId="4" fillId="0" borderId="31" xfId="0" applyNumberFormat="1" applyFont="1" applyBorder="1" applyAlignment="1">
      <alignment horizontal="right" vertical="top"/>
    </xf>
    <xf numFmtId="2" fontId="4" fillId="0" borderId="2" xfId="0" applyNumberFormat="1" applyFont="1" applyBorder="1" applyAlignment="1">
      <alignment horizontal="center" vertical="top"/>
    </xf>
    <xf numFmtId="2" fontId="4" fillId="0" borderId="32" xfId="0" applyNumberFormat="1" applyFont="1" applyBorder="1" applyAlignment="1">
      <alignment horizontal="center" vertical="top"/>
    </xf>
    <xf numFmtId="2" fontId="4" fillId="0" borderId="32" xfId="0" applyNumberFormat="1" applyFont="1" applyBorder="1" applyAlignment="1">
      <alignment horizontal="right" vertical="top"/>
    </xf>
    <xf numFmtId="2" fontId="28" fillId="0" borderId="31" xfId="0" applyNumberFormat="1" applyFont="1" applyBorder="1" applyAlignment="1">
      <alignment horizontal="center" vertical="top"/>
    </xf>
    <xf numFmtId="0" fontId="4" fillId="0" borderId="0" xfId="0" applyFont="1" applyAlignment="1">
      <alignment vertical="top"/>
    </xf>
    <xf numFmtId="2" fontId="4" fillId="0" borderId="30" xfId="0" applyNumberFormat="1" applyFont="1" applyBorder="1" applyAlignment="1">
      <alignment vertical="top"/>
    </xf>
    <xf numFmtId="2" fontId="1" fillId="14" borderId="33" xfId="0" applyNumberFormat="1" applyFont="1" applyFill="1" applyBorder="1" applyAlignment="1">
      <alignment horizontal="right" vertical="top"/>
    </xf>
    <xf numFmtId="2" fontId="1" fillId="14" borderId="2" xfId="0" applyNumberFormat="1" applyFont="1" applyFill="1" applyBorder="1" applyAlignment="1">
      <alignment horizontal="right" vertical="top"/>
    </xf>
    <xf numFmtId="2" fontId="4" fillId="0" borderId="2" xfId="0" applyNumberFormat="1" applyFont="1" applyBorder="1" applyAlignment="1">
      <alignment horizontal="right" vertical="top"/>
    </xf>
    <xf numFmtId="2" fontId="1" fillId="0" borderId="31" xfId="0" applyNumberFormat="1" applyFont="1" applyBorder="1" applyAlignment="1">
      <alignment vertical="center"/>
    </xf>
    <xf numFmtId="9" fontId="1" fillId="0" borderId="32" xfId="0" applyNumberFormat="1" applyFont="1" applyBorder="1" applyAlignment="1">
      <alignment horizontal="center" vertical="center"/>
    </xf>
    <xf numFmtId="2" fontId="1" fillId="0" borderId="2" xfId="0" applyNumberFormat="1" applyFont="1" applyBorder="1" applyAlignment="1">
      <alignment vertical="center"/>
    </xf>
    <xf numFmtId="2" fontId="4" fillId="0" borderId="2" xfId="0" applyNumberFormat="1" applyFont="1" applyBorder="1" applyAlignment="1">
      <alignment vertical="center"/>
    </xf>
    <xf numFmtId="2" fontId="4" fillId="0" borderId="32" xfId="0" applyNumberFormat="1" applyFont="1" applyBorder="1" applyAlignment="1">
      <alignment vertical="center"/>
    </xf>
    <xf numFmtId="2" fontId="4" fillId="0" borderId="31" xfId="0" applyNumberFormat="1" applyFont="1" applyBorder="1" applyAlignment="1">
      <alignment vertical="center"/>
    </xf>
    <xf numFmtId="9" fontId="4" fillId="0" borderId="32" xfId="0" applyNumberFormat="1" applyFont="1" applyBorder="1" applyAlignment="1">
      <alignment vertical="center"/>
    </xf>
    <xf numFmtId="2" fontId="1" fillId="0" borderId="32" xfId="0" applyNumberFormat="1" applyFont="1" applyBorder="1" applyAlignment="1">
      <alignment vertical="center"/>
    </xf>
    <xf numFmtId="9" fontId="1" fillId="0" borderId="32" xfId="0" applyNumberFormat="1" applyFont="1" applyBorder="1" applyAlignment="1">
      <alignment vertical="center"/>
    </xf>
    <xf numFmtId="2" fontId="4" fillId="0" borderId="31" xfId="0" applyNumberFormat="1" applyFont="1" applyBorder="1" applyAlignment="1">
      <alignment horizontal="center" vertical="top"/>
    </xf>
    <xf numFmtId="2" fontId="1" fillId="2" borderId="36" xfId="0" applyNumberFormat="1" applyFont="1" applyFill="1" applyBorder="1" applyAlignment="1">
      <alignment vertical="center"/>
    </xf>
    <xf numFmtId="168" fontId="1" fillId="2" borderId="37" xfId="0" applyNumberFormat="1" applyFont="1" applyFill="1" applyBorder="1" applyAlignment="1">
      <alignment horizontal="right" vertical="center"/>
    </xf>
    <xf numFmtId="2" fontId="4" fillId="2" borderId="31" xfId="0" applyNumberFormat="1" applyFont="1" applyFill="1" applyBorder="1" applyAlignment="1">
      <alignment vertical="center"/>
    </xf>
    <xf numFmtId="2" fontId="4" fillId="2" borderId="32" xfId="0" applyNumberFormat="1" applyFont="1" applyFill="1" applyBorder="1" applyAlignment="1">
      <alignment vertical="center"/>
    </xf>
    <xf numFmtId="2" fontId="4" fillId="0" borderId="41" xfId="0" applyNumberFormat="1" applyFont="1" applyBorder="1" applyAlignment="1">
      <alignment vertical="center"/>
    </xf>
    <xf numFmtId="2" fontId="4" fillId="0" borderId="42" xfId="0" applyNumberFormat="1" applyFont="1" applyBorder="1" applyAlignment="1">
      <alignment vertical="center"/>
    </xf>
    <xf numFmtId="2" fontId="4" fillId="0" borderId="43" xfId="0" applyNumberFormat="1" applyFont="1" applyBorder="1" applyAlignment="1">
      <alignment vertical="center"/>
    </xf>
    <xf numFmtId="2" fontId="4" fillId="0" borderId="44" xfId="0" applyNumberFormat="1" applyFont="1" applyBorder="1" applyAlignment="1">
      <alignment vertical="center"/>
    </xf>
    <xf numFmtId="9" fontId="4" fillId="0" borderId="44" xfId="0" applyNumberFormat="1" applyFont="1" applyBorder="1" applyAlignment="1">
      <alignment vertical="center"/>
    </xf>
    <xf numFmtId="0" fontId="4" fillId="0" borderId="0" xfId="0" applyFont="1" applyAlignment="1">
      <alignment horizontal="right" vertical="center"/>
    </xf>
    <xf numFmtId="2" fontId="4" fillId="0" borderId="0" xfId="0" applyNumberFormat="1" applyFont="1" applyAlignment="1">
      <alignment vertical="center"/>
    </xf>
    <xf numFmtId="9" fontId="4" fillId="0" borderId="0" xfId="0" applyNumberFormat="1" applyFont="1" applyAlignment="1">
      <alignment vertical="center"/>
    </xf>
    <xf numFmtId="2" fontId="1" fillId="2" borderId="31" xfId="0" applyNumberFormat="1" applyFont="1" applyFill="1" applyBorder="1" applyAlignment="1">
      <alignment vertical="center"/>
    </xf>
    <xf numFmtId="2" fontId="1" fillId="2" borderId="32" xfId="0" applyNumberFormat="1" applyFont="1" applyFill="1" applyBorder="1" applyAlignment="1">
      <alignment vertical="center"/>
    </xf>
    <xf numFmtId="0" fontId="29" fillId="0" borderId="0" xfId="0" applyFont="1" applyAlignment="1">
      <alignment horizontal="center" vertical="top"/>
    </xf>
    <xf numFmtId="0" fontId="29" fillId="0" borderId="0" xfId="0" applyFont="1"/>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horizontal="left" vertical="center"/>
    </xf>
    <xf numFmtId="0" fontId="29" fillId="0" borderId="0" xfId="0" applyFont="1" applyAlignment="1">
      <alignment horizontal="center" vertical="center"/>
    </xf>
    <xf numFmtId="0" fontId="30" fillId="0" borderId="0" xfId="0" applyFont="1"/>
    <xf numFmtId="0" fontId="29" fillId="0" borderId="0" xfId="0" applyFont="1" applyAlignment="1">
      <alignment vertical="center" wrapText="1"/>
    </xf>
    <xf numFmtId="0" fontId="29" fillId="0" borderId="0" xfId="0" applyFont="1" applyAlignment="1">
      <alignment horizontal="center" vertical="center" wrapText="1"/>
    </xf>
    <xf numFmtId="0" fontId="29" fillId="0" borderId="2" xfId="0" applyFont="1" applyBorder="1" applyAlignment="1">
      <alignment horizontal="center" vertical="center"/>
    </xf>
    <xf numFmtId="0" fontId="29" fillId="0" borderId="1" xfId="0" applyFont="1" applyBorder="1" applyAlignment="1">
      <alignment vertical="center"/>
    </xf>
    <xf numFmtId="0" fontId="29" fillId="0" borderId="3" xfId="0" applyFont="1" applyBorder="1" applyAlignment="1">
      <alignment vertical="center"/>
    </xf>
    <xf numFmtId="0" fontId="29" fillId="0" borderId="4" xfId="0" applyFont="1" applyBorder="1" applyAlignment="1">
      <alignment vertical="center"/>
    </xf>
    <xf numFmtId="0" fontId="29" fillId="0" borderId="5" xfId="0" applyFont="1" applyBorder="1" applyAlignment="1">
      <alignment vertical="center"/>
    </xf>
    <xf numFmtId="0" fontId="29" fillId="0" borderId="4" xfId="0" applyFont="1" applyBorder="1" applyAlignment="1">
      <alignment vertical="center" wrapText="1"/>
    </xf>
    <xf numFmtId="0" fontId="29" fillId="0" borderId="2" xfId="0" applyFont="1" applyBorder="1" applyAlignment="1">
      <alignment horizontal="center" vertical="center" wrapText="1"/>
    </xf>
    <xf numFmtId="0" fontId="29" fillId="0" borderId="2" xfId="0" applyFont="1" applyBorder="1" applyAlignment="1">
      <alignment horizontal="center"/>
    </xf>
    <xf numFmtId="0" fontId="29" fillId="0" borderId="0" xfId="0" applyFont="1" applyAlignment="1">
      <alignment horizontal="center"/>
    </xf>
    <xf numFmtId="0" fontId="30" fillId="0" borderId="2" xfId="0" applyFont="1" applyBorder="1" applyAlignment="1">
      <alignment horizontal="center" vertical="center"/>
    </xf>
    <xf numFmtId="0" fontId="29" fillId="0" borderId="2" xfId="0" applyFont="1" applyBorder="1"/>
    <xf numFmtId="0" fontId="29" fillId="0" borderId="6" xfId="0" applyFont="1" applyBorder="1" applyAlignment="1">
      <alignment vertical="center" wrapText="1"/>
    </xf>
    <xf numFmtId="0" fontId="33" fillId="0" borderId="2" xfId="0" applyFont="1" applyBorder="1" applyAlignment="1">
      <alignment vertical="top"/>
    </xf>
    <xf numFmtId="0" fontId="29" fillId="0" borderId="2" xfId="0" applyFont="1" applyBorder="1" applyAlignment="1">
      <alignment vertical="center" wrapText="1"/>
    </xf>
    <xf numFmtId="0" fontId="34" fillId="7" borderId="7" xfId="0" applyFont="1" applyFill="1" applyBorder="1" applyAlignment="1">
      <alignment horizontal="center" vertical="top" wrapText="1"/>
    </xf>
    <xf numFmtId="0" fontId="30" fillId="7" borderId="2" xfId="0" applyFont="1" applyFill="1" applyBorder="1" applyAlignment="1">
      <alignment horizontal="center" vertical="center" wrapText="1"/>
    </xf>
    <xf numFmtId="0" fontId="30" fillId="7" borderId="7" xfId="0" applyFont="1" applyFill="1" applyBorder="1" applyAlignment="1">
      <alignment horizontal="center" vertical="top" wrapText="1"/>
    </xf>
    <xf numFmtId="0" fontId="30" fillId="7" borderId="7" xfId="0" applyFont="1" applyFill="1" applyBorder="1" applyAlignment="1">
      <alignment vertical="center" wrapText="1"/>
    </xf>
    <xf numFmtId="0" fontId="30" fillId="7" borderId="8" xfId="0" applyFont="1" applyFill="1" applyBorder="1" applyAlignment="1">
      <alignment vertical="center" wrapText="1"/>
    </xf>
    <xf numFmtId="0" fontId="30" fillId="7" borderId="2" xfId="0" applyFont="1" applyFill="1" applyBorder="1" applyAlignment="1">
      <alignment vertical="center" wrapText="1"/>
    </xf>
    <xf numFmtId="0" fontId="29" fillId="0" borderId="2" xfId="0" applyFont="1" applyBorder="1" applyAlignment="1">
      <alignment vertical="center"/>
    </xf>
    <xf numFmtId="0" fontId="30" fillId="7" borderId="7" xfId="0" applyFont="1" applyFill="1" applyBorder="1" applyAlignment="1">
      <alignment horizontal="center" vertical="top"/>
    </xf>
    <xf numFmtId="0" fontId="30" fillId="7" borderId="8" xfId="0" applyFont="1" applyFill="1" applyBorder="1" applyAlignment="1">
      <alignment horizontal="center" vertical="center" wrapText="1"/>
    </xf>
    <xf numFmtId="0" fontId="29" fillId="0" borderId="2" xfId="0" applyFont="1" applyBorder="1" applyAlignment="1">
      <alignment horizontal="left" vertical="center" wrapText="1"/>
    </xf>
    <xf numFmtId="0" fontId="29" fillId="0" borderId="2" xfId="0" applyFont="1" applyBorder="1" applyAlignment="1">
      <alignment horizontal="center" vertical="top" wrapText="1"/>
    </xf>
    <xf numFmtId="0" fontId="29" fillId="0" borderId="2" xfId="0" applyFont="1" applyBorder="1" applyAlignment="1">
      <alignment vertical="top"/>
    </xf>
    <xf numFmtId="0" fontId="29" fillId="7" borderId="9" xfId="0" applyFont="1" applyFill="1" applyBorder="1" applyAlignment="1">
      <alignment horizontal="center" vertical="center" wrapText="1"/>
    </xf>
    <xf numFmtId="0" fontId="29" fillId="7" borderId="8" xfId="0" applyFont="1" applyFill="1" applyBorder="1" applyAlignment="1">
      <alignment horizontal="center" vertical="center" wrapText="1"/>
    </xf>
    <xf numFmtId="0" fontId="30" fillId="7" borderId="11" xfId="0" applyFont="1" applyFill="1" applyBorder="1" applyAlignment="1">
      <alignment horizontal="center" vertical="top" wrapText="1"/>
    </xf>
    <xf numFmtId="0" fontId="29" fillId="7" borderId="12" xfId="0" applyFont="1" applyFill="1" applyBorder="1" applyAlignment="1">
      <alignment horizontal="center" vertical="center" wrapText="1"/>
    </xf>
    <xf numFmtId="0" fontId="30" fillId="7" borderId="7" xfId="0" applyFont="1" applyFill="1" applyBorder="1" applyAlignment="1">
      <alignment horizontal="center" vertical="center" wrapText="1"/>
    </xf>
    <xf numFmtId="0" fontId="29" fillId="0" borderId="2" xfId="0" quotePrefix="1" applyFont="1" applyBorder="1" applyAlignment="1">
      <alignment horizontal="center" vertical="center"/>
    </xf>
    <xf numFmtId="0" fontId="30" fillId="7" borderId="10" xfId="0" applyFont="1" applyFill="1" applyBorder="1" applyAlignment="1">
      <alignment horizontal="center" vertical="center" wrapText="1"/>
    </xf>
    <xf numFmtId="0" fontId="29" fillId="0" borderId="2" xfId="0" applyFont="1" applyBorder="1" applyAlignment="1">
      <alignment horizontal="center" vertical="top"/>
    </xf>
    <xf numFmtId="1" fontId="29" fillId="0" borderId="2" xfId="0" applyNumberFormat="1" applyFont="1" applyBorder="1" applyAlignment="1">
      <alignment horizontal="center" vertical="center"/>
    </xf>
    <xf numFmtId="0" fontId="30" fillId="7" borderId="9" xfId="0" applyFont="1" applyFill="1" applyBorder="1" applyAlignment="1">
      <alignment horizontal="center" vertical="center" wrapText="1"/>
    </xf>
    <xf numFmtId="0" fontId="30" fillId="7" borderId="10" xfId="0" applyFont="1" applyFill="1" applyBorder="1" applyAlignment="1">
      <alignment horizontal="center" vertical="top" wrapText="1"/>
    </xf>
    <xf numFmtId="165" fontId="29" fillId="0" borderId="2" xfId="0" applyNumberFormat="1" applyFont="1" applyBorder="1" applyAlignment="1">
      <alignment horizontal="center" vertical="center" wrapText="1"/>
    </xf>
    <xf numFmtId="165" fontId="29" fillId="0" borderId="2" xfId="0" applyNumberFormat="1" applyFont="1" applyBorder="1" applyAlignment="1">
      <alignment horizontal="center" vertical="center"/>
    </xf>
    <xf numFmtId="165" fontId="30" fillId="0" borderId="2" xfId="0" applyNumberFormat="1" applyFont="1" applyBorder="1" applyAlignment="1">
      <alignment horizontal="center" vertical="center" wrapText="1"/>
    </xf>
    <xf numFmtId="0" fontId="29" fillId="0" borderId="2" xfId="0" applyFont="1" applyBorder="1" applyAlignment="1">
      <alignment horizontal="left" vertical="center"/>
    </xf>
    <xf numFmtId="0" fontId="32" fillId="0" borderId="0" xfId="0" applyFont="1" applyAlignment="1">
      <alignment horizontal="center" vertical="center"/>
    </xf>
    <xf numFmtId="0" fontId="30" fillId="0" borderId="0" xfId="0" applyFont="1" applyAlignment="1">
      <alignment horizontal="center" vertical="top"/>
    </xf>
    <xf numFmtId="0" fontId="30" fillId="0" borderId="0" xfId="0" applyFont="1" applyAlignment="1">
      <alignment horizontal="center"/>
    </xf>
    <xf numFmtId="166" fontId="31" fillId="0" borderId="2" xfId="0" applyNumberFormat="1" applyFont="1" applyBorder="1" applyAlignment="1">
      <alignment horizontal="center" vertical="center"/>
    </xf>
    <xf numFmtId="0" fontId="29" fillId="0" borderId="0" xfId="0" applyFont="1" applyAlignment="1">
      <alignment horizontal="left" vertical="top"/>
    </xf>
    <xf numFmtId="0" fontId="29" fillId="0" borderId="6" xfId="0" applyFont="1" applyBorder="1" applyAlignment="1">
      <alignment horizontal="left" vertical="top"/>
    </xf>
    <xf numFmtId="166" fontId="30" fillId="0" borderId="0" xfId="0" applyNumberFormat="1" applyFont="1" applyAlignment="1">
      <alignment vertical="top"/>
    </xf>
    <xf numFmtId="0" fontId="29" fillId="0" borderId="6" xfId="0" applyFont="1" applyBorder="1" applyAlignment="1">
      <alignment vertical="top"/>
    </xf>
    <xf numFmtId="166" fontId="30" fillId="0" borderId="0" xfId="0" applyNumberFormat="1" applyFont="1" applyAlignment="1">
      <alignment horizontal="left" vertical="center"/>
    </xf>
    <xf numFmtId="166" fontId="30" fillId="0" borderId="0" xfId="0" applyNumberFormat="1" applyFont="1" applyAlignment="1">
      <alignment vertical="center"/>
    </xf>
    <xf numFmtId="166" fontId="30" fillId="0" borderId="0" xfId="0" applyNumberFormat="1" applyFont="1" applyAlignment="1">
      <alignment horizontal="left" vertical="top"/>
    </xf>
    <xf numFmtId="0" fontId="29" fillId="0" borderId="6" xfId="0" applyFont="1" applyBorder="1"/>
    <xf numFmtId="0" fontId="29" fillId="0" borderId="1" xfId="0" applyFont="1" applyBorder="1" applyAlignment="1">
      <alignment vertical="top"/>
    </xf>
    <xf numFmtId="0" fontId="29" fillId="0" borderId="1" xfId="0" applyFont="1" applyBorder="1" applyAlignment="1">
      <alignment horizontal="center" vertical="top"/>
    </xf>
    <xf numFmtId="0" fontId="29" fillId="0" borderId="1" xfId="0" applyFont="1" applyBorder="1"/>
    <xf numFmtId="166" fontId="30" fillId="0" borderId="1" xfId="0" applyNumberFormat="1" applyFont="1" applyBorder="1" applyAlignment="1">
      <alignment vertical="top"/>
    </xf>
    <xf numFmtId="166" fontId="30" fillId="0" borderId="1" xfId="0" applyNumberFormat="1" applyFont="1" applyBorder="1" applyAlignment="1">
      <alignment horizontal="left" vertical="top"/>
    </xf>
    <xf numFmtId="0" fontId="29" fillId="0" borderId="3" xfId="0" applyFont="1" applyBorder="1" applyAlignment="1">
      <alignment vertical="top"/>
    </xf>
    <xf numFmtId="166" fontId="31" fillId="0" borderId="1" xfId="0" applyNumberFormat="1" applyFont="1" applyBorder="1" applyAlignment="1">
      <alignment horizontal="left" vertical="top"/>
    </xf>
    <xf numFmtId="166" fontId="31" fillId="0" borderId="1" xfId="0" applyNumberFormat="1" applyFont="1" applyBorder="1" applyAlignment="1">
      <alignment vertical="top"/>
    </xf>
    <xf numFmtId="0" fontId="32" fillId="0" borderId="1" xfId="0" applyFont="1" applyBorder="1" applyAlignment="1">
      <alignment vertical="top"/>
    </xf>
    <xf numFmtId="0" fontId="32" fillId="0" borderId="1" xfId="0" applyFont="1" applyBorder="1" applyAlignment="1">
      <alignment horizontal="center" vertical="top"/>
    </xf>
    <xf numFmtId="0" fontId="32" fillId="0" borderId="3" xfId="0" applyFont="1" applyBorder="1" applyAlignment="1">
      <alignment vertical="top"/>
    </xf>
    <xf numFmtId="0" fontId="32" fillId="0" borderId="0" xfId="0" applyFont="1" applyAlignment="1">
      <alignment vertical="top"/>
    </xf>
    <xf numFmtId="0" fontId="32" fillId="0" borderId="0" xfId="0" applyFont="1" applyAlignment="1">
      <alignment vertical="center"/>
    </xf>
    <xf numFmtId="0" fontId="32" fillId="0" borderId="0" xfId="0" applyFont="1"/>
    <xf numFmtId="166" fontId="30" fillId="0" borderId="0" xfId="0" quotePrefix="1" applyNumberFormat="1" applyFont="1" applyAlignment="1">
      <alignment horizontal="left" vertical="center"/>
    </xf>
    <xf numFmtId="0" fontId="29" fillId="0" borderId="6" xfId="0" applyFont="1" applyBorder="1" applyAlignment="1">
      <alignment horizontal="center" vertical="top"/>
    </xf>
    <xf numFmtId="0" fontId="1" fillId="2" borderId="13" xfId="0" applyFont="1" applyFill="1" applyBorder="1" applyAlignment="1">
      <alignment horizontal="center"/>
    </xf>
    <xf numFmtId="0" fontId="1" fillId="3" borderId="13" xfId="0" applyFont="1" applyFill="1" applyBorder="1"/>
    <xf numFmtId="0" fontId="2" fillId="0" borderId="12" xfId="0" applyFont="1" applyBorder="1" applyAlignment="1">
      <alignment horizontal="center"/>
    </xf>
    <xf numFmtId="0" fontId="1" fillId="4" borderId="13" xfId="0" applyFont="1" applyFill="1" applyBorder="1"/>
    <xf numFmtId="0" fontId="1" fillId="5" borderId="13" xfId="0" applyFont="1" applyFill="1" applyBorder="1"/>
    <xf numFmtId="0" fontId="1" fillId="6" borderId="13" xfId="0" applyFont="1" applyFill="1" applyBorder="1" applyAlignment="1">
      <alignment wrapText="1"/>
    </xf>
    <xf numFmtId="0" fontId="1" fillId="6" borderId="13" xfId="0" applyFont="1" applyFill="1" applyBorder="1"/>
    <xf numFmtId="0" fontId="1" fillId="2" borderId="13" xfId="0" applyFont="1" applyFill="1" applyBorder="1"/>
    <xf numFmtId="0" fontId="2" fillId="0" borderId="8" xfId="0" applyFont="1" applyBorder="1"/>
    <xf numFmtId="0" fontId="8" fillId="0" borderId="11" xfId="0" applyFont="1" applyBorder="1" applyAlignment="1">
      <alignment horizontal="center" vertical="center"/>
    </xf>
    <xf numFmtId="0" fontId="8" fillId="0" borderId="8" xfId="0" applyFont="1" applyBorder="1" applyAlignment="1">
      <alignment horizontal="center" vertical="center"/>
    </xf>
    <xf numFmtId="0" fontId="9" fillId="0" borderId="11" xfId="0" applyFont="1" applyBorder="1" applyAlignment="1">
      <alignment horizontal="center" vertical="center"/>
    </xf>
    <xf numFmtId="0" fontId="8" fillId="0" borderId="7" xfId="0" applyFont="1" applyBorder="1" applyAlignment="1">
      <alignment horizontal="center" vertical="center"/>
    </xf>
    <xf numFmtId="0" fontId="10" fillId="0" borderId="11" xfId="0" applyFont="1" applyBorder="1" applyAlignment="1">
      <alignment horizontal="center" vertical="center"/>
    </xf>
    <xf numFmtId="0" fontId="8" fillId="0" borderId="8" xfId="0" applyFont="1" applyBorder="1" applyAlignment="1">
      <alignment vertical="center" wrapText="1"/>
    </xf>
    <xf numFmtId="0" fontId="8" fillId="0" borderId="7" xfId="0" applyFont="1" applyBorder="1" applyAlignment="1">
      <alignment vertical="center"/>
    </xf>
    <xf numFmtId="0" fontId="8" fillId="0" borderId="8" xfId="0" applyFont="1" applyBorder="1" applyAlignment="1">
      <alignment vertical="center"/>
    </xf>
    <xf numFmtId="0" fontId="8" fillId="0" borderId="16" xfId="0" applyFont="1" applyBorder="1" applyAlignment="1">
      <alignment vertical="center" wrapText="1"/>
    </xf>
    <xf numFmtId="0" fontId="8" fillId="0" borderId="15" xfId="0" applyFont="1" applyBorder="1" applyAlignment="1">
      <alignment vertical="center" wrapText="1"/>
    </xf>
    <xf numFmtId="0" fontId="8" fillId="0" borderId="8" xfId="0" applyFont="1" applyBorder="1" applyAlignment="1">
      <alignment horizontal="left" vertical="center" wrapText="1"/>
    </xf>
    <xf numFmtId="0" fontId="8" fillId="0" borderId="10" xfId="0" applyFont="1" applyBorder="1" applyAlignment="1">
      <alignment vertical="center"/>
    </xf>
    <xf numFmtId="0" fontId="8" fillId="0" borderId="16" xfId="0" applyFont="1" applyBorder="1" applyAlignment="1">
      <alignment vertical="center"/>
    </xf>
    <xf numFmtId="0" fontId="8" fillId="0" borderId="15" xfId="0" applyFont="1" applyBorder="1" applyAlignment="1">
      <alignment vertical="center"/>
    </xf>
    <xf numFmtId="0" fontId="7" fillId="0" borderId="7" xfId="0" applyFont="1" applyBorder="1" applyAlignment="1">
      <alignment horizontal="center" vertical="center"/>
    </xf>
    <xf numFmtId="0" fontId="8" fillId="0" borderId="7" xfId="0" applyFont="1" applyBorder="1" applyAlignment="1">
      <alignment horizontal="center" vertical="top"/>
    </xf>
    <xf numFmtId="0" fontId="8" fillId="0" borderId="11" xfId="0" applyFont="1" applyBorder="1" applyAlignment="1">
      <alignment horizontal="center" vertical="top" wrapText="1"/>
    </xf>
    <xf numFmtId="0" fontId="8" fillId="0" borderId="15" xfId="0" applyFont="1" applyBorder="1" applyAlignment="1">
      <alignment horizontal="center" vertical="center" wrapText="1"/>
    </xf>
    <xf numFmtId="0" fontId="8" fillId="0" borderId="10" xfId="0" applyFont="1" applyBorder="1" applyAlignment="1">
      <alignment horizontal="center" vertical="top"/>
    </xf>
    <xf numFmtId="0" fontId="8" fillId="0" borderId="12" xfId="0" applyFont="1" applyBorder="1" applyAlignment="1">
      <alignment horizontal="center" vertical="top" wrapText="1"/>
    </xf>
    <xf numFmtId="0" fontId="10" fillId="0" borderId="8" xfId="0" applyFont="1" applyBorder="1" applyAlignment="1">
      <alignment vertical="top"/>
    </xf>
    <xf numFmtId="0" fontId="8" fillId="0" borderId="11" xfId="0" applyFont="1" applyBorder="1" applyAlignment="1">
      <alignment horizontal="center" vertical="top"/>
    </xf>
    <xf numFmtId="0" fontId="8" fillId="0" borderId="9" xfId="0" applyFont="1" applyBorder="1" applyAlignment="1">
      <alignment horizontal="center" vertical="center" wrapText="1"/>
    </xf>
    <xf numFmtId="0" fontId="8" fillId="0" borderId="7" xfId="0" applyFont="1" applyBorder="1" applyAlignment="1">
      <alignment horizontal="center" vertical="top" wrapText="1"/>
    </xf>
    <xf numFmtId="0" fontId="8" fillId="0" borderId="10"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7" xfId="0" applyFont="1" applyBorder="1" applyAlignment="1">
      <alignment vertical="center" wrapText="1"/>
    </xf>
    <xf numFmtId="0" fontId="8" fillId="0" borderId="10" xfId="0" applyFont="1" applyBorder="1" applyAlignment="1">
      <alignment vertical="center" wrapText="1"/>
    </xf>
    <xf numFmtId="0" fontId="8" fillId="0" borderId="11" xfId="0" applyFont="1" applyBorder="1"/>
    <xf numFmtId="0" fontId="10" fillId="0" borderId="10" xfId="0" applyFont="1" applyBorder="1" applyAlignment="1">
      <alignment horizontal="center" vertical="center"/>
    </xf>
    <xf numFmtId="0" fontId="8" fillId="0" borderId="10" xfId="0" applyFont="1" applyBorder="1"/>
    <xf numFmtId="2" fontId="8" fillId="0" borderId="10" xfId="0" applyNumberFormat="1" applyFont="1" applyBorder="1" applyAlignment="1">
      <alignment horizontal="center" vertical="center" wrapText="1"/>
    </xf>
    <xf numFmtId="0" fontId="7" fillId="0" borderId="11" xfId="0" applyFont="1" applyBorder="1" applyAlignment="1">
      <alignment horizontal="center" vertical="center"/>
    </xf>
    <xf numFmtId="0" fontId="8" fillId="0" borderId="10" xfId="0" applyFont="1" applyBorder="1" applyAlignment="1">
      <alignment horizontal="center" vertical="center"/>
    </xf>
    <xf numFmtId="0" fontId="8" fillId="0" borderId="7"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vertical="center"/>
    </xf>
    <xf numFmtId="0" fontId="7" fillId="0" borderId="7" xfId="0" applyFont="1" applyBorder="1" applyAlignment="1">
      <alignment horizontal="center" vertical="top"/>
    </xf>
    <xf numFmtId="0" fontId="10" fillId="0" borderId="8" xfId="0" applyFont="1" applyBorder="1" applyAlignment="1">
      <alignment horizontal="center" vertical="center"/>
    </xf>
    <xf numFmtId="0" fontId="8" fillId="0" borderId="12" xfId="0" applyFont="1" applyBorder="1" applyAlignment="1">
      <alignment horizontal="center" vertical="center"/>
    </xf>
    <xf numFmtId="166" fontId="9" fillId="0" borderId="8" xfId="0" applyNumberFormat="1" applyFont="1" applyBorder="1" applyAlignment="1">
      <alignment vertical="center"/>
    </xf>
    <xf numFmtId="166" fontId="14" fillId="0" borderId="16" xfId="0" applyNumberFormat="1" applyFont="1" applyBorder="1" applyAlignment="1">
      <alignment vertical="center"/>
    </xf>
    <xf numFmtId="166" fontId="10" fillId="0" borderId="16" xfId="0" applyNumberFormat="1" applyFont="1" applyBorder="1" applyAlignment="1">
      <alignment horizontal="left" vertical="center"/>
    </xf>
    <xf numFmtId="166" fontId="10" fillId="0" borderId="16" xfId="0" applyNumberFormat="1" applyFont="1" applyBorder="1" applyAlignment="1">
      <alignment vertical="center"/>
    </xf>
    <xf numFmtId="0" fontId="8" fillId="0" borderId="16" xfId="0" applyFont="1" applyBorder="1" applyAlignment="1">
      <alignment horizontal="center" vertical="center"/>
    </xf>
    <xf numFmtId="166" fontId="10" fillId="0" borderId="7" xfId="0" applyNumberFormat="1" applyFont="1" applyBorder="1" applyAlignment="1">
      <alignment horizontal="center" vertical="center"/>
    </xf>
    <xf numFmtId="166" fontId="10" fillId="0" borderId="14" xfId="0" applyNumberFormat="1" applyFont="1" applyBorder="1" applyAlignment="1">
      <alignment horizontal="center" vertical="center"/>
    </xf>
    <xf numFmtId="166" fontId="10" fillId="0" borderId="14" xfId="0" applyNumberFormat="1" applyFont="1" applyBorder="1" applyAlignment="1">
      <alignment horizontal="left" vertical="center"/>
    </xf>
    <xf numFmtId="166" fontId="10" fillId="0" borderId="7" xfId="0" applyNumberFormat="1" applyFont="1" applyBorder="1" applyAlignment="1">
      <alignment horizontal="center" vertical="top"/>
    </xf>
    <xf numFmtId="166" fontId="10" fillId="0" borderId="14" xfId="0" applyNumberFormat="1" applyFont="1" applyBorder="1" applyAlignment="1">
      <alignment horizontal="center" vertical="top"/>
    </xf>
    <xf numFmtId="166" fontId="10" fillId="0" borderId="14" xfId="0" applyNumberFormat="1" applyFont="1" applyBorder="1" applyAlignment="1">
      <alignment vertical="center"/>
    </xf>
    <xf numFmtId="166" fontId="10" fillId="0" borderId="14" xfId="0" applyNumberFormat="1" applyFont="1" applyBorder="1" applyAlignment="1">
      <alignment vertical="top"/>
    </xf>
    <xf numFmtId="166" fontId="10" fillId="0" borderId="10" xfId="0" applyNumberFormat="1" applyFont="1" applyBorder="1" applyAlignment="1">
      <alignment horizontal="center" vertical="top"/>
    </xf>
    <xf numFmtId="166" fontId="10" fillId="0" borderId="12" xfId="0" applyNumberFormat="1" applyFont="1" applyBorder="1" applyAlignment="1">
      <alignment vertical="top"/>
    </xf>
    <xf numFmtId="166" fontId="9" fillId="0" borderId="10" xfId="0" applyNumberFormat="1" applyFont="1" applyBorder="1" applyAlignment="1">
      <alignment horizontal="center" vertical="center"/>
    </xf>
    <xf numFmtId="166" fontId="9" fillId="0" borderId="12" xfId="0" applyNumberFormat="1" applyFont="1" applyBorder="1" applyAlignment="1">
      <alignment vertical="center"/>
    </xf>
    <xf numFmtId="166" fontId="14" fillId="0" borderId="1" xfId="0" applyNumberFormat="1" applyFont="1" applyBorder="1" applyAlignment="1">
      <alignment vertical="top"/>
    </xf>
    <xf numFmtId="0" fontId="1" fillId="10" borderId="13" xfId="0" applyFont="1" applyFill="1" applyBorder="1" applyAlignment="1">
      <alignment horizontal="right"/>
    </xf>
    <xf numFmtId="0" fontId="1" fillId="10" borderId="13" xfId="0" applyFont="1" applyFill="1" applyBorder="1"/>
    <xf numFmtId="166" fontId="14" fillId="0" borderId="4" xfId="0" applyNumberFormat="1" applyFont="1" applyBorder="1" applyAlignment="1">
      <alignment vertical="top"/>
    </xf>
    <xf numFmtId="166" fontId="9" fillId="0" borderId="16" xfId="0" applyNumberFormat="1" applyFont="1" applyBorder="1" applyAlignment="1">
      <alignment vertical="top"/>
    </xf>
    <xf numFmtId="0" fontId="7" fillId="0" borderId="16" xfId="0" applyFont="1" applyBorder="1" applyAlignment="1">
      <alignment vertical="top"/>
    </xf>
    <xf numFmtId="0" fontId="7" fillId="0" borderId="16" xfId="0" applyFont="1" applyBorder="1" applyAlignment="1">
      <alignment horizontal="center" vertical="top"/>
    </xf>
    <xf numFmtId="0" fontId="7" fillId="0" borderId="15" xfId="0" applyFont="1" applyBorder="1" applyAlignment="1">
      <alignment vertical="top"/>
    </xf>
    <xf numFmtId="0" fontId="8" fillId="0" borderId="14" xfId="0" applyFont="1" applyBorder="1" applyAlignment="1">
      <alignment vertical="top"/>
    </xf>
    <xf numFmtId="0" fontId="4" fillId="0" borderId="8" xfId="0" applyFont="1" applyBorder="1" applyAlignment="1">
      <alignment horizontal="left" vertical="top" wrapText="1"/>
    </xf>
    <xf numFmtId="0" fontId="1" fillId="3" borderId="13" xfId="0" applyFont="1" applyFill="1" applyBorder="1" applyAlignment="1">
      <alignment wrapText="1"/>
    </xf>
    <xf numFmtId="0" fontId="1" fillId="4" borderId="13" xfId="0" applyFont="1" applyFill="1" applyBorder="1" applyAlignment="1">
      <alignment wrapText="1"/>
    </xf>
    <xf numFmtId="0" fontId="4" fillId="0" borderId="8" xfId="0" applyFont="1" applyBorder="1" applyAlignment="1">
      <alignment horizontal="left" wrapText="1"/>
    </xf>
    <xf numFmtId="0" fontId="4" fillId="0" borderId="8" xfId="0" applyFont="1" applyBorder="1" applyAlignment="1">
      <alignment horizontal="center" vertical="center" wrapText="1"/>
    </xf>
    <xf numFmtId="0" fontId="4" fillId="0" borderId="16" xfId="0" applyFont="1" applyBorder="1" applyAlignment="1">
      <alignment vertical="center" wrapText="1"/>
    </xf>
    <xf numFmtId="0" fontId="4" fillId="0" borderId="15" xfId="0" applyFont="1" applyBorder="1" applyAlignment="1">
      <alignment vertical="center" wrapText="1"/>
    </xf>
    <xf numFmtId="0" fontId="4" fillId="0" borderId="8" xfId="0" applyFont="1" applyBorder="1" applyAlignment="1">
      <alignment horizontal="left"/>
    </xf>
    <xf numFmtId="0" fontId="17" fillId="0" borderId="8" xfId="0" applyFont="1" applyBorder="1" applyAlignment="1">
      <alignment horizontal="left" vertical="center" wrapText="1"/>
    </xf>
    <xf numFmtId="0" fontId="17" fillId="0" borderId="11" xfId="0" applyFont="1" applyBorder="1" applyAlignment="1">
      <alignment horizontal="center" vertical="center" wrapText="1"/>
    </xf>
    <xf numFmtId="0" fontId="17" fillId="0" borderId="11" xfId="0" applyFont="1" applyBorder="1" applyAlignment="1">
      <alignment horizontal="center" vertical="center"/>
    </xf>
    <xf numFmtId="0" fontId="17" fillId="4"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15" xfId="0" applyFont="1" applyBorder="1" applyAlignment="1">
      <alignment horizontal="center" wrapText="1"/>
    </xf>
    <xf numFmtId="0" fontId="4" fillId="0" borderId="15" xfId="0" applyFont="1" applyBorder="1" applyAlignment="1">
      <alignment horizontal="center" vertical="center" wrapText="1"/>
    </xf>
    <xf numFmtId="0" fontId="4" fillId="0" borderId="16" xfId="0" applyFont="1" applyBorder="1" applyAlignment="1">
      <alignment vertical="center"/>
    </xf>
    <xf numFmtId="0" fontId="4" fillId="0" borderId="15" xfId="0" applyFont="1" applyBorder="1" applyAlignment="1">
      <alignment vertical="center"/>
    </xf>
    <xf numFmtId="0" fontId="18" fillId="0" borderId="8" xfId="0" applyFont="1" applyBorder="1" applyAlignment="1">
      <alignment vertical="center"/>
    </xf>
    <xf numFmtId="0" fontId="17" fillId="0" borderId="16" xfId="0" applyFont="1" applyBorder="1" applyAlignment="1">
      <alignment vertical="center"/>
    </xf>
    <xf numFmtId="0" fontId="17" fillId="0" borderId="15" xfId="0" applyFont="1" applyBorder="1" applyAlignment="1">
      <alignment vertical="center"/>
    </xf>
    <xf numFmtId="0" fontId="17" fillId="3" borderId="13" xfId="0" applyFont="1" applyFill="1" applyBorder="1" applyAlignment="1">
      <alignment horizontal="center" vertical="center" wrapText="1"/>
    </xf>
    <xf numFmtId="0" fontId="17" fillId="0" borderId="16" xfId="0" applyFont="1" applyBorder="1" applyAlignment="1">
      <alignment vertical="center" wrapText="1"/>
    </xf>
    <xf numFmtId="0" fontId="17" fillId="0" borderId="15" xfId="0" applyFont="1" applyBorder="1" applyAlignment="1">
      <alignment vertical="center" wrapText="1"/>
    </xf>
    <xf numFmtId="0" fontId="4" fillId="0" borderId="8" xfId="0" applyFont="1" applyBorder="1" applyAlignment="1">
      <alignment vertical="center"/>
    </xf>
    <xf numFmtId="0" fontId="17" fillId="0" borderId="8" xfId="0" applyFont="1" applyBorder="1" applyAlignment="1">
      <alignment vertical="center"/>
    </xf>
    <xf numFmtId="0" fontId="4" fillId="0" borderId="8" xfId="0" applyFont="1" applyBorder="1" applyAlignment="1">
      <alignment horizontal="left" vertical="center"/>
    </xf>
    <xf numFmtId="0" fontId="17" fillId="0" borderId="16" xfId="0" applyFont="1" applyBorder="1" applyAlignment="1">
      <alignment horizontal="left" vertical="center"/>
    </xf>
    <xf numFmtId="0" fontId="17" fillId="0" borderId="15" xfId="0" applyFont="1" applyBorder="1" applyAlignment="1">
      <alignment horizontal="left" vertical="center"/>
    </xf>
    <xf numFmtId="0" fontId="17" fillId="4" borderId="13" xfId="0" applyFont="1" applyFill="1" applyBorder="1" applyAlignment="1">
      <alignment wrapText="1"/>
    </xf>
    <xf numFmtId="0" fontId="17" fillId="6" borderId="13" xfId="0" applyFont="1" applyFill="1" applyBorder="1" applyAlignment="1">
      <alignment horizontal="center" vertical="center"/>
    </xf>
    <xf numFmtId="0" fontId="17" fillId="6" borderId="13" xfId="0" applyFont="1" applyFill="1" applyBorder="1"/>
    <xf numFmtId="0" fontId="17" fillId="4" borderId="13" xfId="0" applyFont="1" applyFill="1" applyBorder="1" applyAlignment="1">
      <alignment horizontal="left" wrapText="1"/>
    </xf>
    <xf numFmtId="0" fontId="1" fillId="0" borderId="16" xfId="0" applyFont="1" applyBorder="1" applyAlignment="1">
      <alignment horizontal="left" vertical="center"/>
    </xf>
    <xf numFmtId="0" fontId="1" fillId="0" borderId="15" xfId="0" applyFont="1" applyBorder="1" applyAlignment="1">
      <alignment horizontal="left" vertical="center"/>
    </xf>
    <xf numFmtId="0" fontId="4" fillId="0" borderId="9" xfId="0" applyFont="1" applyBorder="1" applyAlignment="1">
      <alignment horizontal="left"/>
    </xf>
    <xf numFmtId="0" fontId="17" fillId="0" borderId="8" xfId="0" applyFont="1" applyBorder="1" applyAlignment="1">
      <alignment horizontal="left" vertical="center"/>
    </xf>
    <xf numFmtId="0" fontId="17" fillId="0" borderId="12" xfId="0" applyFont="1" applyBorder="1" applyAlignment="1">
      <alignment horizontal="left" vertical="center" wrapText="1"/>
    </xf>
    <xf numFmtId="0" fontId="18" fillId="0" borderId="8" xfId="0" applyFont="1" applyBorder="1" applyAlignment="1">
      <alignment horizontal="left"/>
    </xf>
    <xf numFmtId="0" fontId="17" fillId="4" borderId="13" xfId="0" applyFont="1" applyFill="1" applyBorder="1" applyAlignment="1">
      <alignment horizontal="left" vertical="center" wrapText="1"/>
    </xf>
    <xf numFmtId="0" fontId="18" fillId="0" borderId="8" xfId="0" applyFont="1" applyBorder="1" applyAlignment="1">
      <alignment horizontal="left" vertical="center"/>
    </xf>
    <xf numFmtId="0" fontId="17" fillId="4" borderId="13" xfId="0" applyFont="1" applyFill="1" applyBorder="1"/>
    <xf numFmtId="0" fontId="17" fillId="0" borderId="16" xfId="0" applyFont="1" applyBorder="1" applyAlignment="1">
      <alignment horizontal="center" vertical="center"/>
    </xf>
    <xf numFmtId="0" fontId="2" fillId="0" borderId="8" xfId="0" applyFont="1" applyBorder="1" applyAlignment="1">
      <alignment horizontal="left"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1" fillId="0" borderId="14" xfId="0" applyFont="1" applyBorder="1" applyAlignment="1">
      <alignment horizontal="left" vertical="center" wrapText="1"/>
    </xf>
    <xf numFmtId="0" fontId="4" fillId="0" borderId="16" xfId="0" applyFont="1" applyBorder="1" applyAlignment="1">
      <alignment horizontal="left"/>
    </xf>
    <xf numFmtId="0" fontId="4" fillId="0" borderId="15" xfId="0" applyFont="1" applyBorder="1" applyAlignment="1">
      <alignment horizontal="left"/>
    </xf>
    <xf numFmtId="0" fontId="18" fillId="0" borderId="16" xfId="0" applyFont="1" applyBorder="1" applyAlignment="1">
      <alignment vertical="center"/>
    </xf>
    <xf numFmtId="0" fontId="18" fillId="0" borderId="15" xfId="0" applyFont="1" applyBorder="1" applyAlignment="1">
      <alignment vertical="center"/>
    </xf>
    <xf numFmtId="0" fontId="4" fillId="11" borderId="16" xfId="0" applyFont="1" applyFill="1" applyBorder="1" applyAlignment="1">
      <alignment vertical="center"/>
    </xf>
    <xf numFmtId="0" fontId="17" fillId="0" borderId="15" xfId="0" applyFont="1" applyBorder="1" applyAlignment="1">
      <alignment horizontal="left" vertical="center" wrapText="1"/>
    </xf>
    <xf numFmtId="0" fontId="17" fillId="0" borderId="7" xfId="0" applyFont="1" applyBorder="1" applyAlignment="1">
      <alignment horizontal="center" vertical="center" wrapText="1"/>
    </xf>
    <xf numFmtId="0" fontId="18" fillId="0" borderId="15" xfId="0" applyFont="1" applyBorder="1" applyAlignment="1">
      <alignment horizontal="left" vertical="center"/>
    </xf>
    <xf numFmtId="0" fontId="17" fillId="0" borderId="10" xfId="0" applyFont="1" applyBorder="1" applyAlignment="1">
      <alignment horizontal="center" vertical="center" wrapText="1"/>
    </xf>
    <xf numFmtId="0" fontId="18" fillId="0" borderId="16" xfId="0" applyFont="1" applyBorder="1" applyAlignment="1">
      <alignment horizontal="left" vertical="center"/>
    </xf>
    <xf numFmtId="0" fontId="17" fillId="0" borderId="8" xfId="0" applyFont="1" applyBorder="1" applyAlignment="1">
      <alignment vertical="center" wrapText="1"/>
    </xf>
    <xf numFmtId="0" fontId="17" fillId="0" borderId="15" xfId="0" applyFont="1" applyBorder="1" applyAlignment="1">
      <alignment horizontal="center" vertical="center"/>
    </xf>
    <xf numFmtId="0" fontId="4" fillId="0" borderId="16"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center" vertical="center" wrapText="1"/>
    </xf>
    <xf numFmtId="0" fontId="4" fillId="0" borderId="11" xfId="0" applyFont="1" applyBorder="1" applyAlignment="1">
      <alignment vertical="center"/>
    </xf>
    <xf numFmtId="0" fontId="1" fillId="12" borderId="16" xfId="0" applyFont="1" applyFill="1" applyBorder="1" applyAlignment="1">
      <alignment horizontal="center" vertical="center"/>
    </xf>
    <xf numFmtId="0" fontId="17" fillId="12" borderId="16" xfId="0" applyFont="1" applyFill="1" applyBorder="1" applyAlignment="1">
      <alignment horizontal="center" vertical="center" wrapText="1"/>
    </xf>
    <xf numFmtId="0" fontId="17" fillId="12" borderId="16" xfId="0" applyFont="1" applyFill="1" applyBorder="1" applyAlignment="1">
      <alignment horizontal="center" vertical="center"/>
    </xf>
    <xf numFmtId="2" fontId="17" fillId="12" borderId="16" xfId="0" applyNumberFormat="1" applyFont="1" applyFill="1" applyBorder="1" applyAlignment="1">
      <alignment horizontal="center" vertical="center"/>
    </xf>
    <xf numFmtId="0" fontId="1" fillId="0" borderId="11" xfId="0" applyFont="1" applyBorder="1" applyAlignment="1">
      <alignment vertical="center"/>
    </xf>
    <xf numFmtId="0" fontId="1" fillId="0" borderId="9" xfId="0" applyFont="1" applyBorder="1" applyAlignment="1">
      <alignment wrapText="1"/>
    </xf>
    <xf numFmtId="0" fontId="17" fillId="0" borderId="8" xfId="0" applyFont="1" applyBorder="1" applyAlignment="1">
      <alignment horizontal="center" vertical="center"/>
    </xf>
    <xf numFmtId="0" fontId="1" fillId="0" borderId="10" xfId="0" applyFont="1" applyBorder="1" applyAlignment="1">
      <alignment vertical="center"/>
    </xf>
    <xf numFmtId="0" fontId="1" fillId="0" borderId="12" xfId="0" applyFont="1" applyBorder="1" applyAlignment="1">
      <alignment wrapText="1"/>
    </xf>
    <xf numFmtId="0" fontId="17" fillId="0" borderId="12" xfId="0" applyFont="1" applyBorder="1" applyAlignment="1">
      <alignment horizontal="center" vertical="center"/>
    </xf>
    <xf numFmtId="0" fontId="25" fillId="0" borderId="8" xfId="0" applyFont="1" applyBorder="1" applyAlignment="1">
      <alignment horizontal="center" vertical="center"/>
    </xf>
    <xf numFmtId="0" fontId="27" fillId="0" borderId="2" xfId="0" applyFont="1" applyBorder="1" applyAlignment="1">
      <alignment horizontal="center" vertical="center" wrapText="1"/>
    </xf>
    <xf numFmtId="0" fontId="25" fillId="0" borderId="8" xfId="0" applyFont="1" applyBorder="1" applyAlignment="1">
      <alignment horizontal="center" vertical="center" wrapText="1"/>
    </xf>
    <xf numFmtId="0" fontId="1" fillId="0" borderId="8" xfId="0" applyFont="1" applyBorder="1" applyAlignment="1">
      <alignment horizontal="left" vertical="top"/>
    </xf>
    <xf numFmtId="0" fontId="4" fillId="0" borderId="8" xfId="0" applyFont="1" applyBorder="1"/>
    <xf numFmtId="0" fontId="4" fillId="0" borderId="16" xfId="0" applyFont="1" applyBorder="1"/>
    <xf numFmtId="0" fontId="4" fillId="0" borderId="15" xfId="0" applyFont="1" applyBorder="1"/>
    <xf numFmtId="0" fontId="4" fillId="0" borderId="16" xfId="0" applyFont="1" applyBorder="1" applyAlignment="1">
      <alignment horizontal="left" wrapText="1"/>
    </xf>
    <xf numFmtId="0" fontId="4" fillId="0" borderId="15" xfId="0" applyFont="1" applyBorder="1" applyAlignment="1">
      <alignment horizontal="left" wrapText="1"/>
    </xf>
    <xf numFmtId="0" fontId="4" fillId="0" borderId="16" xfId="0" applyFont="1" applyBorder="1" applyAlignment="1">
      <alignment vertical="top" wrapText="1"/>
    </xf>
    <xf numFmtId="0" fontId="4" fillId="0" borderId="15" xfId="0" applyFont="1" applyBorder="1" applyAlignment="1">
      <alignment vertical="top"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8" xfId="0" quotePrefix="1" applyFont="1" applyBorder="1" applyAlignment="1">
      <alignment horizontal="center"/>
    </xf>
    <xf numFmtId="0" fontId="4" fillId="0" borderId="10" xfId="0" quotePrefix="1" applyFont="1" applyBorder="1" applyAlignment="1">
      <alignment horizontal="center"/>
    </xf>
    <xf numFmtId="0" fontId="4" fillId="0" borderId="8" xfId="0" applyFont="1" applyBorder="1" applyAlignment="1">
      <alignment vertical="top"/>
    </xf>
    <xf numFmtId="2" fontId="1" fillId="0" borderId="15" xfId="0" applyNumberFormat="1" applyFont="1" applyBorder="1" applyAlignment="1">
      <alignment horizontal="right" vertical="top"/>
    </xf>
    <xf numFmtId="2" fontId="1" fillId="0" borderId="8" xfId="0" applyNumberFormat="1" applyFont="1" applyBorder="1" applyAlignment="1">
      <alignment horizontal="center" vertical="top"/>
    </xf>
    <xf numFmtId="2" fontId="1" fillId="0" borderId="15" xfId="0" applyNumberFormat="1" applyFont="1" applyBorder="1" applyAlignment="1">
      <alignment vertical="top"/>
    </xf>
    <xf numFmtId="0" fontId="4" fillId="0" borderId="8" xfId="0" applyFont="1" applyBorder="1" applyAlignment="1">
      <alignment horizontal="center" vertical="top"/>
    </xf>
    <xf numFmtId="0" fontId="4" fillId="0" borderId="33" xfId="0" applyFont="1" applyBorder="1" applyAlignment="1">
      <alignment horizontal="left" vertical="top"/>
    </xf>
    <xf numFmtId="2" fontId="4" fillId="0" borderId="15" xfId="0" applyNumberFormat="1" applyFont="1" applyBorder="1" applyAlignment="1">
      <alignment horizontal="right" vertical="top"/>
    </xf>
    <xf numFmtId="0" fontId="1" fillId="0" borderId="8" xfId="0" applyFont="1" applyBorder="1" applyAlignment="1">
      <alignment horizontal="center" vertical="center"/>
    </xf>
    <xf numFmtId="0" fontId="1" fillId="0" borderId="33" xfId="0" applyFont="1" applyBorder="1" applyAlignment="1">
      <alignment vertical="center"/>
    </xf>
    <xf numFmtId="0" fontId="1" fillId="0" borderId="16" xfId="0" applyFont="1" applyBorder="1" applyAlignment="1">
      <alignment vertical="center"/>
    </xf>
    <xf numFmtId="2" fontId="4" fillId="0" borderId="11" xfId="0" applyNumberFormat="1" applyFont="1" applyBorder="1" applyAlignment="1">
      <alignment vertical="top"/>
    </xf>
    <xf numFmtId="2" fontId="4" fillId="0" borderId="37" xfId="0" applyNumberFormat="1" applyFont="1" applyBorder="1" applyAlignment="1">
      <alignment vertical="top"/>
    </xf>
    <xf numFmtId="2" fontId="1" fillId="0" borderId="8" xfId="0" applyNumberFormat="1" applyFont="1" applyBorder="1" applyAlignment="1">
      <alignment horizontal="right" vertical="top"/>
    </xf>
    <xf numFmtId="168" fontId="1" fillId="0" borderId="37" xfId="0" applyNumberFormat="1" applyFont="1" applyBorder="1" applyAlignment="1">
      <alignment horizontal="right" vertical="center"/>
    </xf>
    <xf numFmtId="2" fontId="4" fillId="0" borderId="10" xfId="0" applyNumberFormat="1" applyFont="1" applyBorder="1" applyAlignment="1">
      <alignment vertical="top"/>
    </xf>
    <xf numFmtId="0" fontId="1" fillId="0" borderId="33" xfId="0" applyFont="1" applyBorder="1" applyAlignment="1">
      <alignment horizontal="left" vertical="center"/>
    </xf>
    <xf numFmtId="2" fontId="1" fillId="0" borderId="11" xfId="0" applyNumberFormat="1" applyFont="1" applyBorder="1" applyAlignment="1">
      <alignment vertical="center"/>
    </xf>
    <xf numFmtId="2" fontId="1" fillId="0" borderId="36" xfId="0" applyNumberFormat="1" applyFont="1" applyBorder="1" applyAlignment="1">
      <alignment vertical="center"/>
    </xf>
    <xf numFmtId="0" fontId="4" fillId="0" borderId="8" xfId="0" applyFont="1" applyBorder="1" applyAlignment="1">
      <alignment horizontal="right" vertical="center"/>
    </xf>
    <xf numFmtId="2" fontId="4" fillId="0" borderId="33" xfId="0" applyNumberFormat="1" applyFont="1" applyBorder="1" applyAlignment="1">
      <alignment vertical="center"/>
    </xf>
    <xf numFmtId="2" fontId="1" fillId="0" borderId="33" xfId="0" applyNumberFormat="1" applyFont="1" applyBorder="1" applyAlignment="1">
      <alignment vertical="center"/>
    </xf>
    <xf numFmtId="0" fontId="1" fillId="0" borderId="11" xfId="0" applyFont="1" applyBorder="1"/>
    <xf numFmtId="2" fontId="4" fillId="0" borderId="33" xfId="0" applyNumberFormat="1" applyFont="1" applyBorder="1" applyAlignment="1">
      <alignment horizontal="right" vertical="top"/>
    </xf>
    <xf numFmtId="2" fontId="4" fillId="0" borderId="33" xfId="0" applyNumberFormat="1" applyFont="1" applyBorder="1" applyAlignment="1">
      <alignment horizontal="center" vertical="top"/>
    </xf>
    <xf numFmtId="0" fontId="29" fillId="0" borderId="8" xfId="0" applyFont="1" applyBorder="1" applyAlignment="1">
      <alignment horizontal="center" vertical="center"/>
    </xf>
    <xf numFmtId="0" fontId="29" fillId="0" borderId="12" xfId="0" applyFont="1" applyBorder="1" applyAlignment="1">
      <alignment horizontal="center" vertical="center"/>
    </xf>
    <xf numFmtId="0" fontId="29" fillId="0" borderId="8" xfId="0" applyFont="1" applyBorder="1" applyAlignment="1">
      <alignment vertical="center" wrapText="1"/>
    </xf>
    <xf numFmtId="0" fontId="29" fillId="0" borderId="16" xfId="0" applyFont="1" applyBorder="1" applyAlignment="1">
      <alignment vertical="center" wrapText="1"/>
    </xf>
    <xf numFmtId="0" fontId="29" fillId="0" borderId="16" xfId="0" applyFont="1" applyBorder="1" applyAlignment="1">
      <alignment vertical="center"/>
    </xf>
    <xf numFmtId="0" fontId="29" fillId="0" borderId="15" xfId="0" applyFont="1" applyBorder="1" applyAlignment="1">
      <alignment vertical="center"/>
    </xf>
    <xf numFmtId="0" fontId="29" fillId="0" borderId="8" xfId="0" applyFont="1" applyBorder="1"/>
    <xf numFmtId="0" fontId="29" fillId="0" borderId="16" xfId="0" applyFont="1" applyBorder="1"/>
    <xf numFmtId="0" fontId="29" fillId="0" borderId="9" xfId="0" applyFont="1" applyBorder="1" applyAlignment="1">
      <alignment horizontal="center" vertical="center"/>
    </xf>
    <xf numFmtId="0" fontId="29" fillId="0" borderId="9" xfId="0" applyFont="1" applyBorder="1" applyAlignment="1">
      <alignment vertical="center" wrapText="1"/>
    </xf>
    <xf numFmtId="0" fontId="29" fillId="0" borderId="8" xfId="0" applyFont="1" applyBorder="1" applyAlignment="1">
      <alignment horizontal="left" vertical="center"/>
    </xf>
    <xf numFmtId="0" fontId="29" fillId="0" borderId="16" xfId="0" applyFont="1" applyBorder="1" applyAlignment="1">
      <alignment horizontal="center" vertical="center"/>
    </xf>
    <xf numFmtId="0" fontId="29" fillId="0" borderId="16" xfId="0" applyFont="1" applyBorder="1" applyAlignment="1">
      <alignment horizontal="left" vertical="center" wrapText="1"/>
    </xf>
    <xf numFmtId="0" fontId="29" fillId="0" borderId="11" xfId="0" applyFont="1" applyBorder="1" applyAlignment="1">
      <alignment horizontal="center" vertical="center" wrapText="1"/>
    </xf>
    <xf numFmtId="0" fontId="29" fillId="0" borderId="11" xfId="0" applyFont="1" applyBorder="1" applyAlignment="1">
      <alignment horizontal="center" vertical="center"/>
    </xf>
    <xf numFmtId="0" fontId="31" fillId="0" borderId="11" xfId="0" applyFont="1" applyBorder="1" applyAlignment="1">
      <alignment horizontal="center" vertical="center"/>
    </xf>
    <xf numFmtId="0" fontId="29" fillId="0" borderId="7" xfId="0" applyFont="1" applyBorder="1" applyAlignment="1">
      <alignment horizontal="center" vertical="center"/>
    </xf>
    <xf numFmtId="0" fontId="30" fillId="0" borderId="11" xfId="0" applyFont="1" applyBorder="1" applyAlignment="1">
      <alignment horizontal="center" vertical="center"/>
    </xf>
    <xf numFmtId="0" fontId="29" fillId="0" borderId="7" xfId="0" applyFont="1" applyBorder="1" applyAlignment="1">
      <alignment vertical="center"/>
    </xf>
    <xf numFmtId="0" fontId="29" fillId="0" borderId="8" xfId="0" applyFont="1" applyBorder="1" applyAlignment="1">
      <alignment vertical="center"/>
    </xf>
    <xf numFmtId="0" fontId="29" fillId="0" borderId="10" xfId="0" applyFont="1" applyBorder="1" applyAlignment="1">
      <alignment vertical="center"/>
    </xf>
    <xf numFmtId="0" fontId="32" fillId="0" borderId="7" xfId="0" applyFont="1" applyBorder="1" applyAlignment="1">
      <alignment horizontal="center" vertical="center"/>
    </xf>
    <xf numFmtId="0" fontId="29" fillId="0" borderId="7" xfId="0" applyFont="1" applyBorder="1" applyAlignment="1">
      <alignment horizontal="center" vertical="top"/>
    </xf>
    <xf numFmtId="0" fontId="29" fillId="0" borderId="11" xfId="0" applyFont="1" applyBorder="1" applyAlignment="1">
      <alignment horizontal="center" vertical="top" wrapText="1"/>
    </xf>
    <xf numFmtId="0" fontId="29" fillId="0" borderId="15" xfId="0" applyFont="1" applyBorder="1" applyAlignment="1">
      <alignment horizontal="center" vertical="center" wrapText="1"/>
    </xf>
    <xf numFmtId="0" fontId="29" fillId="0" borderId="10" xfId="0" applyFont="1" applyBorder="1" applyAlignment="1">
      <alignment horizontal="center" vertical="top" wrapText="1"/>
    </xf>
    <xf numFmtId="0" fontId="30" fillId="0" borderId="8" xfId="0" applyFont="1" applyBorder="1" applyAlignment="1">
      <alignment vertical="top"/>
    </xf>
    <xf numFmtId="0" fontId="30" fillId="0" borderId="16" xfId="0" applyFont="1" applyBorder="1" applyAlignment="1">
      <alignment horizontal="left" vertical="top" wrapText="1"/>
    </xf>
    <xf numFmtId="0" fontId="30" fillId="0" borderId="15" xfId="0" applyFont="1" applyBorder="1" applyAlignment="1">
      <alignment horizontal="left" vertical="top" wrapText="1"/>
    </xf>
    <xf numFmtId="0" fontId="33" fillId="0" borderId="15" xfId="0" applyFont="1" applyBorder="1" applyAlignment="1">
      <alignment vertical="top"/>
    </xf>
    <xf numFmtId="0" fontId="29" fillId="0" borderId="10" xfId="0" applyFont="1" applyBorder="1" applyAlignment="1">
      <alignment horizontal="center" vertical="top"/>
    </xf>
    <xf numFmtId="0" fontId="29" fillId="0" borderId="7" xfId="0" applyFont="1" applyBorder="1" applyAlignment="1">
      <alignment horizontal="center" vertical="top" wrapText="1"/>
    </xf>
    <xf numFmtId="0" fontId="29" fillId="0" borderId="10"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7" xfId="0" applyFont="1" applyBorder="1" applyAlignment="1">
      <alignment vertical="center" wrapText="1"/>
    </xf>
    <xf numFmtId="0" fontId="29" fillId="0" borderId="10" xfId="0" applyFont="1" applyBorder="1" applyAlignment="1">
      <alignment vertical="center" wrapText="1"/>
    </xf>
    <xf numFmtId="0" fontId="29" fillId="0" borderId="11" xfId="0" applyFont="1" applyBorder="1"/>
    <xf numFmtId="0" fontId="30" fillId="0" borderId="10" xfId="0" applyFont="1" applyBorder="1" applyAlignment="1">
      <alignment horizontal="center" vertical="center"/>
    </xf>
    <xf numFmtId="0" fontId="29" fillId="0" borderId="10" xfId="0" applyFont="1" applyBorder="1"/>
    <xf numFmtId="0" fontId="32" fillId="0" borderId="11" xfId="0" applyFont="1" applyBorder="1" applyAlignment="1">
      <alignment horizontal="center" vertical="center"/>
    </xf>
    <xf numFmtId="0" fontId="29" fillId="0" borderId="11" xfId="0" applyFont="1" applyBorder="1" applyAlignment="1">
      <alignment horizontal="center" vertical="top"/>
    </xf>
    <xf numFmtId="0" fontId="29" fillId="0" borderId="10" xfId="0" applyFont="1" applyBorder="1" applyAlignment="1">
      <alignment horizontal="center" vertical="center"/>
    </xf>
    <xf numFmtId="0" fontId="29" fillId="0" borderId="7" xfId="0" applyFont="1" applyBorder="1" applyAlignment="1">
      <alignment horizontal="left" vertical="center" wrapText="1"/>
    </xf>
    <xf numFmtId="0" fontId="29" fillId="0" borderId="10" xfId="0" applyFont="1" applyBorder="1" applyAlignment="1">
      <alignment horizontal="left" vertical="center" wrapText="1"/>
    </xf>
    <xf numFmtId="0" fontId="32" fillId="0" borderId="7" xfId="0" applyFont="1" applyBorder="1" applyAlignment="1">
      <alignment horizontal="center" vertical="top"/>
    </xf>
    <xf numFmtId="165" fontId="29" fillId="0" borderId="11" xfId="0" applyNumberFormat="1" applyFont="1" applyBorder="1" applyAlignment="1">
      <alignment horizontal="center" vertical="center" wrapText="1"/>
    </xf>
    <xf numFmtId="0" fontId="30" fillId="0" borderId="8" xfId="0" applyFont="1" applyBorder="1" applyAlignment="1">
      <alignment horizontal="center" vertical="center"/>
    </xf>
    <xf numFmtId="0" fontId="29" fillId="0" borderId="15" xfId="0" applyFont="1" applyBorder="1" applyAlignment="1">
      <alignment vertical="center" wrapText="1"/>
    </xf>
    <xf numFmtId="166" fontId="31" fillId="0" borderId="8" xfId="0" applyNumberFormat="1" applyFont="1" applyBorder="1" applyAlignment="1">
      <alignment vertical="center"/>
    </xf>
    <xf numFmtId="166" fontId="35" fillId="0" borderId="16" xfId="0" applyNumberFormat="1" applyFont="1" applyBorder="1" applyAlignment="1">
      <alignment vertical="center"/>
    </xf>
    <xf numFmtId="166" fontId="30" fillId="0" borderId="16" xfId="0" applyNumberFormat="1" applyFont="1" applyBorder="1" applyAlignment="1">
      <alignment horizontal="left" vertical="center"/>
    </xf>
    <xf numFmtId="166" fontId="30" fillId="0" borderId="16" xfId="0" applyNumberFormat="1" applyFont="1" applyBorder="1" applyAlignment="1">
      <alignment vertical="center"/>
    </xf>
    <xf numFmtId="166" fontId="30" fillId="0" borderId="7" xfId="0" applyNumberFormat="1" applyFont="1" applyBorder="1" applyAlignment="1">
      <alignment horizontal="center" vertical="top"/>
    </xf>
    <xf numFmtId="166" fontId="30" fillId="0" borderId="14" xfId="0" applyNumberFormat="1" applyFont="1" applyBorder="1" applyAlignment="1">
      <alignment horizontal="center" vertical="top"/>
    </xf>
    <xf numFmtId="166" fontId="30" fillId="0" borderId="14" xfId="0" applyNumberFormat="1" applyFont="1" applyBorder="1" applyAlignment="1">
      <alignment horizontal="left" vertical="center"/>
    </xf>
    <xf numFmtId="166" fontId="30" fillId="0" borderId="14" xfId="0" applyNumberFormat="1" applyFont="1" applyBorder="1" applyAlignment="1">
      <alignment horizontal="center" vertical="center"/>
    </xf>
    <xf numFmtId="166" fontId="30" fillId="0" borderId="14" xfId="0" applyNumberFormat="1" applyFont="1" applyBorder="1" applyAlignment="1">
      <alignment vertical="center"/>
    </xf>
    <xf numFmtId="166" fontId="30" fillId="0" borderId="14" xfId="0" applyNumberFormat="1" applyFont="1" applyBorder="1" applyAlignment="1">
      <alignment vertical="top"/>
    </xf>
    <xf numFmtId="166" fontId="30" fillId="0" borderId="10" xfId="0" applyNumberFormat="1" applyFont="1" applyBorder="1" applyAlignment="1">
      <alignment horizontal="center" vertical="top"/>
    </xf>
    <xf numFmtId="166" fontId="30" fillId="0" borderId="12" xfId="0" applyNumberFormat="1" applyFont="1" applyBorder="1" applyAlignment="1">
      <alignment vertical="top"/>
    </xf>
    <xf numFmtId="166" fontId="31" fillId="0" borderId="10" xfId="0" applyNumberFormat="1" applyFont="1" applyBorder="1" applyAlignment="1">
      <alignment horizontal="center" vertical="center"/>
    </xf>
    <xf numFmtId="166" fontId="31" fillId="0" borderId="12" xfId="0" applyNumberFormat="1" applyFont="1" applyBorder="1" applyAlignment="1">
      <alignment vertical="center"/>
    </xf>
    <xf numFmtId="166" fontId="35" fillId="0" borderId="1" xfId="0" applyNumberFormat="1" applyFont="1" applyBorder="1" applyAlignment="1">
      <alignment vertical="top"/>
    </xf>
    <xf numFmtId="166" fontId="35" fillId="0" borderId="16" xfId="0" applyNumberFormat="1" applyFont="1" applyBorder="1" applyAlignment="1">
      <alignment vertical="top"/>
    </xf>
    <xf numFmtId="166" fontId="31" fillId="0" borderId="16" xfId="0" applyNumberFormat="1" applyFont="1" applyBorder="1" applyAlignment="1">
      <alignment horizontal="left" vertical="top"/>
    </xf>
    <xf numFmtId="166" fontId="31" fillId="0" borderId="16" xfId="0" applyNumberFormat="1" applyFont="1" applyBorder="1" applyAlignment="1">
      <alignment vertical="top"/>
    </xf>
    <xf numFmtId="0" fontId="32" fillId="0" borderId="16" xfId="0" applyFont="1" applyBorder="1" applyAlignment="1">
      <alignment vertical="top"/>
    </xf>
    <xf numFmtId="0" fontId="32" fillId="0" borderId="16" xfId="0" applyFont="1" applyBorder="1" applyAlignment="1">
      <alignment horizontal="center" vertical="top"/>
    </xf>
    <xf numFmtId="0" fontId="32" fillId="0" borderId="15" xfId="0" applyFont="1" applyBorder="1" applyAlignment="1">
      <alignment vertical="top"/>
    </xf>
    <xf numFmtId="0" fontId="29" fillId="0" borderId="14" xfId="0" applyFont="1" applyBorder="1" applyAlignment="1">
      <alignment vertical="top"/>
    </xf>
    <xf numFmtId="0" fontId="36" fillId="0" borderId="8" xfId="0" applyFont="1" applyBorder="1" applyAlignment="1">
      <alignment wrapText="1"/>
    </xf>
    <xf numFmtId="0" fontId="36" fillId="0" borderId="12" xfId="0" applyFont="1" applyBorder="1" applyAlignment="1">
      <alignment wrapText="1"/>
    </xf>
    <xf numFmtId="0" fontId="36" fillId="0" borderId="2" xfId="0" applyFont="1" applyBorder="1" applyAlignment="1">
      <alignment horizontal="center" wrapText="1"/>
    </xf>
    <xf numFmtId="0" fontId="36" fillId="0" borderId="2" xfId="0" applyFont="1" applyBorder="1" applyAlignment="1">
      <alignment horizontal="center" vertical="center" wrapText="1"/>
    </xf>
    <xf numFmtId="0" fontId="36" fillId="0" borderId="8" xfId="0" applyFont="1" applyBorder="1" applyAlignment="1">
      <alignment horizontal="left" wrapText="1"/>
    </xf>
    <xf numFmtId="0" fontId="36" fillId="0" borderId="12" xfId="0" applyFont="1" applyBorder="1" applyAlignment="1">
      <alignment horizontal="left" wrapText="1"/>
    </xf>
    <xf numFmtId="0" fontId="36" fillId="0" borderId="2" xfId="0" applyFont="1" applyBorder="1" applyAlignment="1">
      <alignment wrapText="1"/>
    </xf>
    <xf numFmtId="0" fontId="36" fillId="4" borderId="13" xfId="0" applyFont="1" applyFill="1" applyBorder="1" applyAlignment="1">
      <alignment wrapText="1"/>
    </xf>
    <xf numFmtId="0" fontId="36" fillId="0" borderId="10" xfId="0" applyFont="1" applyBorder="1" applyAlignment="1">
      <alignment wrapText="1"/>
    </xf>
    <xf numFmtId="0" fontId="36" fillId="4" borderId="13" xfId="0" applyFont="1" applyFill="1" applyBorder="1"/>
    <xf numFmtId="0" fontId="36" fillId="0" borderId="8" xfId="0" applyFont="1" applyBorder="1"/>
    <xf numFmtId="0" fontId="36" fillId="0" borderId="15" xfId="0" applyFont="1" applyBorder="1"/>
    <xf numFmtId="0" fontId="36" fillId="0" borderId="12" xfId="0" applyFont="1" applyBorder="1"/>
    <xf numFmtId="0" fontId="36" fillId="0" borderId="3" xfId="0" applyFont="1" applyBorder="1" applyAlignment="1">
      <alignment wrapText="1"/>
    </xf>
    <xf numFmtId="0" fontId="36" fillId="0" borderId="15" xfId="0" applyFont="1" applyBorder="1" applyAlignment="1">
      <alignment wrapText="1"/>
    </xf>
    <xf numFmtId="0" fontId="36" fillId="0" borderId="3" xfId="0" applyFont="1" applyBorder="1"/>
    <xf numFmtId="0" fontId="36" fillId="0" borderId="2" xfId="0" applyFont="1" applyBorder="1"/>
    <xf numFmtId="0" fontId="36" fillId="0" borderId="10" xfId="0" applyFont="1" applyBorder="1"/>
    <xf numFmtId="17" fontId="36" fillId="0" borderId="2" xfId="0" applyNumberFormat="1" applyFont="1" applyBorder="1"/>
    <xf numFmtId="17" fontId="36" fillId="0" borderId="10" xfId="0" applyNumberFormat="1" applyFont="1" applyBorder="1"/>
    <xf numFmtId="0" fontId="39" fillId="0" borderId="2" xfId="0" applyFont="1" applyBorder="1"/>
    <xf numFmtId="0" fontId="39" fillId="7" borderId="15" xfId="0" applyFont="1" applyFill="1" applyBorder="1" applyAlignment="1">
      <alignment wrapText="1"/>
    </xf>
    <xf numFmtId="0" fontId="39" fillId="0" borderId="15" xfId="0" applyFont="1" applyBorder="1" applyAlignment="1">
      <alignment wrapText="1"/>
    </xf>
    <xf numFmtId="0" fontId="40" fillId="0" borderId="15" xfId="0" applyFont="1" applyBorder="1" applyAlignment="1">
      <alignment wrapText="1"/>
    </xf>
    <xf numFmtId="0" fontId="39" fillId="0" borderId="15" xfId="0" applyFont="1" applyBorder="1"/>
    <xf numFmtId="0" fontId="39" fillId="0" borderId="16" xfId="0" applyFont="1" applyBorder="1"/>
    <xf numFmtId="0" fontId="37" fillId="0" borderId="2" xfId="1" applyFill="1" applyBorder="1" applyAlignment="1">
      <alignment wrapText="1"/>
    </xf>
    <xf numFmtId="0" fontId="37" fillId="0" borderId="15" xfId="1" applyFill="1" applyBorder="1" applyAlignment="1">
      <alignment wrapText="1"/>
    </xf>
    <xf numFmtId="0" fontId="41" fillId="0" borderId="15" xfId="0" applyFont="1" applyBorder="1" applyAlignment="1">
      <alignment wrapText="1"/>
    </xf>
    <xf numFmtId="0" fontId="39" fillId="0" borderId="13" xfId="0" applyFont="1" applyBorder="1"/>
    <xf numFmtId="0" fontId="39" fillId="0" borderId="10" xfId="0" applyFont="1" applyBorder="1"/>
    <xf numFmtId="0" fontId="39" fillId="0" borderId="3" xfId="0" applyFont="1" applyBorder="1" applyAlignment="1">
      <alignment wrapText="1"/>
    </xf>
    <xf numFmtId="0" fontId="39" fillId="0" borderId="3" xfId="0" applyFont="1" applyBorder="1"/>
    <xf numFmtId="0" fontId="39" fillId="0" borderId="3" xfId="0" quotePrefix="1" applyFont="1" applyBorder="1" applyAlignment="1">
      <alignment wrapText="1"/>
    </xf>
    <xf numFmtId="0" fontId="39" fillId="0" borderId="1" xfId="0" applyFont="1" applyBorder="1"/>
    <xf numFmtId="0" fontId="37" fillId="0" borderId="10" xfId="1" applyFill="1" applyBorder="1" applyAlignment="1">
      <alignment wrapText="1"/>
    </xf>
    <xf numFmtId="0" fontId="37" fillId="0" borderId="3" xfId="1" applyFill="1" applyBorder="1" applyAlignment="1">
      <alignment wrapText="1"/>
    </xf>
    <xf numFmtId="0" fontId="39" fillId="0" borderId="3" xfId="0" quotePrefix="1" applyFont="1" applyBorder="1"/>
    <xf numFmtId="0" fontId="39" fillId="0" borderId="1" xfId="0" applyFont="1" applyBorder="1" applyAlignment="1">
      <alignment wrapText="1"/>
    </xf>
    <xf numFmtId="0" fontId="36" fillId="0" borderId="16" xfId="0" applyFont="1" applyBorder="1" applyAlignment="1">
      <alignment horizontal="left" wrapText="1"/>
    </xf>
    <xf numFmtId="0" fontId="36" fillId="0" borderId="1" xfId="0" applyFont="1" applyBorder="1" applyAlignment="1">
      <alignment horizontal="left" wrapText="1"/>
    </xf>
    <xf numFmtId="0" fontId="37" fillId="0" borderId="2" xfId="1" applyBorder="1" applyAlignment="1">
      <alignment horizontal="center" vertical="center" wrapText="1"/>
    </xf>
    <xf numFmtId="0" fontId="21" fillId="0" borderId="0" xfId="0" applyFont="1" applyAlignment="1">
      <alignment horizontal="left" wrapText="1"/>
    </xf>
    <xf numFmtId="0" fontId="0" fillId="0" borderId="0" xfId="0"/>
    <xf numFmtId="0" fontId="4" fillId="0" borderId="8" xfId="0" applyFont="1" applyBorder="1" applyAlignment="1">
      <alignment horizontal="center" vertical="center" wrapText="1"/>
    </xf>
    <xf numFmtId="0" fontId="5" fillId="0" borderId="16" xfId="0" applyFont="1" applyBorder="1"/>
    <xf numFmtId="0" fontId="5" fillId="0" borderId="15" xfId="0" applyFont="1" applyBorder="1"/>
    <xf numFmtId="0" fontId="1" fillId="0" borderId="0" xfId="0" applyFont="1" applyAlignment="1">
      <alignment horizontal="left" vertical="top" wrapText="1"/>
    </xf>
    <xf numFmtId="0" fontId="1" fillId="0" borderId="0" xfId="0" applyFont="1" applyAlignment="1">
      <alignment horizontal="center" wrapText="1"/>
    </xf>
    <xf numFmtId="0" fontId="1" fillId="0" borderId="0" xfId="0" applyFont="1" applyAlignment="1">
      <alignment horizontal="center"/>
    </xf>
    <xf numFmtId="0" fontId="4" fillId="0" borderId="8" xfId="0" applyFont="1" applyBorder="1" applyAlignment="1">
      <alignment horizontal="center" wrapText="1"/>
    </xf>
    <xf numFmtId="0" fontId="4" fillId="0" borderId="8" xfId="0" applyFont="1" applyBorder="1" applyAlignment="1">
      <alignment horizontal="left"/>
    </xf>
    <xf numFmtId="0" fontId="4" fillId="0" borderId="8" xfId="0" applyFont="1" applyBorder="1" applyAlignment="1">
      <alignment horizontal="left" wrapText="1"/>
    </xf>
    <xf numFmtId="0" fontId="6" fillId="0" borderId="0" xfId="0" applyFont="1" applyAlignment="1">
      <alignment horizontal="left" vertical="top" wrapText="1"/>
    </xf>
    <xf numFmtId="0" fontId="1" fillId="0" borderId="8" xfId="0" applyFont="1" applyBorder="1" applyAlignment="1">
      <alignment horizontal="left" wrapText="1"/>
    </xf>
    <xf numFmtId="0" fontId="1" fillId="0" borderId="8" xfId="0" applyFont="1" applyBorder="1" applyAlignment="1">
      <alignment horizontal="left"/>
    </xf>
    <xf numFmtId="0" fontId="4" fillId="0" borderId="8" xfId="0" applyFont="1" applyBorder="1" applyAlignment="1">
      <alignment horizontal="left" vertical="top" wrapText="1"/>
    </xf>
    <xf numFmtId="0" fontId="1" fillId="0" borderId="0" xfId="0" applyFont="1" applyAlignment="1">
      <alignment horizontal="left" wrapText="1"/>
    </xf>
    <xf numFmtId="0" fontId="2" fillId="0" borderId="0" xfId="0" applyFont="1" applyAlignment="1">
      <alignment horizontal="center" vertical="center" wrapText="1"/>
    </xf>
    <xf numFmtId="0" fontId="7" fillId="0" borderId="11" xfId="0" applyFont="1" applyBorder="1" applyAlignment="1">
      <alignment horizontal="center" vertical="center" wrapText="1"/>
    </xf>
    <xf numFmtId="0" fontId="5" fillId="0" borderId="7" xfId="0" applyFont="1" applyBorder="1"/>
    <xf numFmtId="0" fontId="5" fillId="0" borderId="10" xfId="0" applyFont="1" applyBorder="1"/>
    <xf numFmtId="0" fontId="7" fillId="0" borderId="8" xfId="0" applyFont="1" applyBorder="1" applyAlignment="1">
      <alignment horizontal="center" vertical="center"/>
    </xf>
    <xf numFmtId="0" fontId="7" fillId="0" borderId="14" xfId="0" applyFont="1" applyBorder="1" applyAlignment="1">
      <alignment horizontal="center" vertical="center" wrapText="1"/>
    </xf>
    <xf numFmtId="0" fontId="5" fillId="0" borderId="6" xfId="0" applyFont="1" applyBorder="1"/>
    <xf numFmtId="0" fontId="5" fillId="0" borderId="14" xfId="0" applyFont="1" applyBorder="1"/>
    <xf numFmtId="0" fontId="5" fillId="0" borderId="12" xfId="0" applyFont="1" applyBorder="1"/>
    <xf numFmtId="0" fontId="5" fillId="0" borderId="1" xfId="0" applyFont="1" applyBorder="1"/>
    <xf numFmtId="0" fontId="5" fillId="0" borderId="3" xfId="0" applyFont="1" applyBorder="1"/>
    <xf numFmtId="0" fontId="8" fillId="0" borderId="8" xfId="0" applyFont="1" applyBorder="1" applyAlignment="1">
      <alignment horizontal="left" vertical="center" wrapText="1"/>
    </xf>
    <xf numFmtId="0" fontId="8" fillId="0" borderId="8" xfId="0" applyFont="1" applyBorder="1" applyAlignment="1">
      <alignment horizontal="left" vertical="center"/>
    </xf>
    <xf numFmtId="0" fontId="7" fillId="0" borderId="12" xfId="0" applyFont="1" applyBorder="1" applyAlignment="1">
      <alignment horizontal="center" vertical="center"/>
    </xf>
    <xf numFmtId="0" fontId="8" fillId="0" borderId="16" xfId="0" applyFont="1" applyBorder="1" applyAlignment="1">
      <alignment horizontal="left" vertical="center" wrapText="1"/>
    </xf>
    <xf numFmtId="0" fontId="8" fillId="0" borderId="8" xfId="0" applyFont="1" applyBorder="1" applyAlignment="1">
      <alignment horizontal="left" vertical="top" wrapText="1"/>
    </xf>
    <xf numFmtId="0" fontId="8" fillId="0" borderId="9" xfId="0" applyFont="1" applyBorder="1" applyAlignment="1">
      <alignment horizontal="left" vertical="center" wrapText="1"/>
    </xf>
    <xf numFmtId="0" fontId="5" fillId="0" borderId="4" xfId="0" applyFont="1" applyBorder="1"/>
    <xf numFmtId="0" fontId="5" fillId="0" borderId="5" xfId="0" applyFont="1" applyBorder="1"/>
    <xf numFmtId="166" fontId="10" fillId="0" borderId="4" xfId="0" applyNumberFormat="1" applyFont="1" applyBorder="1" applyAlignment="1">
      <alignment horizontal="left" vertical="center"/>
    </xf>
    <xf numFmtId="0" fontId="7" fillId="0" borderId="0" xfId="0" applyFont="1" applyAlignment="1">
      <alignment horizontal="center" vertical="center"/>
    </xf>
    <xf numFmtId="166" fontId="10" fillId="0" borderId="0" xfId="0" applyNumberFormat="1" applyFont="1" applyAlignment="1">
      <alignment horizontal="left" vertical="center"/>
    </xf>
    <xf numFmtId="0" fontId="7" fillId="0" borderId="0" xfId="0" applyFont="1" applyAlignment="1">
      <alignment horizontal="center" vertical="top"/>
    </xf>
    <xf numFmtId="0" fontId="8" fillId="0" borderId="1" xfId="0" applyFont="1" applyBorder="1" applyAlignment="1">
      <alignment horizontal="center" vertical="top"/>
    </xf>
    <xf numFmtId="0" fontId="8" fillId="0" borderId="0" xfId="0" applyFont="1" applyAlignment="1">
      <alignment horizontal="left" vertical="center"/>
    </xf>
    <xf numFmtId="0" fontId="8" fillId="0" borderId="1" xfId="0" applyFont="1" applyBorder="1" applyAlignment="1">
      <alignment horizontal="center" vertical="center"/>
    </xf>
    <xf numFmtId="166" fontId="10" fillId="0" borderId="0" xfId="0" applyNumberFormat="1" applyFont="1" applyAlignment="1">
      <alignment horizontal="left" vertical="top" wrapText="1"/>
    </xf>
    <xf numFmtId="0" fontId="1" fillId="10" borderId="13" xfId="0" applyFont="1" applyFill="1" applyBorder="1" applyAlignment="1">
      <alignment horizontal="left" vertical="top" wrapText="1"/>
    </xf>
    <xf numFmtId="0" fontId="5" fillId="0" borderId="13" xfId="0" applyFont="1" applyBorder="1"/>
    <xf numFmtId="0" fontId="7" fillId="0" borderId="14" xfId="0" applyFont="1" applyBorder="1" applyAlignment="1">
      <alignment horizontal="center" vertical="center"/>
    </xf>
    <xf numFmtId="0" fontId="8" fillId="0" borderId="14" xfId="0" applyFont="1" applyBorder="1" applyAlignment="1">
      <alignment horizontal="center" vertical="center"/>
    </xf>
    <xf numFmtId="0" fontId="8" fillId="0" borderId="4" xfId="0" applyFont="1" applyBorder="1" applyAlignment="1">
      <alignment horizontal="left" vertical="center" wrapText="1"/>
    </xf>
    <xf numFmtId="0" fontId="7" fillId="9" borderId="8" xfId="0" applyFont="1" applyFill="1" applyBorder="1" applyAlignment="1">
      <alignment horizontal="center" vertical="center"/>
    </xf>
    <xf numFmtId="166" fontId="10" fillId="0" borderId="0" xfId="0" applyNumberFormat="1" applyFont="1" applyAlignment="1">
      <alignment horizontal="left" vertical="center" wrapText="1"/>
    </xf>
    <xf numFmtId="0" fontId="8" fillId="0" borderId="12" xfId="0" applyFont="1" applyBorder="1" applyAlignment="1">
      <alignment horizontal="left" vertical="top" wrapText="1"/>
    </xf>
    <xf numFmtId="0" fontId="8" fillId="0" borderId="8" xfId="0" applyFont="1" applyBorder="1" applyAlignment="1">
      <alignment horizontal="center" vertical="center"/>
    </xf>
    <xf numFmtId="0" fontId="8" fillId="0" borderId="12" xfId="0" applyFont="1" applyBorder="1" applyAlignment="1">
      <alignment horizontal="left" vertical="center"/>
    </xf>
    <xf numFmtId="0" fontId="7" fillId="0" borderId="8" xfId="0" applyFont="1" applyBorder="1" applyAlignment="1">
      <alignment horizontal="left" vertical="center" wrapText="1"/>
    </xf>
    <xf numFmtId="164" fontId="8" fillId="0" borderId="16" xfId="0" applyNumberFormat="1" applyFont="1" applyBorder="1" applyAlignment="1">
      <alignment horizontal="left" vertical="center" wrapText="1"/>
    </xf>
    <xf numFmtId="0" fontId="8" fillId="0" borderId="16" xfId="0" applyFont="1" applyBorder="1" applyAlignment="1">
      <alignment horizontal="left" vertical="top" wrapText="1"/>
    </xf>
    <xf numFmtId="0" fontId="8" fillId="0" borderId="16" xfId="0" applyFont="1" applyBorder="1" applyAlignment="1">
      <alignment horizontal="left" vertical="center"/>
    </xf>
    <xf numFmtId="0" fontId="8" fillId="0" borderId="12" xfId="0" applyFont="1" applyBorder="1" applyAlignment="1">
      <alignment horizontal="left" vertical="center" wrapText="1"/>
    </xf>
    <xf numFmtId="0" fontId="8" fillId="0" borderId="8" xfId="0" applyFont="1" applyBorder="1" applyAlignment="1">
      <alignment horizontal="left" vertical="center" shrinkToFit="1"/>
    </xf>
    <xf numFmtId="0" fontId="8" fillId="0" borderId="11" xfId="0" applyFont="1" applyBorder="1" applyAlignment="1">
      <alignment horizontal="center"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9" fillId="0" borderId="16" xfId="0" applyFont="1" applyBorder="1" applyAlignment="1">
      <alignment vertical="center" wrapText="1"/>
    </xf>
    <xf numFmtId="0" fontId="10" fillId="0" borderId="16" xfId="0" applyFont="1" applyBorder="1" applyAlignment="1">
      <alignment horizontal="left" vertical="top" wrapText="1"/>
    </xf>
    <xf numFmtId="14" fontId="1" fillId="0" borderId="8" xfId="0" applyNumberFormat="1" applyFont="1" applyBorder="1" applyAlignment="1">
      <alignment horizontal="center"/>
    </xf>
    <xf numFmtId="0" fontId="1" fillId="0" borderId="8" xfId="0" applyFont="1" applyBorder="1" applyAlignment="1">
      <alignment horizontal="center"/>
    </xf>
    <xf numFmtId="0" fontId="1" fillId="0" borderId="8" xfId="0" applyFont="1" applyBorder="1" applyAlignment="1">
      <alignment horizontal="left" vertical="center" wrapText="1"/>
    </xf>
    <xf numFmtId="0" fontId="2" fillId="0" borderId="8" xfId="0" applyFont="1" applyBorder="1" applyAlignment="1">
      <alignment horizontal="center"/>
    </xf>
    <xf numFmtId="0" fontId="8" fillId="0" borderId="8" xfId="0" applyFont="1" applyBorder="1" applyAlignment="1">
      <alignment vertical="center" wrapText="1"/>
    </xf>
    <xf numFmtId="0" fontId="7" fillId="0" borderId="9" xfId="0" applyFont="1" applyBorder="1" applyAlignment="1">
      <alignment horizontal="left" vertical="center" wrapText="1"/>
    </xf>
    <xf numFmtId="0" fontId="1" fillId="0" borderId="12" xfId="0" applyFont="1" applyBorder="1" applyAlignment="1">
      <alignment horizontal="left" vertical="center"/>
    </xf>
    <xf numFmtId="2" fontId="17" fillId="0" borderId="11" xfId="0" applyNumberFormat="1" applyFont="1" applyBorder="1" applyAlignment="1">
      <alignment horizontal="center" vertical="center" wrapText="1"/>
    </xf>
    <xf numFmtId="0" fontId="17" fillId="0" borderId="11" xfId="0" applyFont="1" applyBorder="1" applyAlignment="1">
      <alignment horizontal="center" vertical="center"/>
    </xf>
    <xf numFmtId="0" fontId="36" fillId="4" borderId="11" xfId="0" applyFont="1" applyFill="1" applyBorder="1" applyAlignment="1">
      <alignment wrapText="1"/>
    </xf>
    <xf numFmtId="0" fontId="36" fillId="4" borderId="10" xfId="0" applyFont="1" applyFill="1" applyBorder="1" applyAlignment="1">
      <alignment wrapText="1"/>
    </xf>
    <xf numFmtId="0" fontId="1" fillId="0" borderId="14" xfId="0" applyFont="1" applyBorder="1" applyAlignment="1">
      <alignment horizontal="center" wrapText="1"/>
    </xf>
    <xf numFmtId="0" fontId="17" fillId="4" borderId="11"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1" fillId="0" borderId="11" xfId="0" applyFont="1" applyBorder="1" applyAlignment="1">
      <alignment horizontal="center" vertical="center" wrapText="1"/>
    </xf>
    <xf numFmtId="0" fontId="36" fillId="4" borderId="7" xfId="0" applyFont="1" applyFill="1" applyBorder="1" applyAlignment="1">
      <alignment wrapText="1"/>
    </xf>
    <xf numFmtId="0" fontId="1" fillId="0" borderId="11" xfId="0" applyFont="1" applyBorder="1" applyAlignment="1">
      <alignment horizontal="center" wrapText="1"/>
    </xf>
    <xf numFmtId="0" fontId="17" fillId="0" borderId="11" xfId="0" applyFont="1" applyBorder="1" applyAlignment="1">
      <alignment horizontal="center" vertical="center" wrapText="1"/>
    </xf>
    <xf numFmtId="0" fontId="1" fillId="0" borderId="0" xfId="0" applyFont="1" applyAlignment="1">
      <alignment horizontal="center" vertical="center" wrapText="1"/>
    </xf>
    <xf numFmtId="0" fontId="17" fillId="0" borderId="11" xfId="0" applyFont="1" applyBorder="1" applyAlignment="1">
      <alignment horizontal="right" vertical="center" wrapText="1"/>
    </xf>
    <xf numFmtId="0" fontId="1" fillId="0" borderId="14" xfId="0" applyFont="1" applyBorder="1" applyAlignment="1">
      <alignment horizontal="center" vertical="center" wrapText="1"/>
    </xf>
    <xf numFmtId="0" fontId="37" fillId="0" borderId="11" xfId="1" applyFill="1" applyBorder="1" applyAlignment="1">
      <alignment wrapText="1"/>
    </xf>
    <xf numFmtId="0" fontId="38" fillId="0" borderId="10" xfId="1" applyFont="1" applyFill="1" applyBorder="1" applyAlignment="1">
      <alignment wrapText="1"/>
    </xf>
    <xf numFmtId="0" fontId="37" fillId="0" borderId="7" xfId="1" applyFill="1" applyBorder="1" applyAlignment="1">
      <alignment wrapText="1"/>
    </xf>
    <xf numFmtId="0" fontId="15" fillId="0" borderId="8" xfId="0" applyFont="1" applyBorder="1" applyAlignment="1">
      <alignment horizontal="center" vertical="center" wrapText="1"/>
    </xf>
    <xf numFmtId="0" fontId="4" fillId="0" borderId="8" xfId="0" applyFont="1" applyBorder="1" applyAlignment="1">
      <alignment horizontal="left" vertical="top"/>
    </xf>
    <xf numFmtId="0" fontId="4" fillId="0" borderId="11" xfId="0" applyFont="1" applyBorder="1" applyAlignment="1">
      <alignment horizontal="center" vertical="center" wrapText="1"/>
    </xf>
    <xf numFmtId="0" fontId="1" fillId="0" borderId="0" xfId="0" applyFont="1" applyAlignment="1">
      <alignment horizontal="left" vertical="center" wrapText="1"/>
    </xf>
    <xf numFmtId="0" fontId="4" fillId="0" borderId="9" xfId="0" applyFont="1" applyBorder="1" applyAlignment="1">
      <alignment horizontal="center" vertical="center"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4" fillId="0" borderId="8" xfId="0" applyFont="1" applyBorder="1" applyAlignment="1">
      <alignment horizontal="left" vertical="center"/>
    </xf>
    <xf numFmtId="0" fontId="1" fillId="0" borderId="4" xfId="0" applyFont="1" applyBorder="1" applyAlignment="1">
      <alignment horizontal="left" vertical="top" wrapText="1"/>
    </xf>
    <xf numFmtId="0" fontId="4" fillId="0" borderId="8" xfId="0" applyFont="1" applyBorder="1" applyAlignment="1">
      <alignment horizontal="left" vertical="center" wrapText="1"/>
    </xf>
    <xf numFmtId="0" fontId="1" fillId="0" borderId="8" xfId="0" applyFont="1" applyBorder="1" applyAlignment="1">
      <alignment wrapText="1"/>
    </xf>
    <xf numFmtId="2" fontId="17" fillId="0" borderId="11" xfId="0" applyNumberFormat="1" applyFont="1" applyBorder="1" applyAlignment="1">
      <alignment horizontal="center" vertical="center"/>
    </xf>
    <xf numFmtId="0" fontId="17" fillId="0" borderId="8" xfId="0" applyFont="1" applyBorder="1" applyAlignment="1">
      <alignment horizontal="left" vertical="center" wrapText="1"/>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 fillId="12" borderId="8" xfId="0" applyFont="1" applyFill="1" applyBorder="1" applyAlignment="1">
      <alignment horizontal="left" vertical="center"/>
    </xf>
    <xf numFmtId="2" fontId="17" fillId="0" borderId="7" xfId="0" applyNumberFormat="1" applyFont="1" applyBorder="1" applyAlignment="1">
      <alignment horizontal="center" vertical="center"/>
    </xf>
    <xf numFmtId="0" fontId="17" fillId="0" borderId="7" xfId="0" applyFont="1" applyBorder="1" applyAlignment="1">
      <alignment horizontal="center" vertical="center"/>
    </xf>
    <xf numFmtId="49" fontId="1" fillId="0" borderId="0" xfId="0" applyNumberFormat="1" applyFont="1" applyAlignment="1">
      <alignment horizontal="center"/>
    </xf>
    <xf numFmtId="49" fontId="1" fillId="0" borderId="0" xfId="0" applyNumberFormat="1" applyFont="1" applyAlignment="1">
      <alignment horizontal="center" wrapText="1"/>
    </xf>
    <xf numFmtId="2" fontId="2" fillId="0" borderId="11" xfId="0" applyNumberFormat="1" applyFont="1" applyBorder="1" applyAlignment="1">
      <alignment horizontal="center" vertical="center"/>
    </xf>
    <xf numFmtId="0" fontId="1"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 fillId="0" borderId="8" xfId="0" quotePrefix="1" applyFont="1" applyBorder="1" applyAlignment="1">
      <alignment horizontal="left" vertical="top" wrapText="1"/>
    </xf>
    <xf numFmtId="0" fontId="1" fillId="0" borderId="1" xfId="0" applyFont="1" applyBorder="1" applyAlignment="1">
      <alignment horizontal="center"/>
    </xf>
    <xf numFmtId="0" fontId="17" fillId="0" borderId="16" xfId="0" applyFont="1" applyBorder="1" applyAlignment="1">
      <alignment horizontal="left" vertical="center" wrapText="1"/>
    </xf>
    <xf numFmtId="0" fontId="4" fillId="0" borderId="39" xfId="0" applyFont="1" applyBorder="1" applyAlignment="1">
      <alignment horizontal="right" vertical="center"/>
    </xf>
    <xf numFmtId="0" fontId="5" fillId="0" borderId="40" xfId="0" applyFont="1" applyBorder="1"/>
    <xf numFmtId="2" fontId="1" fillId="14" borderId="11" xfId="0" applyNumberFormat="1" applyFont="1" applyFill="1" applyBorder="1" applyAlignment="1">
      <alignment horizontal="right" vertical="center"/>
    </xf>
    <xf numFmtId="2" fontId="1" fillId="0" borderId="36" xfId="0" applyNumberFormat="1" applyFont="1" applyBorder="1" applyAlignment="1">
      <alignment horizontal="right" vertical="center"/>
    </xf>
    <xf numFmtId="0" fontId="5" fillId="0" borderId="29" xfId="0" applyFont="1" applyBorder="1"/>
    <xf numFmtId="9" fontId="1" fillId="0" borderId="37" xfId="0" applyNumberFormat="1" applyFont="1" applyBorder="1" applyAlignment="1">
      <alignment horizontal="center" vertical="center"/>
    </xf>
    <xf numFmtId="0" fontId="5" fillId="0" borderId="30" xfId="0" applyFont="1" applyBorder="1"/>
    <xf numFmtId="2" fontId="1" fillId="0" borderId="11" xfId="0" applyNumberFormat="1" applyFont="1" applyBorder="1" applyAlignment="1">
      <alignment horizontal="right" vertical="center"/>
    </xf>
    <xf numFmtId="168" fontId="1" fillId="0" borderId="37" xfId="0" applyNumberFormat="1" applyFont="1" applyBorder="1" applyAlignment="1">
      <alignment horizontal="right" vertical="center"/>
    </xf>
    <xf numFmtId="2" fontId="1" fillId="2" borderId="36" xfId="0" applyNumberFormat="1" applyFont="1" applyFill="1" applyBorder="1" applyAlignment="1">
      <alignment horizontal="center" vertical="center"/>
    </xf>
    <xf numFmtId="9" fontId="1" fillId="2" borderId="37" xfId="0" applyNumberFormat="1" applyFont="1" applyFill="1" applyBorder="1" applyAlignment="1">
      <alignment horizontal="right" vertical="center"/>
    </xf>
    <xf numFmtId="0" fontId="4" fillId="0" borderId="33" xfId="0" applyFont="1" applyBorder="1" applyAlignment="1">
      <alignment horizontal="right" vertical="center"/>
    </xf>
    <xf numFmtId="2" fontId="1" fillId="0" borderId="33" xfId="0" applyNumberFormat="1" applyFont="1" applyBorder="1" applyAlignment="1">
      <alignment horizontal="center" vertical="center"/>
    </xf>
    <xf numFmtId="0" fontId="5" fillId="0" borderId="38" xfId="0" applyFont="1" applyBorder="1"/>
    <xf numFmtId="2" fontId="4" fillId="2" borderId="33" xfId="0" applyNumberFormat="1" applyFont="1" applyFill="1" applyBorder="1" applyAlignment="1">
      <alignment horizontal="center" vertical="center"/>
    </xf>
    <xf numFmtId="0" fontId="4" fillId="0" borderId="20" xfId="0" applyFont="1" applyBorder="1" applyAlignment="1">
      <alignment horizontal="center" vertical="center"/>
    </xf>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4" fillId="0" borderId="17" xfId="0" applyFont="1" applyBorder="1" applyAlignment="1">
      <alignment horizontal="center" vertical="center" wrapText="1"/>
    </xf>
    <xf numFmtId="0" fontId="5" fillId="0" borderId="18" xfId="0" applyFont="1" applyBorder="1"/>
    <xf numFmtId="0" fontId="5" fillId="0" borderId="19" xfId="0" applyFont="1" applyBorder="1"/>
    <xf numFmtId="0" fontId="18" fillId="2" borderId="17" xfId="0" applyFont="1" applyFill="1" applyBorder="1" applyAlignment="1">
      <alignment horizontal="center" vertical="center" wrapText="1"/>
    </xf>
    <xf numFmtId="0" fontId="5" fillId="0" borderId="26" xfId="0" applyFont="1" applyBorder="1"/>
    <xf numFmtId="9" fontId="1" fillId="0" borderId="37" xfId="0" applyNumberFormat="1" applyFont="1" applyBorder="1" applyAlignment="1">
      <alignment horizontal="right" vertical="center"/>
    </xf>
    <xf numFmtId="0" fontId="4" fillId="0" borderId="35" xfId="0" quotePrefix="1" applyFont="1" applyBorder="1" applyAlignment="1">
      <alignment horizontal="center"/>
    </xf>
    <xf numFmtId="0" fontId="1" fillId="0" borderId="33" xfId="0" applyFont="1" applyBorder="1" applyAlignment="1">
      <alignment horizontal="center" vertical="top"/>
    </xf>
    <xf numFmtId="0" fontId="4" fillId="0" borderId="0" xfId="0" applyFont="1" applyAlignment="1">
      <alignment horizontal="center"/>
    </xf>
    <xf numFmtId="0" fontId="4" fillId="0" borderId="16" xfId="0" applyFont="1" applyBorder="1" applyAlignment="1">
      <alignment horizontal="center"/>
    </xf>
    <xf numFmtId="0" fontId="1" fillId="0" borderId="8" xfId="0" applyFont="1" applyBorder="1" applyAlignment="1">
      <alignment horizontal="left" vertical="top"/>
    </xf>
    <xf numFmtId="167" fontId="4" fillId="0" borderId="16" xfId="0" applyNumberFormat="1" applyFont="1" applyBorder="1" applyAlignment="1">
      <alignment horizontal="left"/>
    </xf>
    <xf numFmtId="0" fontId="1" fillId="0" borderId="11" xfId="0" applyFont="1" applyBorder="1" applyAlignment="1">
      <alignment horizontal="right" vertical="center" wrapText="1"/>
    </xf>
    <xf numFmtId="0" fontId="1" fillId="0" borderId="9" xfId="0" applyFont="1" applyBorder="1" applyAlignment="1">
      <alignment horizontal="left" vertical="center" wrapText="1"/>
    </xf>
    <xf numFmtId="0" fontId="4" fillId="0" borderId="17" xfId="0" applyFont="1" applyBorder="1" applyAlignment="1">
      <alignment horizontal="center"/>
    </xf>
    <xf numFmtId="0" fontId="4" fillId="0" borderId="9" xfId="0" applyFont="1" applyBorder="1" applyAlignment="1">
      <alignment vertical="center"/>
    </xf>
    <xf numFmtId="2" fontId="1" fillId="14" borderId="34" xfId="0" applyNumberFormat="1" applyFont="1" applyFill="1" applyBorder="1" applyAlignment="1">
      <alignment horizontal="right" vertical="center"/>
    </xf>
    <xf numFmtId="0" fontId="5" fillId="0" borderId="35" xfId="0" applyFont="1" applyBorder="1"/>
    <xf numFmtId="0" fontId="29" fillId="0" borderId="8" xfId="0" applyFont="1" applyBorder="1" applyAlignment="1">
      <alignment horizontal="left" vertical="center" wrapText="1"/>
    </xf>
    <xf numFmtId="0" fontId="32" fillId="0" borderId="8" xfId="0" applyFont="1" applyBorder="1" applyAlignment="1">
      <alignment horizontal="center" vertical="center"/>
    </xf>
    <xf numFmtId="0" fontId="32" fillId="0" borderId="8" xfId="0" applyFont="1" applyBorder="1" applyAlignment="1">
      <alignment horizontal="left" vertical="center" wrapText="1"/>
    </xf>
    <xf numFmtId="0" fontId="29" fillId="0" borderId="8" xfId="0" applyFont="1" applyBorder="1" applyAlignment="1">
      <alignment horizontal="left" vertical="top" wrapText="1"/>
    </xf>
    <xf numFmtId="0" fontId="29" fillId="0" borderId="8" xfId="0" applyFont="1" applyBorder="1" applyAlignment="1">
      <alignment horizontal="left" vertical="center"/>
    </xf>
    <xf numFmtId="0" fontId="29" fillId="0" borderId="11" xfId="0" applyFont="1" applyBorder="1" applyAlignment="1">
      <alignment horizontal="center" vertical="center" wrapText="1"/>
    </xf>
    <xf numFmtId="0" fontId="29" fillId="0" borderId="8" xfId="0" applyFont="1" applyBorder="1" applyAlignment="1">
      <alignment horizontal="center" vertical="center"/>
    </xf>
    <xf numFmtId="0" fontId="29" fillId="0" borderId="14" xfId="0" applyFont="1" applyBorder="1" applyAlignment="1">
      <alignment horizontal="center" vertical="center" wrapText="1"/>
    </xf>
    <xf numFmtId="0" fontId="29" fillId="0" borderId="12" xfId="0" applyFont="1" applyBorder="1" applyAlignment="1">
      <alignment horizontal="center" vertical="center"/>
    </xf>
    <xf numFmtId="0" fontId="29" fillId="0" borderId="12" xfId="0" applyFont="1" applyBorder="1" applyAlignment="1">
      <alignment horizontal="left" vertical="top" wrapText="1"/>
    </xf>
    <xf numFmtId="0" fontId="29" fillId="0" borderId="12" xfId="0" applyFont="1" applyBorder="1" applyAlignment="1">
      <alignment horizontal="left" vertical="center"/>
    </xf>
    <xf numFmtId="0" fontId="29" fillId="0" borderId="12" xfId="0" applyFont="1" applyBorder="1" applyAlignment="1">
      <alignment horizontal="left" vertical="center" wrapText="1"/>
    </xf>
    <xf numFmtId="164" fontId="29" fillId="0" borderId="8" xfId="0" applyNumberFormat="1" applyFont="1" applyBorder="1" applyAlignment="1">
      <alignment horizontal="left" vertical="center" wrapText="1"/>
    </xf>
    <xf numFmtId="0" fontId="29" fillId="0" borderId="9" xfId="0" applyFont="1" applyBorder="1" applyAlignment="1">
      <alignment horizontal="left" vertical="top" wrapText="1"/>
    </xf>
    <xf numFmtId="166" fontId="30" fillId="0" borderId="0" xfId="0" applyNumberFormat="1" applyFont="1" applyAlignment="1">
      <alignment horizontal="left" vertical="top" wrapText="1"/>
    </xf>
    <xf numFmtId="166" fontId="30" fillId="0" borderId="0" xfId="0" applyNumberFormat="1" applyFont="1" applyAlignment="1">
      <alignment horizontal="left" vertical="center" wrapText="1"/>
    </xf>
    <xf numFmtId="0" fontId="29" fillId="0" borderId="0" xfId="0" applyFont="1" applyAlignment="1">
      <alignment horizontal="center" vertical="top"/>
    </xf>
    <xf numFmtId="0" fontId="29" fillId="0" borderId="1" xfId="0" quotePrefix="1" applyFont="1" applyBorder="1" applyAlignment="1">
      <alignment horizontal="center" vertical="top"/>
    </xf>
    <xf numFmtId="0" fontId="29" fillId="0" borderId="0" xfId="0" applyFont="1" applyAlignment="1">
      <alignment horizontal="center"/>
    </xf>
    <xf numFmtId="0" fontId="29" fillId="0" borderId="0" xfId="0" quotePrefix="1" applyFont="1" applyAlignment="1">
      <alignment horizontal="center" vertical="top"/>
    </xf>
    <xf numFmtId="0" fontId="29" fillId="0" borderId="9" xfId="0" applyFont="1" applyBorder="1" applyAlignment="1">
      <alignment horizontal="left" vertical="center" wrapText="1"/>
    </xf>
    <xf numFmtId="0" fontId="29" fillId="0" borderId="8" xfId="0" applyFont="1" applyBorder="1" applyAlignment="1">
      <alignment horizontal="left" vertical="center" shrinkToFit="1"/>
    </xf>
    <xf numFmtId="0" fontId="30" fillId="0" borderId="8" xfId="0" applyFont="1" applyBorder="1" applyAlignment="1">
      <alignment horizontal="left" vertical="top" wrapText="1"/>
    </xf>
    <xf numFmtId="0" fontId="31" fillId="0" borderId="16" xfId="0" applyFont="1" applyBorder="1" applyAlignment="1">
      <alignment vertical="center" wrapText="1"/>
    </xf>
    <xf numFmtId="0" fontId="29" fillId="0" borderId="8" xfId="0" applyFont="1" applyBorder="1" applyAlignment="1">
      <alignment vertical="center" wrapText="1"/>
    </xf>
    <xf numFmtId="0" fontId="32" fillId="0" borderId="9" xfId="0" applyFont="1" applyBorder="1" applyAlignment="1">
      <alignment horizontal="left" vertical="center" wrapText="1"/>
    </xf>
    <xf numFmtId="0" fontId="29" fillId="0" borderId="0" xfId="0" applyFont="1" applyAlignment="1">
      <alignment horizontal="left" vertical="center"/>
    </xf>
    <xf numFmtId="0" fontId="29" fillId="0" borderId="0" xfId="0" applyFont="1" applyAlignment="1">
      <alignment horizontal="left" vertical="top" wrapText="1"/>
    </xf>
    <xf numFmtId="0" fontId="3" fillId="0" borderId="0" xfId="0" applyFont="1" applyAlignment="1">
      <alignment horizontal="center" vertical="center" wrapText="1"/>
    </xf>
    <xf numFmtId="0" fontId="29" fillId="0" borderId="0" xfId="0" applyFont="1" applyAlignment="1">
      <alignment horizontal="center" vertical="center" wrapText="1"/>
    </xf>
  </cellXfs>
  <cellStyles count="2">
    <cellStyle name="Hyperlink" xfId="1" builtinId="8"/>
    <cellStyle name="Normal" xfId="0" builtinId="0"/>
  </cellStyles>
  <dxfs count="374">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i/>
        <color rgb="FFD8D8D8"/>
      </font>
      <fill>
        <patternFill patternType="none"/>
      </fill>
    </dxf>
    <dxf>
      <font>
        <i/>
        <color rgb="FFD8D8D8"/>
      </font>
      <fill>
        <patternFill patternType="none"/>
      </fill>
    </dxf>
    <dxf>
      <font>
        <i/>
        <color rgb="FFD8D8D8"/>
      </font>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7F7F7F"/>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ont>
        <i/>
        <color rgb="FFD8D8D8"/>
      </font>
      <fill>
        <patternFill patternType="none"/>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file:///C:\:b:\g\personal\sdmsby_telkomuniversity_ac_id\EZlu3NBmuoxFni_Iq1aMBs4BP-6fkWRnOtw3N8Pog7YqrQ%3fe=BIL0N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openlibrarypublications.telkomuniversity.ac.id/index.php/appliedscience/article/view/4548" TargetMode="External"/><Relationship Id="rId2" Type="http://schemas.openxmlformats.org/officeDocument/2006/relationships/hyperlink" Target="https://ojs.amikom.ac.id/index.php/semnasteknomedia/article/view/1311/1236" TargetMode="External"/><Relationship Id="rId1" Type="http://schemas.openxmlformats.org/officeDocument/2006/relationships/hyperlink" Target="https://ejournal.st3telkom.ac.id/index.php/infotel/article/view/41" TargetMode="External"/><Relationship Id="rId4" Type="http://schemas.openxmlformats.org/officeDocument/2006/relationships/hyperlink" Target="https://openlibrarypublications.telkomuniversity.ac.id/index.php/appliedscience/article/view/454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openlibrarypublications.telkomuniversity.ac.id/index.php/appliedscience/article/view/4548" TargetMode="External"/><Relationship Id="rId3" Type="http://schemas.openxmlformats.org/officeDocument/2006/relationships/hyperlink" Target="https://openlibrarypublications.telkomuniversity.ac.id/index.php/appliedscience/article/view/9233" TargetMode="External"/><Relationship Id="rId7" Type="http://schemas.openxmlformats.org/officeDocument/2006/relationships/hyperlink" Target="https://openlibrarypublications.telkomuniversity.ac.id/index.php/appliedscience/article/view/4548/4282" TargetMode="External"/><Relationship Id="rId2" Type="http://schemas.openxmlformats.org/officeDocument/2006/relationships/hyperlink" Target="https://ejournal.st3telkom.ac.id/index.php/infotel/article/view/41/42" TargetMode="External"/><Relationship Id="rId1" Type="http://schemas.openxmlformats.org/officeDocument/2006/relationships/hyperlink" Target="https://ejournal.st3telkom.ac.id/index.php/infotel/issue/view/5" TargetMode="External"/><Relationship Id="rId6" Type="http://schemas.openxmlformats.org/officeDocument/2006/relationships/hyperlink" Target="https://openlibrarypublications.telkomuniversity.ac.id/index.php/appliedscience/article/view/4548" TargetMode="External"/><Relationship Id="rId11" Type="http://schemas.openxmlformats.org/officeDocument/2006/relationships/hyperlink" Target="https://ojs.amikom.ac.id/index.php/semnasteknomedia/article/view/1311/1236" TargetMode="External"/><Relationship Id="rId5" Type="http://schemas.openxmlformats.org/officeDocument/2006/relationships/hyperlink" Target="https://openlibrarypublications.telkomuniversity.ac.id/index.php/appliedscience/article/view/9233" TargetMode="External"/><Relationship Id="rId10" Type="http://schemas.openxmlformats.org/officeDocument/2006/relationships/hyperlink" Target="https://ojs.amikom.ac.id/index.php/semnasteknomedia/article/view/1311/1236" TargetMode="External"/><Relationship Id="rId4" Type="http://schemas.openxmlformats.org/officeDocument/2006/relationships/hyperlink" Target="https://openlibrarypublications.telkomuniversity.ac.id/index.php/appliedscience/article/view/9233/9099" TargetMode="External"/><Relationship Id="rId9" Type="http://schemas.openxmlformats.org/officeDocument/2006/relationships/hyperlink" Target="https://ojs.amikom.ac.id/index.php/semnasteknomedia/article/view/13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61" workbookViewId="0">
      <selection activeCell="F21" sqref="F21:H21"/>
    </sheetView>
  </sheetViews>
  <sheetFormatPr defaultColWidth="12.625" defaultRowHeight="15" customHeight="1" x14ac:dyDescent="0.2"/>
  <cols>
    <col min="1" max="1" width="4.5" customWidth="1"/>
    <col min="2" max="2" width="3.125" customWidth="1"/>
    <col min="3" max="3" width="3" customWidth="1"/>
    <col min="4" max="4" width="29.5" customWidth="1"/>
    <col min="5" max="5" width="8.875" customWidth="1"/>
    <col min="6" max="6" width="6.625" customWidth="1"/>
    <col min="7" max="7" width="15.125" customWidth="1"/>
    <col min="8" max="8" width="8" customWidth="1"/>
    <col min="9" max="10" width="10" customWidth="1"/>
    <col min="11" max="11" width="5.875" customWidth="1"/>
    <col min="12" max="12" width="7.625" customWidth="1"/>
    <col min="13" max="13" width="10.125" customWidth="1"/>
    <col min="14" max="14" width="8" customWidth="1"/>
    <col min="15" max="15" width="7.625" customWidth="1"/>
    <col min="17" max="26" width="7.625" customWidth="1"/>
  </cols>
  <sheetData>
    <row r="1" spans="1:24" x14ac:dyDescent="0.25">
      <c r="A1" s="1"/>
      <c r="B1" s="2"/>
      <c r="C1" s="2"/>
      <c r="D1" s="2"/>
      <c r="E1" s="2"/>
      <c r="H1" s="3" t="s">
        <v>0</v>
      </c>
      <c r="K1" s="2"/>
      <c r="L1" s="2"/>
      <c r="M1" s="2"/>
    </row>
    <row r="2" spans="1:24" x14ac:dyDescent="0.25">
      <c r="A2" s="1"/>
      <c r="B2" s="2"/>
      <c r="C2" s="2"/>
      <c r="D2" s="2"/>
      <c r="E2" s="2"/>
      <c r="H2" s="3" t="s">
        <v>1</v>
      </c>
      <c r="K2" s="2"/>
      <c r="L2" s="2"/>
      <c r="M2" s="2"/>
    </row>
    <row r="3" spans="1:24" x14ac:dyDescent="0.25">
      <c r="A3" s="1"/>
      <c r="B3" s="2"/>
      <c r="C3" s="2"/>
      <c r="D3" s="2"/>
      <c r="E3" s="2"/>
      <c r="H3" s="3" t="s">
        <v>2</v>
      </c>
      <c r="K3" s="2"/>
      <c r="L3" s="2"/>
      <c r="M3" s="2"/>
    </row>
    <row r="4" spans="1:24" x14ac:dyDescent="0.25">
      <c r="A4" s="1"/>
      <c r="B4" s="2"/>
      <c r="C4" s="2"/>
      <c r="D4" s="2"/>
      <c r="E4" s="2"/>
      <c r="H4" s="3" t="s">
        <v>3</v>
      </c>
      <c r="K4" s="2"/>
      <c r="L4" s="2"/>
      <c r="M4" s="2"/>
    </row>
    <row r="5" spans="1:24" x14ac:dyDescent="0.25">
      <c r="A5" s="1"/>
      <c r="B5" s="2"/>
      <c r="C5" s="2"/>
      <c r="D5" s="2"/>
      <c r="E5" s="2"/>
      <c r="H5" s="3" t="s">
        <v>4</v>
      </c>
      <c r="K5" s="2"/>
      <c r="L5" s="2"/>
      <c r="M5" s="2"/>
    </row>
    <row r="6" spans="1:24" ht="161.25" customHeight="1" x14ac:dyDescent="0.25">
      <c r="A6" s="1"/>
      <c r="B6" s="4"/>
      <c r="C6" s="4"/>
      <c r="D6" s="4"/>
      <c r="E6" s="4"/>
      <c r="H6" s="617" t="s">
        <v>5</v>
      </c>
      <c r="I6" s="613"/>
      <c r="J6" s="613"/>
      <c r="K6" s="613"/>
      <c r="L6" s="613"/>
      <c r="M6" s="613"/>
    </row>
    <row r="7" spans="1:24" ht="15.75" customHeight="1" x14ac:dyDescent="0.2">
      <c r="A7" s="628" t="s">
        <v>6</v>
      </c>
      <c r="B7" s="613"/>
      <c r="C7" s="613"/>
      <c r="D7" s="613"/>
      <c r="E7" s="613"/>
      <c r="F7" s="613"/>
      <c r="G7" s="613"/>
      <c r="H7" s="613"/>
      <c r="I7" s="613"/>
      <c r="J7" s="613"/>
      <c r="K7" s="613"/>
      <c r="L7" s="613"/>
      <c r="M7" s="613"/>
    </row>
    <row r="8" spans="1:24" ht="15.75" customHeight="1" x14ac:dyDescent="0.2">
      <c r="A8" s="628" t="s">
        <v>7</v>
      </c>
      <c r="B8" s="613"/>
      <c r="C8" s="613"/>
      <c r="D8" s="613"/>
      <c r="E8" s="613"/>
      <c r="F8" s="613"/>
      <c r="G8" s="613"/>
      <c r="H8" s="613"/>
      <c r="I8" s="613"/>
      <c r="J8" s="613"/>
      <c r="K8" s="613"/>
      <c r="L8" s="613"/>
      <c r="M8" s="613"/>
    </row>
    <row r="9" spans="1:24" ht="15.75" customHeight="1" x14ac:dyDescent="0.2">
      <c r="A9" s="5"/>
      <c r="B9" s="5"/>
      <c r="C9" s="5"/>
      <c r="D9" s="5"/>
      <c r="E9" s="5"/>
      <c r="F9" s="5"/>
      <c r="G9" s="5"/>
      <c r="H9" s="5"/>
      <c r="J9" s="5"/>
      <c r="K9" s="5"/>
      <c r="L9" s="6"/>
      <c r="M9" s="6"/>
    </row>
    <row r="10" spans="1:24" x14ac:dyDescent="0.25">
      <c r="A10" s="1"/>
      <c r="B10" s="2"/>
      <c r="C10" s="2"/>
      <c r="D10" s="7"/>
      <c r="H10" s="8" t="s">
        <v>8</v>
      </c>
      <c r="I10" s="9"/>
      <c r="J10" s="9"/>
    </row>
    <row r="11" spans="1:24" x14ac:dyDescent="0.25">
      <c r="A11" s="9"/>
      <c r="B11" s="2"/>
      <c r="C11" s="2"/>
      <c r="D11" s="7"/>
      <c r="H11" s="10" t="s">
        <v>9</v>
      </c>
      <c r="I11" s="1" t="s">
        <v>10</v>
      </c>
      <c r="J11" s="10" t="s">
        <v>11</v>
      </c>
      <c r="K11" s="1">
        <v>2012</v>
      </c>
    </row>
    <row r="12" spans="1:24" x14ac:dyDescent="0.25">
      <c r="A12" s="9"/>
      <c r="B12" s="2"/>
      <c r="C12" s="2"/>
      <c r="D12" s="7"/>
      <c r="H12" s="11" t="s">
        <v>12</v>
      </c>
      <c r="I12" s="11"/>
      <c r="J12" s="11"/>
      <c r="K12" s="11"/>
      <c r="O12" s="314" t="s">
        <v>13</v>
      </c>
      <c r="P12" s="314"/>
      <c r="Q12" s="314"/>
      <c r="R12" s="314"/>
      <c r="S12" s="314"/>
      <c r="T12" s="314"/>
      <c r="U12" s="314"/>
      <c r="V12" s="314"/>
      <c r="W12" s="314"/>
      <c r="X12" s="314"/>
    </row>
    <row r="13" spans="1:24" x14ac:dyDescent="0.25">
      <c r="A13" s="12"/>
      <c r="B13" s="2"/>
      <c r="C13" s="2"/>
      <c r="D13" s="2"/>
      <c r="E13" s="2"/>
      <c r="H13" s="11" t="s">
        <v>14</v>
      </c>
      <c r="I13" s="1" t="s">
        <v>15</v>
      </c>
      <c r="J13" s="10" t="s">
        <v>11</v>
      </c>
      <c r="K13" s="1">
        <v>2023</v>
      </c>
      <c r="O13" s="315"/>
      <c r="P13" s="315" t="s">
        <v>16</v>
      </c>
      <c r="Q13" s="315"/>
      <c r="R13" s="315"/>
      <c r="S13" s="315"/>
      <c r="T13" s="315"/>
      <c r="U13" s="315"/>
      <c r="V13" s="315"/>
      <c r="W13" s="315"/>
      <c r="X13" s="315"/>
    </row>
    <row r="14" spans="1:24" ht="15.75" x14ac:dyDescent="0.25">
      <c r="A14" s="316"/>
      <c r="B14" s="679" t="s">
        <v>17</v>
      </c>
      <c r="C14" s="615"/>
      <c r="D14" s="615"/>
      <c r="E14" s="615"/>
      <c r="F14" s="615"/>
      <c r="G14" s="615"/>
      <c r="H14" s="615"/>
      <c r="I14" s="615"/>
      <c r="J14" s="615"/>
      <c r="K14" s="615"/>
      <c r="L14" s="615"/>
      <c r="M14" s="616"/>
      <c r="O14" s="317"/>
      <c r="P14" s="318" t="s">
        <v>18</v>
      </c>
      <c r="Q14" s="318"/>
      <c r="R14" s="318"/>
      <c r="S14" s="318"/>
      <c r="T14" s="318"/>
      <c r="U14" s="318"/>
      <c r="V14" s="318"/>
      <c r="W14" s="318"/>
      <c r="X14" s="318"/>
    </row>
    <row r="15" spans="1:24" x14ac:dyDescent="0.25">
      <c r="A15" s="13">
        <v>1</v>
      </c>
      <c r="B15" s="682" t="s">
        <v>19</v>
      </c>
      <c r="C15" s="637"/>
      <c r="D15" s="637"/>
      <c r="E15" s="638"/>
      <c r="F15" s="625" t="s">
        <v>20</v>
      </c>
      <c r="G15" s="615"/>
      <c r="H15" s="615"/>
      <c r="I15" s="615"/>
      <c r="J15" s="615"/>
      <c r="K15" s="615"/>
      <c r="L15" s="615"/>
      <c r="M15" s="616"/>
      <c r="O15" s="319"/>
      <c r="P15" s="320" t="s">
        <v>21</v>
      </c>
      <c r="Q15" s="320"/>
      <c r="R15" s="320"/>
      <c r="S15" s="320"/>
      <c r="T15" s="320"/>
      <c r="U15" s="320"/>
      <c r="V15" s="320"/>
      <c r="W15" s="320"/>
      <c r="X15" s="320"/>
    </row>
    <row r="16" spans="1:24" x14ac:dyDescent="0.25">
      <c r="A16" s="13">
        <v>2</v>
      </c>
      <c r="B16" s="672" t="s">
        <v>22</v>
      </c>
      <c r="C16" s="615"/>
      <c r="D16" s="615"/>
      <c r="E16" s="616"/>
      <c r="F16" s="625" t="s">
        <v>23</v>
      </c>
      <c r="G16" s="615"/>
      <c r="H16" s="615"/>
      <c r="I16" s="615"/>
      <c r="J16" s="615"/>
      <c r="K16" s="615"/>
      <c r="L16" s="615"/>
      <c r="M16" s="616"/>
      <c r="O16" s="321"/>
      <c r="P16" s="321" t="s">
        <v>24</v>
      </c>
      <c r="Q16" s="321"/>
      <c r="R16" s="321"/>
      <c r="S16" s="321"/>
      <c r="T16" s="321"/>
      <c r="U16" s="321"/>
      <c r="V16" s="321"/>
      <c r="W16" s="321"/>
      <c r="X16" s="321"/>
    </row>
    <row r="17" spans="1:26" x14ac:dyDescent="0.25">
      <c r="A17" s="13">
        <v>3</v>
      </c>
      <c r="B17" s="672" t="s">
        <v>25</v>
      </c>
      <c r="C17" s="615"/>
      <c r="D17" s="615"/>
      <c r="E17" s="616"/>
      <c r="F17" s="625" t="s">
        <v>26</v>
      </c>
      <c r="G17" s="615"/>
      <c r="H17" s="615"/>
      <c r="I17" s="615"/>
      <c r="J17" s="615"/>
      <c r="K17" s="615"/>
      <c r="L17" s="615"/>
      <c r="M17" s="616"/>
      <c r="O17" s="321"/>
      <c r="P17" s="321" t="s">
        <v>27</v>
      </c>
      <c r="Q17" s="321"/>
      <c r="R17" s="321"/>
      <c r="S17" s="321"/>
      <c r="T17" s="321"/>
      <c r="U17" s="321"/>
      <c r="V17" s="321"/>
      <c r="W17" s="321"/>
      <c r="X17" s="321"/>
    </row>
    <row r="18" spans="1:26" x14ac:dyDescent="0.25">
      <c r="A18" s="13">
        <v>4</v>
      </c>
      <c r="B18" s="672" t="s">
        <v>28</v>
      </c>
      <c r="C18" s="615"/>
      <c r="D18" s="615"/>
      <c r="E18" s="616"/>
      <c r="F18" s="625" t="s">
        <v>29</v>
      </c>
      <c r="G18" s="615"/>
      <c r="H18" s="615"/>
      <c r="I18" s="615"/>
      <c r="J18" s="615"/>
      <c r="K18" s="615"/>
      <c r="L18" s="615"/>
      <c r="M18" s="616"/>
      <c r="O18" s="321"/>
      <c r="P18" s="321" t="s">
        <v>30</v>
      </c>
      <c r="Q18" s="321"/>
      <c r="R18" s="321"/>
      <c r="S18" s="321"/>
      <c r="T18" s="321"/>
      <c r="U18" s="321"/>
      <c r="V18" s="321"/>
      <c r="W18" s="321"/>
      <c r="X18" s="321"/>
    </row>
    <row r="19" spans="1:26" x14ac:dyDescent="0.25">
      <c r="A19" s="13">
        <v>5</v>
      </c>
      <c r="B19" s="672" t="s">
        <v>31</v>
      </c>
      <c r="C19" s="615"/>
      <c r="D19" s="615"/>
      <c r="E19" s="616"/>
      <c r="F19" s="625" t="s">
        <v>32</v>
      </c>
      <c r="G19" s="615"/>
      <c r="H19" s="615"/>
      <c r="I19" s="615"/>
      <c r="J19" s="615"/>
      <c r="K19" s="615"/>
      <c r="L19" s="615"/>
      <c r="M19" s="616"/>
      <c r="O19" s="321"/>
      <c r="P19" s="321" t="s">
        <v>33</v>
      </c>
      <c r="Q19" s="321"/>
      <c r="R19" s="321"/>
      <c r="S19" s="321"/>
      <c r="T19" s="321"/>
      <c r="U19" s="321"/>
      <c r="V19" s="321"/>
      <c r="W19" s="321"/>
      <c r="X19" s="321"/>
    </row>
    <row r="20" spans="1:26" x14ac:dyDescent="0.25">
      <c r="A20" s="13">
        <v>6</v>
      </c>
      <c r="B20" s="672" t="s">
        <v>34</v>
      </c>
      <c r="C20" s="615"/>
      <c r="D20" s="615"/>
      <c r="E20" s="616"/>
      <c r="F20" s="625" t="s">
        <v>35</v>
      </c>
      <c r="G20" s="615"/>
      <c r="H20" s="615"/>
      <c r="I20" s="615"/>
      <c r="J20" s="615"/>
      <c r="K20" s="615"/>
      <c r="L20" s="615"/>
      <c r="M20" s="616"/>
      <c r="O20" s="14" t="s">
        <v>36</v>
      </c>
    </row>
    <row r="21" spans="1:26" ht="15.75" customHeight="1" x14ac:dyDescent="0.25">
      <c r="A21" s="13">
        <v>7</v>
      </c>
      <c r="B21" s="672" t="s">
        <v>37</v>
      </c>
      <c r="C21" s="615"/>
      <c r="D21" s="615"/>
      <c r="E21" s="616"/>
      <c r="F21" s="625" t="s">
        <v>1472</v>
      </c>
      <c r="G21" s="615"/>
      <c r="H21" s="616"/>
      <c r="I21" s="676">
        <v>40848</v>
      </c>
      <c r="J21" s="615"/>
      <c r="K21" s="615"/>
      <c r="L21" s="615"/>
      <c r="M21" s="616"/>
    </row>
    <row r="22" spans="1:26" ht="15.75" customHeight="1" x14ac:dyDescent="0.25">
      <c r="A22" s="13">
        <v>8</v>
      </c>
      <c r="B22" s="672" t="s">
        <v>38</v>
      </c>
      <c r="C22" s="615"/>
      <c r="D22" s="615"/>
      <c r="E22" s="616"/>
      <c r="F22" s="625" t="s">
        <v>39</v>
      </c>
      <c r="G22" s="615"/>
      <c r="H22" s="615"/>
      <c r="I22" s="615"/>
      <c r="J22" s="615"/>
      <c r="K22" s="615"/>
      <c r="L22" s="615"/>
      <c r="M22" s="616"/>
    </row>
    <row r="23" spans="1:26" ht="15.75" customHeight="1" x14ac:dyDescent="0.25">
      <c r="A23" s="13">
        <v>9</v>
      </c>
      <c r="B23" s="672" t="s">
        <v>40</v>
      </c>
      <c r="C23" s="615"/>
      <c r="D23" s="615"/>
      <c r="E23" s="616"/>
      <c r="F23" s="677"/>
      <c r="G23" s="615"/>
      <c r="H23" s="615"/>
      <c r="I23" s="615"/>
      <c r="J23" s="615"/>
      <c r="K23" s="615"/>
      <c r="L23" s="615"/>
      <c r="M23" s="616"/>
    </row>
    <row r="24" spans="1:26" ht="15.75" customHeight="1" x14ac:dyDescent="0.25">
      <c r="A24" s="13">
        <v>10</v>
      </c>
      <c r="B24" s="672" t="s">
        <v>41</v>
      </c>
      <c r="C24" s="615"/>
      <c r="D24" s="615"/>
      <c r="E24" s="616"/>
      <c r="F24" s="625"/>
      <c r="G24" s="615"/>
      <c r="H24" s="615"/>
      <c r="I24" s="615"/>
      <c r="J24" s="615"/>
      <c r="K24" s="615"/>
      <c r="L24" s="615"/>
      <c r="M24" s="616"/>
    </row>
    <row r="25" spans="1:26" ht="45" customHeight="1" x14ac:dyDescent="0.2">
      <c r="A25" s="13">
        <v>11</v>
      </c>
      <c r="B25" s="673" t="s">
        <v>42</v>
      </c>
      <c r="C25" s="645"/>
      <c r="D25" s="645"/>
      <c r="E25" s="646"/>
      <c r="F25" s="678" t="str">
        <f>IFERROR(VLOOKUP(F22,List!$C$2:$D$100,2,0),"")</f>
        <v>S1 Rekayasa Perangkat Lunak Kampus Surabaya Fakultas Informatika di Universitas Telkom pada LLDIKTI Wilayah IV Jawa Barat dan Banten</v>
      </c>
      <c r="G25" s="615"/>
      <c r="H25" s="615"/>
      <c r="I25" s="615"/>
      <c r="J25" s="615"/>
      <c r="K25" s="615"/>
      <c r="L25" s="615"/>
      <c r="M25" s="616"/>
    </row>
    <row r="26" spans="1:26" ht="15.75" customHeight="1" x14ac:dyDescent="0.25">
      <c r="A26" s="322" t="s">
        <v>43</v>
      </c>
      <c r="B26" s="679" t="s">
        <v>44</v>
      </c>
      <c r="C26" s="615"/>
      <c r="D26" s="615"/>
      <c r="E26" s="615"/>
      <c r="F26" s="615"/>
      <c r="G26" s="615"/>
      <c r="H26" s="615"/>
      <c r="I26" s="615"/>
      <c r="J26" s="615"/>
      <c r="K26" s="615"/>
      <c r="L26" s="615"/>
      <c r="M26" s="616"/>
    </row>
    <row r="27" spans="1:26" ht="22.5" customHeight="1" x14ac:dyDescent="0.2">
      <c r="A27" s="629" t="s">
        <v>45</v>
      </c>
      <c r="B27" s="641" t="s">
        <v>46</v>
      </c>
      <c r="C27" s="637"/>
      <c r="D27" s="637"/>
      <c r="E27" s="637"/>
      <c r="F27" s="637"/>
      <c r="G27" s="637"/>
      <c r="H27" s="637"/>
      <c r="I27" s="637"/>
      <c r="J27" s="637"/>
      <c r="K27" s="637"/>
      <c r="L27" s="637"/>
      <c r="M27" s="638"/>
      <c r="N27" s="15"/>
      <c r="O27" s="15"/>
      <c r="P27" s="15"/>
      <c r="Q27" s="15"/>
      <c r="R27" s="15"/>
      <c r="S27" s="15"/>
      <c r="T27" s="15"/>
      <c r="U27" s="15"/>
      <c r="V27" s="15"/>
      <c r="W27" s="15"/>
      <c r="X27" s="15"/>
      <c r="Y27" s="15"/>
      <c r="Z27" s="15"/>
    </row>
    <row r="28" spans="1:26" ht="18" customHeight="1" x14ac:dyDescent="0.2">
      <c r="A28" s="630"/>
      <c r="B28" s="633" t="s">
        <v>47</v>
      </c>
      <c r="C28" s="613"/>
      <c r="D28" s="613"/>
      <c r="E28" s="613"/>
      <c r="F28" s="613"/>
      <c r="G28" s="634"/>
      <c r="H28" s="641" t="s">
        <v>48</v>
      </c>
      <c r="I28" s="637"/>
      <c r="J28" s="637"/>
      <c r="K28" s="637"/>
      <c r="L28" s="637"/>
      <c r="M28" s="638"/>
      <c r="N28" s="15"/>
      <c r="O28" s="15"/>
      <c r="P28" s="15"/>
      <c r="Q28" s="15"/>
      <c r="R28" s="15"/>
      <c r="S28" s="15"/>
      <c r="T28" s="15"/>
      <c r="U28" s="15"/>
      <c r="V28" s="15"/>
      <c r="W28" s="15"/>
      <c r="X28" s="15"/>
      <c r="Y28" s="15"/>
      <c r="Z28" s="15"/>
    </row>
    <row r="29" spans="1:26" ht="18" customHeight="1" x14ac:dyDescent="0.2">
      <c r="A29" s="630"/>
      <c r="B29" s="635"/>
      <c r="C29" s="613"/>
      <c r="D29" s="613"/>
      <c r="E29" s="613"/>
      <c r="F29" s="613"/>
      <c r="G29" s="634"/>
      <c r="H29" s="641" t="s">
        <v>49</v>
      </c>
      <c r="I29" s="637"/>
      <c r="J29" s="638"/>
      <c r="K29" s="641" t="s">
        <v>50</v>
      </c>
      <c r="L29" s="637"/>
      <c r="M29" s="638"/>
      <c r="N29" s="15"/>
      <c r="O29" s="15"/>
      <c r="P29" s="15"/>
      <c r="Q29" s="15"/>
      <c r="R29" s="15"/>
      <c r="S29" s="15"/>
      <c r="T29" s="15"/>
      <c r="U29" s="15"/>
      <c r="V29" s="15"/>
      <c r="W29" s="15"/>
      <c r="X29" s="15"/>
      <c r="Y29" s="15"/>
      <c r="Z29" s="15"/>
    </row>
    <row r="30" spans="1:26" ht="18" customHeight="1" x14ac:dyDescent="0.2">
      <c r="A30" s="631"/>
      <c r="B30" s="636"/>
      <c r="C30" s="637"/>
      <c r="D30" s="637"/>
      <c r="E30" s="637"/>
      <c r="F30" s="637"/>
      <c r="G30" s="638"/>
      <c r="H30" s="16" t="s">
        <v>51</v>
      </c>
      <c r="I30" s="16" t="s">
        <v>52</v>
      </c>
      <c r="J30" s="16" t="s">
        <v>53</v>
      </c>
      <c r="K30" s="16" t="s">
        <v>51</v>
      </c>
      <c r="L30" s="16" t="s">
        <v>52</v>
      </c>
      <c r="M30" s="16" t="s">
        <v>53</v>
      </c>
      <c r="N30" s="15"/>
      <c r="O30" s="15"/>
      <c r="P30" s="15"/>
      <c r="Q30" s="15"/>
      <c r="R30" s="15"/>
      <c r="S30" s="15"/>
      <c r="T30" s="15"/>
      <c r="U30" s="15"/>
      <c r="V30" s="15"/>
      <c r="W30" s="15"/>
      <c r="X30" s="15"/>
      <c r="Y30" s="15"/>
      <c r="Z30" s="15"/>
    </row>
    <row r="31" spans="1:26" ht="17.25" customHeight="1" x14ac:dyDescent="0.2">
      <c r="A31" s="323">
        <v>1</v>
      </c>
      <c r="B31" s="663">
        <v>2</v>
      </c>
      <c r="C31" s="615"/>
      <c r="D31" s="615"/>
      <c r="E31" s="615"/>
      <c r="F31" s="615"/>
      <c r="G31" s="616"/>
      <c r="H31" s="17">
        <v>3</v>
      </c>
      <c r="I31" s="17">
        <v>4</v>
      </c>
      <c r="J31" s="17">
        <v>5</v>
      </c>
      <c r="K31" s="17">
        <v>6</v>
      </c>
      <c r="L31" s="17">
        <v>7</v>
      </c>
      <c r="M31" s="17">
        <v>8</v>
      </c>
      <c r="N31" s="15"/>
      <c r="O31" s="15"/>
      <c r="P31" s="15"/>
      <c r="Q31" s="15"/>
      <c r="R31" s="15"/>
      <c r="S31" s="15"/>
      <c r="T31" s="15"/>
      <c r="U31" s="15"/>
      <c r="V31" s="15"/>
      <c r="W31" s="15"/>
      <c r="X31" s="15"/>
      <c r="Y31" s="15"/>
      <c r="Z31" s="15"/>
    </row>
    <row r="32" spans="1:26" ht="27" customHeight="1" x14ac:dyDescent="0.2">
      <c r="A32" s="325" t="s">
        <v>54</v>
      </c>
      <c r="B32" s="674" t="s">
        <v>55</v>
      </c>
      <c r="C32" s="615"/>
      <c r="D32" s="615"/>
      <c r="E32" s="615"/>
      <c r="F32" s="615"/>
      <c r="G32" s="616"/>
      <c r="H32" s="17"/>
      <c r="I32" s="18"/>
      <c r="J32" s="17"/>
      <c r="K32" s="19"/>
      <c r="L32" s="19"/>
      <c r="M32" s="19"/>
      <c r="N32" s="20"/>
      <c r="O32" s="20"/>
      <c r="P32" s="20"/>
      <c r="Q32" s="20"/>
      <c r="R32" s="20"/>
      <c r="S32" s="20"/>
      <c r="T32" s="20"/>
      <c r="U32" s="20"/>
      <c r="V32" s="20"/>
      <c r="W32" s="20"/>
      <c r="X32" s="20"/>
      <c r="Y32" s="20"/>
      <c r="Z32" s="20"/>
    </row>
    <row r="33" spans="1:26" ht="21" customHeight="1" x14ac:dyDescent="0.2">
      <c r="A33" s="326"/>
      <c r="B33" s="327" t="s">
        <v>56</v>
      </c>
      <c r="C33" s="680" t="s">
        <v>57</v>
      </c>
      <c r="D33" s="615"/>
      <c r="E33" s="615"/>
      <c r="F33" s="615"/>
      <c r="G33" s="616"/>
      <c r="H33" s="17"/>
      <c r="I33" s="18"/>
      <c r="J33" s="17"/>
      <c r="K33" s="19"/>
      <c r="L33" s="19"/>
      <c r="M33" s="19"/>
      <c r="N33" s="20"/>
      <c r="O33" s="20"/>
      <c r="P33" s="20"/>
      <c r="Q33" s="20"/>
      <c r="R33" s="20"/>
      <c r="S33" s="20"/>
      <c r="T33" s="20"/>
      <c r="U33" s="20"/>
      <c r="V33" s="20"/>
      <c r="W33" s="20"/>
      <c r="X33" s="20"/>
      <c r="Y33" s="20"/>
      <c r="Z33" s="20"/>
    </row>
    <row r="34" spans="1:26" ht="21" customHeight="1" x14ac:dyDescent="0.2">
      <c r="A34" s="329"/>
      <c r="B34" s="15"/>
      <c r="C34" s="17">
        <v>1</v>
      </c>
      <c r="D34" s="680" t="s">
        <v>58</v>
      </c>
      <c r="E34" s="615"/>
      <c r="F34" s="615"/>
      <c r="G34" s="616"/>
      <c r="H34" s="21"/>
      <c r="I34" s="17">
        <f>IF('LAMPIRAN II DONE'!J27="RUMUS","",'LAMPIRAN II DONE'!J27)</f>
        <v>100</v>
      </c>
      <c r="J34" s="21">
        <f t="shared" ref="J34:J36" si="0">IF(I34=0,"",I34)</f>
        <v>100</v>
      </c>
      <c r="K34" s="22"/>
      <c r="L34" s="22"/>
      <c r="M34" s="22"/>
    </row>
    <row r="35" spans="1:26" ht="21" customHeight="1" x14ac:dyDescent="0.2">
      <c r="A35" s="329"/>
      <c r="B35" s="15"/>
      <c r="C35" s="17">
        <v>2</v>
      </c>
      <c r="D35" s="330" t="s">
        <v>59</v>
      </c>
      <c r="E35" s="331"/>
      <c r="F35" s="331"/>
      <c r="G35" s="332"/>
      <c r="H35" s="21"/>
      <c r="I35" s="17">
        <f>IF('LAMPIRAN II DONE'!J28="RUMUS","",'LAMPIRAN II DONE'!J28)</f>
        <v>50</v>
      </c>
      <c r="J35" s="21">
        <f t="shared" si="0"/>
        <v>50</v>
      </c>
      <c r="K35" s="22"/>
      <c r="L35" s="22"/>
      <c r="M35" s="22"/>
    </row>
    <row r="36" spans="1:26" ht="21" customHeight="1" x14ac:dyDescent="0.2">
      <c r="A36" s="326"/>
      <c r="B36" s="23"/>
      <c r="C36" s="17">
        <v>2</v>
      </c>
      <c r="D36" s="680" t="s">
        <v>60</v>
      </c>
      <c r="E36" s="615"/>
      <c r="F36" s="615"/>
      <c r="G36" s="616"/>
      <c r="H36" s="21"/>
      <c r="I36" s="17">
        <f>IF('LAMPIRAN II DONE'!J29="RUMUS","",'LAMPIRAN II DONE'!J29)</f>
        <v>50</v>
      </c>
      <c r="J36" s="21">
        <f t="shared" si="0"/>
        <v>50</v>
      </c>
      <c r="K36" s="22"/>
      <c r="L36" s="22"/>
      <c r="M36" s="22"/>
    </row>
    <row r="37" spans="1:26" ht="21" customHeight="1" x14ac:dyDescent="0.2">
      <c r="A37" s="326"/>
      <c r="B37" s="323" t="s">
        <v>61</v>
      </c>
      <c r="C37" s="639" t="s">
        <v>62</v>
      </c>
      <c r="D37" s="615"/>
      <c r="E37" s="615"/>
      <c r="F37" s="615"/>
      <c r="G37" s="616"/>
      <c r="H37" s="21"/>
      <c r="I37" s="17"/>
      <c r="J37" s="21"/>
      <c r="K37" s="22"/>
      <c r="L37" s="22"/>
      <c r="M37" s="22"/>
    </row>
    <row r="38" spans="1:26" ht="21" customHeight="1" x14ac:dyDescent="0.2">
      <c r="A38" s="334"/>
      <c r="B38" s="15"/>
      <c r="C38" s="330"/>
      <c r="D38" s="335" t="s">
        <v>63</v>
      </c>
      <c r="E38" s="335"/>
      <c r="F38" s="335"/>
      <c r="G38" s="336"/>
      <c r="H38" s="21"/>
      <c r="I38" s="18" t="str">
        <f>IF('LAMPIRAN II DONE'!G34=0,"",'LAMPIRAN II DONE'!G34)</f>
        <v/>
      </c>
      <c r="J38" s="21" t="str">
        <f>IF(I38=0,"",I38)</f>
        <v/>
      </c>
      <c r="K38" s="22"/>
      <c r="L38" s="22"/>
      <c r="M38" s="22"/>
    </row>
    <row r="39" spans="1:26" ht="27" customHeight="1" x14ac:dyDescent="0.2">
      <c r="A39" s="337" t="s">
        <v>43</v>
      </c>
      <c r="B39" s="681" t="s">
        <v>64</v>
      </c>
      <c r="C39" s="645"/>
      <c r="D39" s="645"/>
      <c r="E39" s="645"/>
      <c r="F39" s="645"/>
      <c r="G39" s="646"/>
      <c r="H39" s="21"/>
      <c r="I39" s="18"/>
      <c r="J39" s="21"/>
      <c r="K39" s="22"/>
      <c r="L39" s="22"/>
      <c r="M39" s="22"/>
    </row>
    <row r="40" spans="1:26" ht="61.5" customHeight="1" x14ac:dyDescent="0.2">
      <c r="A40" s="338"/>
      <c r="B40" s="339" t="s">
        <v>56</v>
      </c>
      <c r="C40" s="643" t="s">
        <v>65</v>
      </c>
      <c r="D40" s="615"/>
      <c r="E40" s="615"/>
      <c r="F40" s="615"/>
      <c r="G40" s="616"/>
      <c r="H40" s="21"/>
      <c r="I40" s="340"/>
      <c r="J40" s="340"/>
      <c r="K40" s="22"/>
      <c r="L40" s="22"/>
      <c r="M40" s="22"/>
    </row>
    <row r="41" spans="1:26" ht="102.75" customHeight="1" x14ac:dyDescent="0.2">
      <c r="A41" s="341"/>
      <c r="B41" s="342"/>
      <c r="C41" s="343"/>
      <c r="D41" s="675" t="s">
        <v>66</v>
      </c>
      <c r="E41" s="615"/>
      <c r="F41" s="615"/>
      <c r="G41" s="616"/>
      <c r="H41" s="24"/>
      <c r="I41" s="17">
        <f>IF('LAMPIRAN II DONE'!$G$206=0,"",'LAMPIRAN II DONE'!$G$206)</f>
        <v>209</v>
      </c>
      <c r="J41" s="21">
        <f>IF(I41=0,"",I41)</f>
        <v>209</v>
      </c>
      <c r="K41" s="24"/>
      <c r="L41" s="24"/>
      <c r="M41" s="24"/>
    </row>
    <row r="42" spans="1:26" ht="20.25" customHeight="1" x14ac:dyDescent="0.2">
      <c r="A42" s="629" t="s">
        <v>45</v>
      </c>
      <c r="B42" s="632" t="s">
        <v>46</v>
      </c>
      <c r="C42" s="615"/>
      <c r="D42" s="615"/>
      <c r="E42" s="615"/>
      <c r="F42" s="615"/>
      <c r="G42" s="615"/>
      <c r="H42" s="615"/>
      <c r="I42" s="615"/>
      <c r="J42" s="615"/>
      <c r="K42" s="615"/>
      <c r="L42" s="615"/>
      <c r="M42" s="616"/>
    </row>
    <row r="43" spans="1:26" ht="20.25" customHeight="1" x14ac:dyDescent="0.2">
      <c r="A43" s="630"/>
      <c r="B43" s="633" t="s">
        <v>67</v>
      </c>
      <c r="C43" s="613"/>
      <c r="D43" s="613"/>
      <c r="E43" s="613"/>
      <c r="F43" s="613"/>
      <c r="G43" s="634"/>
      <c r="H43" s="641" t="s">
        <v>48</v>
      </c>
      <c r="I43" s="637"/>
      <c r="J43" s="637"/>
      <c r="K43" s="637"/>
      <c r="L43" s="637"/>
      <c r="M43" s="638"/>
    </row>
    <row r="44" spans="1:26" ht="20.25" customHeight="1" x14ac:dyDescent="0.2">
      <c r="A44" s="630"/>
      <c r="B44" s="635"/>
      <c r="C44" s="613"/>
      <c r="D44" s="613"/>
      <c r="E44" s="613"/>
      <c r="F44" s="613"/>
      <c r="G44" s="634"/>
      <c r="H44" s="641" t="s">
        <v>49</v>
      </c>
      <c r="I44" s="637"/>
      <c r="J44" s="638"/>
      <c r="K44" s="641" t="s">
        <v>50</v>
      </c>
      <c r="L44" s="637"/>
      <c r="M44" s="638"/>
    </row>
    <row r="45" spans="1:26" ht="20.25" customHeight="1" x14ac:dyDescent="0.2">
      <c r="A45" s="631"/>
      <c r="B45" s="636"/>
      <c r="C45" s="637"/>
      <c r="D45" s="637"/>
      <c r="E45" s="637"/>
      <c r="F45" s="637"/>
      <c r="G45" s="638"/>
      <c r="H45" s="16" t="s">
        <v>51</v>
      </c>
      <c r="I45" s="16" t="s">
        <v>52</v>
      </c>
      <c r="J45" s="16" t="s">
        <v>53</v>
      </c>
      <c r="K45" s="16" t="s">
        <v>51</v>
      </c>
      <c r="L45" s="16" t="s">
        <v>52</v>
      </c>
      <c r="M45" s="16" t="s">
        <v>53</v>
      </c>
    </row>
    <row r="46" spans="1:26" ht="20.25" customHeight="1" x14ac:dyDescent="0.2">
      <c r="A46" s="17">
        <v>1</v>
      </c>
      <c r="B46" s="663">
        <v>2</v>
      </c>
      <c r="C46" s="615"/>
      <c r="D46" s="615"/>
      <c r="E46" s="615"/>
      <c r="F46" s="615"/>
      <c r="G46" s="616"/>
      <c r="H46" s="17">
        <v>3</v>
      </c>
      <c r="I46" s="17">
        <v>4</v>
      </c>
      <c r="J46" s="17">
        <v>5</v>
      </c>
      <c r="K46" s="17">
        <v>6</v>
      </c>
      <c r="L46" s="17">
        <v>7</v>
      </c>
      <c r="M46" s="17">
        <v>8</v>
      </c>
    </row>
    <row r="47" spans="1:26" ht="24" customHeight="1" x14ac:dyDescent="0.2">
      <c r="A47" s="344"/>
      <c r="B47" s="340" t="s">
        <v>61</v>
      </c>
      <c r="C47" s="639" t="s">
        <v>68</v>
      </c>
      <c r="D47" s="615"/>
      <c r="E47" s="615"/>
      <c r="F47" s="615"/>
      <c r="G47" s="616"/>
      <c r="H47" s="21"/>
      <c r="I47" s="340"/>
      <c r="J47" s="21"/>
      <c r="K47" s="22"/>
      <c r="L47" s="22"/>
      <c r="M47" s="22"/>
    </row>
    <row r="48" spans="1:26" ht="21" customHeight="1" x14ac:dyDescent="0.2">
      <c r="A48" s="338"/>
      <c r="B48" s="345"/>
      <c r="C48" s="328"/>
      <c r="D48" s="642" t="s">
        <v>69</v>
      </c>
      <c r="E48" s="615"/>
      <c r="F48" s="615"/>
      <c r="G48" s="616"/>
      <c r="H48" s="21"/>
      <c r="I48" s="340" t="str">
        <f>IF('LAMPIRAN II DONE'!G234=0,"",'LAMPIRAN II DONE'!G234)</f>
        <v/>
      </c>
      <c r="J48" s="21" t="str">
        <f>IF(I48=0,"",I48)</f>
        <v/>
      </c>
      <c r="K48" s="22"/>
      <c r="L48" s="22"/>
      <c r="M48" s="22"/>
    </row>
    <row r="49" spans="1:26" ht="32.25" customHeight="1" x14ac:dyDescent="0.2">
      <c r="A49" s="25"/>
      <c r="B49" s="346" t="s">
        <v>70</v>
      </c>
      <c r="C49" s="662" t="s">
        <v>71</v>
      </c>
      <c r="D49" s="637"/>
      <c r="E49" s="637"/>
      <c r="F49" s="637"/>
      <c r="G49" s="638"/>
      <c r="H49" s="26"/>
      <c r="I49" s="340"/>
      <c r="J49" s="21"/>
      <c r="K49" s="22"/>
      <c r="L49" s="22"/>
      <c r="M49" s="22"/>
    </row>
    <row r="50" spans="1:26" ht="35.25" customHeight="1" x14ac:dyDescent="0.2">
      <c r="A50" s="25"/>
      <c r="B50" s="347"/>
      <c r="C50" s="328"/>
      <c r="D50" s="642" t="s">
        <v>72</v>
      </c>
      <c r="E50" s="615"/>
      <c r="F50" s="615"/>
      <c r="G50" s="616"/>
      <c r="H50" s="26"/>
      <c r="I50" s="340" t="str">
        <f>IF('LAMPIRAN II DONE'!G262=0,"",'LAMPIRAN II DONE'!G262)</f>
        <v/>
      </c>
      <c r="J50" s="21" t="str">
        <f>IF(I50=0,"",I50)</f>
        <v/>
      </c>
      <c r="K50" s="22"/>
      <c r="L50" s="22"/>
      <c r="M50" s="22"/>
      <c r="S50" s="27">
        <v>0</v>
      </c>
      <c r="T50" s="27" t="str">
        <f t="shared" ref="T50:T52" si="1">TRIM(S50)</f>
        <v>0</v>
      </c>
    </row>
    <row r="51" spans="1:26" ht="32.25" customHeight="1" x14ac:dyDescent="0.2">
      <c r="A51" s="28"/>
      <c r="B51" s="339" t="s">
        <v>73</v>
      </c>
      <c r="C51" s="643" t="s">
        <v>74</v>
      </c>
      <c r="D51" s="615"/>
      <c r="E51" s="615"/>
      <c r="F51" s="615"/>
      <c r="G51" s="616"/>
      <c r="H51" s="26"/>
      <c r="I51" s="340"/>
      <c r="J51" s="21"/>
      <c r="K51" s="22"/>
      <c r="L51" s="22"/>
      <c r="M51" s="22"/>
      <c r="S51" s="27">
        <v>1</v>
      </c>
      <c r="T51" s="27" t="str">
        <f t="shared" si="1"/>
        <v>1</v>
      </c>
    </row>
    <row r="52" spans="1:26" ht="21" customHeight="1" x14ac:dyDescent="0.2">
      <c r="A52" s="28"/>
      <c r="B52" s="348"/>
      <c r="C52" s="349">
        <v>1</v>
      </c>
      <c r="D52" s="639" t="s">
        <v>75</v>
      </c>
      <c r="E52" s="615"/>
      <c r="F52" s="615"/>
      <c r="G52" s="616"/>
      <c r="H52" s="26"/>
      <c r="I52" s="340"/>
      <c r="J52" s="21"/>
      <c r="K52" s="22"/>
      <c r="L52" s="22"/>
      <c r="M52" s="22"/>
      <c r="S52" s="27">
        <v>2</v>
      </c>
      <c r="T52" s="27" t="str">
        <f t="shared" si="1"/>
        <v>2</v>
      </c>
    </row>
    <row r="53" spans="1:26" ht="21" customHeight="1" x14ac:dyDescent="0.2">
      <c r="A53" s="28"/>
      <c r="B53" s="348"/>
      <c r="C53" s="350"/>
      <c r="D53" s="18" t="s">
        <v>76</v>
      </c>
      <c r="E53" s="639" t="s">
        <v>77</v>
      </c>
      <c r="F53" s="615"/>
      <c r="G53" s="616"/>
      <c r="H53" s="26"/>
      <c r="I53" s="340" t="str">
        <f>IF(SUMIFS('LAMPIRAN II DONE'!$F$265:$F$555,'LAMPIRAN II DONE'!$I$265:$I$555,"pembimbing utama",'LAMPIRAN II DONE'!$J$265:$J$555,"disertasi")=0,"",SUMIFS('LAMPIRAN II DONE'!$F$265:$F$555,'LAMPIRAN II DONE'!$I$265:$I$555,"pembimbing utama",'LAMPIRAN II DONE'!$J$265:$J$555,"disertasi"))</f>
        <v/>
      </c>
      <c r="J53" s="21" t="str">
        <f t="shared" ref="J53:J56" si="2">IF(I53=0,"",I53)</f>
        <v/>
      </c>
      <c r="K53" s="22"/>
      <c r="L53" s="22"/>
      <c r="M53" s="22"/>
    </row>
    <row r="54" spans="1:26" ht="21" customHeight="1" x14ac:dyDescent="0.2">
      <c r="A54" s="28"/>
      <c r="B54" s="348"/>
      <c r="C54" s="350"/>
      <c r="D54" s="18" t="s">
        <v>78</v>
      </c>
      <c r="E54" s="639" t="s">
        <v>79</v>
      </c>
      <c r="F54" s="615"/>
      <c r="G54" s="616"/>
      <c r="H54" s="26"/>
      <c r="I54" s="340" t="str">
        <f>IF(SUMIFS('LAMPIRAN II DONE'!$F$265:$F$555,'LAMPIRAN II DONE'!$I$265:$I$555,"pembimbing utama",'LAMPIRAN II DONE'!$J$265:$J$555,"Tesis")=0,"",SUMIFS('LAMPIRAN II DONE'!$F$265:$F$555,'LAMPIRAN II DONE'!$I$265:$I$555,"pembimbing utama",'LAMPIRAN II DONE'!$J$265:$J$555,"Tesis"))</f>
        <v/>
      </c>
      <c r="J54" s="21" t="str">
        <f t="shared" si="2"/>
        <v/>
      </c>
      <c r="K54" s="22"/>
      <c r="L54" s="22"/>
      <c r="M54" s="22"/>
    </row>
    <row r="55" spans="1:26" ht="21" customHeight="1" x14ac:dyDescent="0.2">
      <c r="A55" s="28"/>
      <c r="B55" s="348"/>
      <c r="C55" s="350"/>
      <c r="D55" s="18" t="s">
        <v>80</v>
      </c>
      <c r="E55" s="639" t="s">
        <v>81</v>
      </c>
      <c r="F55" s="615"/>
      <c r="G55" s="616"/>
      <c r="H55" s="26"/>
      <c r="I55" s="340" t="str">
        <f>IF(SUMIFS('LAMPIRAN II DONE'!$K$265:$K$555,'LAMPIRAN II DONE'!$I$265:$I$555,"pembimbing utama",'LAMPIRAN II DONE'!$J$265:$J$555,"skripsi")=0,"",SUMIFS('LAMPIRAN II DONE'!$K$265:$K$555,'LAMPIRAN II DONE'!$I$265:$I$555,"pembimbing utama",'LAMPIRAN II DONE'!$J$265:$J$555,"Skripsi"))</f>
        <v/>
      </c>
      <c r="J55" s="21" t="str">
        <f t="shared" si="2"/>
        <v/>
      </c>
      <c r="K55" s="22"/>
      <c r="L55" s="22"/>
      <c r="M55" s="22"/>
    </row>
    <row r="56" spans="1:26" ht="21" customHeight="1" x14ac:dyDescent="0.2">
      <c r="A56" s="29"/>
      <c r="B56" s="348"/>
      <c r="C56" s="351"/>
      <c r="D56" s="18" t="s">
        <v>82</v>
      </c>
      <c r="E56" s="639" t="s">
        <v>83</v>
      </c>
      <c r="F56" s="615"/>
      <c r="G56" s="616"/>
      <c r="H56" s="30"/>
      <c r="I56" s="18">
        <f>IF(SUMIFS('LAMPIRAN II DONE'!$F$265:$F$555,'LAMPIRAN II DONE'!$I$265:$I$555,"pembimbing utama",'LAMPIRAN II DONE'!$J$265:$J$555,"Laporan Akhir Studi")=0,"",SUMIFS('LAMPIRAN II DONE'!$F$265:$F$555,'LAMPIRAN II DONE'!$I$265:$I$555,"pembimbing utama",'LAMPIRAN II DONE'!$J$265:$J$555,"Laporan Akhir Studi"))</f>
        <v>101</v>
      </c>
      <c r="J56" s="21">
        <f t="shared" si="2"/>
        <v>101</v>
      </c>
      <c r="K56" s="31"/>
      <c r="L56" s="31"/>
      <c r="M56" s="31"/>
    </row>
    <row r="57" spans="1:26" ht="21" customHeight="1" x14ac:dyDescent="0.2">
      <c r="A57" s="29"/>
      <c r="B57" s="348"/>
      <c r="C57" s="349">
        <v>2</v>
      </c>
      <c r="D57" s="639" t="s">
        <v>84</v>
      </c>
      <c r="E57" s="615"/>
      <c r="F57" s="615"/>
      <c r="G57" s="616"/>
      <c r="H57" s="330"/>
      <c r="I57" s="32"/>
      <c r="J57" s="32"/>
      <c r="K57" s="32"/>
      <c r="L57" s="32"/>
      <c r="M57" s="32"/>
    </row>
    <row r="58" spans="1:26" ht="21" customHeight="1" x14ac:dyDescent="0.2">
      <c r="A58" s="29"/>
      <c r="B58" s="348"/>
      <c r="C58" s="348"/>
      <c r="D58" s="18" t="s">
        <v>76</v>
      </c>
      <c r="E58" s="639" t="s">
        <v>77</v>
      </c>
      <c r="F58" s="615"/>
      <c r="G58" s="616"/>
      <c r="H58" s="330"/>
      <c r="I58" s="18" t="str">
        <f>IF(SUMIFS('LAMPIRAN II DONE'!$F$265:$F$555,'LAMPIRAN II DONE'!$I$265:$I$555,"pembimbing pendamping",'LAMPIRAN II DONE'!$J$265:$J$555,"disertasi")=0,"",SUMIFS('LAMPIRAN II DONE'!$F$265:$F$555,'LAMPIRAN II DONE'!$I$265:$I$555,"pembimbing pendamping",'LAMPIRAN II DONE'!$J$265:$J$555,"disertasi"))</f>
        <v/>
      </c>
      <c r="J58" s="21" t="str">
        <f t="shared" ref="J58:J61" si="3">IF(I58=0,"",I58)</f>
        <v/>
      </c>
      <c r="K58" s="32"/>
      <c r="L58" s="32"/>
      <c r="M58" s="32"/>
    </row>
    <row r="59" spans="1:26" ht="21" customHeight="1" x14ac:dyDescent="0.2">
      <c r="A59" s="29"/>
      <c r="B59" s="348"/>
      <c r="C59" s="348"/>
      <c r="D59" s="18" t="s">
        <v>78</v>
      </c>
      <c r="E59" s="639" t="s">
        <v>79</v>
      </c>
      <c r="F59" s="615"/>
      <c r="G59" s="616"/>
      <c r="H59" s="324"/>
      <c r="I59" s="18" t="str">
        <f>IF(SUMIFS('LAMPIRAN II DONE'!$F$265:$F$555,'LAMPIRAN II DONE'!$I$265:$I$555,"pembimbing pendamping",'LAMPIRAN II DONE'!$J$265:$J$555,"Tesis")=0,"",SUMIFS('LAMPIRAN II DONE'!$F$265:$F$555,'LAMPIRAN II DONE'!$I$265:$I$555,"pembimbing pendamping",'LAMPIRAN II DONE'!$J$265:$J$555,"Tesis"))</f>
        <v/>
      </c>
      <c r="J59" s="21" t="str">
        <f t="shared" si="3"/>
        <v/>
      </c>
      <c r="K59" s="17"/>
      <c r="L59" s="17"/>
      <c r="M59" s="17"/>
    </row>
    <row r="60" spans="1:26" ht="21" customHeight="1" x14ac:dyDescent="0.2">
      <c r="A60" s="326"/>
      <c r="B60" s="348"/>
      <c r="C60" s="348"/>
      <c r="D60" s="18" t="s">
        <v>80</v>
      </c>
      <c r="E60" s="639" t="s">
        <v>81</v>
      </c>
      <c r="F60" s="615"/>
      <c r="G60" s="616"/>
      <c r="H60" s="324"/>
      <c r="I60" s="18" t="str">
        <f>IF(SUMIFS('LAMPIRAN II DONE'!$F$265:$F$555,'LAMPIRAN II DONE'!$I$265:$I$555,"pembimbing pendamping",'LAMPIRAN II DONE'!$J$265:$J$555,"Skripsi")=0,"",SUMIFS('LAMPIRAN II DONE'!$F$265:$F$555,'LAMPIRAN II DONE'!$I$265:$I$555,"pembimbing pendamping",'LAMPIRAN II DONE'!$J$265:$J$555,"Skripsi"))</f>
        <v/>
      </c>
      <c r="J60" s="21" t="str">
        <f t="shared" si="3"/>
        <v/>
      </c>
      <c r="K60" s="17"/>
      <c r="L60" s="17"/>
      <c r="M60" s="17"/>
      <c r="N60" s="15"/>
      <c r="O60" s="15"/>
      <c r="P60" s="15"/>
      <c r="Q60" s="15"/>
      <c r="R60" s="15"/>
      <c r="S60" s="15"/>
      <c r="T60" s="15"/>
      <c r="U60" s="15"/>
      <c r="V60" s="15"/>
      <c r="W60" s="15"/>
      <c r="X60" s="15"/>
      <c r="Y60" s="15"/>
      <c r="Z60" s="15"/>
    </row>
    <row r="61" spans="1:26" ht="21" customHeight="1" x14ac:dyDescent="0.2">
      <c r="A61" s="33"/>
      <c r="B61" s="347"/>
      <c r="C61" s="347"/>
      <c r="D61" s="347" t="s">
        <v>82</v>
      </c>
      <c r="E61" s="669" t="s">
        <v>83</v>
      </c>
      <c r="F61" s="637"/>
      <c r="G61" s="638"/>
      <c r="H61" s="34"/>
      <c r="I61" s="18">
        <f>IF(SUMIFS('LAMPIRAN II DONE'!$F$265:$F$555,'LAMPIRAN II DONE'!$I$265:$I$555,"pembimbing pendamping",'LAMPIRAN II DONE'!$J$265:$J$555,"Laporan Akhir Studi")=0,"",SUMIFS('LAMPIRAN II DONE'!$F$265:$F$555,'LAMPIRAN II DONE'!$I$265:$I$555,"pembimbing pendamping",'LAMPIRAN II DONE'!$J$265:$J$555,"Laporan Akhir Studi"))</f>
        <v>18</v>
      </c>
      <c r="J61" s="21">
        <f t="shared" si="3"/>
        <v>18</v>
      </c>
      <c r="K61" s="22"/>
      <c r="L61" s="22"/>
      <c r="M61" s="22"/>
    </row>
    <row r="62" spans="1:26" ht="21" customHeight="1" x14ac:dyDescent="0.2">
      <c r="A62" s="28"/>
      <c r="B62" s="349" t="s">
        <v>85</v>
      </c>
      <c r="C62" s="639" t="s">
        <v>86</v>
      </c>
      <c r="D62" s="615"/>
      <c r="E62" s="615"/>
      <c r="F62" s="615"/>
      <c r="G62" s="616"/>
      <c r="H62" s="34"/>
      <c r="I62" s="18"/>
      <c r="J62" s="21"/>
      <c r="K62" s="22"/>
      <c r="L62" s="22"/>
      <c r="M62" s="22"/>
    </row>
    <row r="63" spans="1:26" ht="21" customHeight="1" x14ac:dyDescent="0.2">
      <c r="A63" s="28"/>
      <c r="B63" s="348"/>
      <c r="C63" s="18">
        <v>1</v>
      </c>
      <c r="D63" s="639" t="s">
        <v>87</v>
      </c>
      <c r="E63" s="615"/>
      <c r="F63" s="615"/>
      <c r="G63" s="616"/>
      <c r="H63" s="34"/>
      <c r="I63" s="18">
        <f>IF('LAMPIRAN II DONE'!M862=0,"",'LAMPIRAN II DONE'!M862)</f>
        <v>42</v>
      </c>
      <c r="J63" s="21">
        <f t="shared" ref="J63:J64" si="4">IF(I63=0,"",I63)</f>
        <v>42</v>
      </c>
      <c r="K63" s="22"/>
      <c r="L63" s="22"/>
      <c r="M63" s="22"/>
    </row>
    <row r="64" spans="1:26" ht="21" customHeight="1" x14ac:dyDescent="0.2">
      <c r="A64" s="28"/>
      <c r="B64" s="347"/>
      <c r="C64" s="18">
        <v>2</v>
      </c>
      <c r="D64" s="639" t="s">
        <v>88</v>
      </c>
      <c r="E64" s="615"/>
      <c r="F64" s="615"/>
      <c r="G64" s="616"/>
      <c r="H64" s="34"/>
      <c r="I64" s="18">
        <f>IF('LAMPIRAN II DONE'!N862=0,"",'LAMPIRAN II DONE'!N862)</f>
        <v>24</v>
      </c>
      <c r="J64" s="21">
        <f t="shared" si="4"/>
        <v>24</v>
      </c>
      <c r="K64" s="22"/>
      <c r="L64" s="22"/>
      <c r="M64" s="22"/>
    </row>
    <row r="65" spans="1:26" ht="21" customHeight="1" x14ac:dyDescent="0.2">
      <c r="A65" s="28"/>
      <c r="B65" s="349" t="s">
        <v>89</v>
      </c>
      <c r="C65" s="639" t="s">
        <v>90</v>
      </c>
      <c r="D65" s="615"/>
      <c r="E65" s="615"/>
      <c r="F65" s="615"/>
      <c r="G65" s="616"/>
      <c r="H65" s="34"/>
      <c r="I65" s="18"/>
      <c r="J65" s="21"/>
      <c r="K65" s="22"/>
      <c r="L65" s="22"/>
      <c r="M65" s="22"/>
    </row>
    <row r="66" spans="1:26" ht="34.5" customHeight="1" x14ac:dyDescent="0.2">
      <c r="A66" s="28"/>
      <c r="B66" s="347"/>
      <c r="C66" s="333"/>
      <c r="D66" s="642" t="s">
        <v>91</v>
      </c>
      <c r="E66" s="615"/>
      <c r="F66" s="615"/>
      <c r="G66" s="616"/>
      <c r="H66" s="34"/>
      <c r="I66" s="18" t="str">
        <f>IF('LAMPIRAN II DONE'!$G$935=0,"",'LAMPIRAN II DONE'!$G$935)</f>
        <v/>
      </c>
      <c r="J66" s="21" t="str">
        <f>IF(I66=0,"",I66)</f>
        <v/>
      </c>
      <c r="K66" s="22"/>
      <c r="L66" s="22"/>
      <c r="M66" s="22"/>
    </row>
    <row r="67" spans="1:26" ht="21" customHeight="1" x14ac:dyDescent="0.2">
      <c r="A67" s="28"/>
      <c r="B67" s="349" t="s">
        <v>92</v>
      </c>
      <c r="C67" s="639" t="s">
        <v>93</v>
      </c>
      <c r="D67" s="615"/>
      <c r="E67" s="615"/>
      <c r="F67" s="615"/>
      <c r="G67" s="616"/>
      <c r="H67" s="34"/>
      <c r="I67" s="18"/>
      <c r="J67" s="21"/>
      <c r="K67" s="22"/>
      <c r="L67" s="22"/>
      <c r="M67" s="22"/>
    </row>
    <row r="68" spans="1:26" ht="21" customHeight="1" x14ac:dyDescent="0.2">
      <c r="A68" s="28"/>
      <c r="B68" s="347"/>
      <c r="C68" s="333"/>
      <c r="D68" s="642" t="s">
        <v>94</v>
      </c>
      <c r="E68" s="615"/>
      <c r="F68" s="615"/>
      <c r="G68" s="616"/>
      <c r="H68" s="34"/>
      <c r="I68" s="18" t="str">
        <f>IF('LAMPIRAN II DONE'!$G$1009=0,"",'LAMPIRAN II DONE'!$G$1009)</f>
        <v/>
      </c>
      <c r="J68" s="21" t="str">
        <f>IF(I68=0,"",I68)</f>
        <v/>
      </c>
      <c r="K68" s="22"/>
      <c r="L68" s="22"/>
      <c r="M68" s="22"/>
    </row>
    <row r="69" spans="1:26" ht="21" customHeight="1" x14ac:dyDescent="0.2">
      <c r="A69" s="28"/>
      <c r="B69" s="349" t="s">
        <v>95</v>
      </c>
      <c r="C69" s="639" t="s">
        <v>96</v>
      </c>
      <c r="D69" s="615"/>
      <c r="E69" s="615"/>
      <c r="F69" s="615"/>
      <c r="G69" s="616"/>
      <c r="H69" s="34"/>
      <c r="I69" s="18"/>
      <c r="J69" s="21"/>
      <c r="K69" s="22"/>
      <c r="L69" s="22"/>
      <c r="M69" s="22"/>
    </row>
    <row r="70" spans="1:26" ht="19.5" customHeight="1" x14ac:dyDescent="0.2">
      <c r="A70" s="28"/>
      <c r="B70" s="348"/>
      <c r="C70" s="18">
        <v>1</v>
      </c>
      <c r="D70" s="639" t="s">
        <v>97</v>
      </c>
      <c r="E70" s="615"/>
      <c r="F70" s="615"/>
      <c r="G70" s="616"/>
      <c r="H70" s="34"/>
      <c r="I70" s="18" t="str">
        <f>IF(SUMIFS('LAMPIRAN II DONE'!$F$1012:$F$1036,'LAMPIRAN II DONE'!$I$1012:$I$1036,"buku pertahun")=0,"",SUMIFS('LAMPIRAN II DONE'!$F$1012:$F$1036,'LAMPIRAN II DONE'!$I$1012:$I$1036,"buku pertahun"))</f>
        <v/>
      </c>
      <c r="J70" s="21" t="str">
        <f t="shared" ref="J70:J71" si="5">IF(I70=0,"",I70)</f>
        <v/>
      </c>
      <c r="K70" s="22"/>
      <c r="L70" s="22"/>
      <c r="M70" s="22"/>
    </row>
    <row r="71" spans="1:26" ht="30.75" customHeight="1" x14ac:dyDescent="0.2">
      <c r="A71" s="28"/>
      <c r="B71" s="347"/>
      <c r="C71" s="35">
        <v>2</v>
      </c>
      <c r="D71" s="643" t="s">
        <v>98</v>
      </c>
      <c r="E71" s="615"/>
      <c r="F71" s="615"/>
      <c r="G71" s="616"/>
      <c r="H71" s="34"/>
      <c r="I71" s="18" t="str">
        <f>IF(SUMIFS('LAMPIRAN II DONE'!$F$1012:$F$1036,'LAMPIRAN II DONE'!$I$1012:$I$1036,"Diktat/Modul Persemester")=0,"",SUMIFS('LAMPIRAN II DONE'!$F$1012:$F$1036,'LAMPIRAN II DONE'!$I$1012:$I$1036,"Diktat/Modul Persemester"))</f>
        <v/>
      </c>
      <c r="J71" s="21" t="str">
        <f t="shared" si="5"/>
        <v/>
      </c>
      <c r="K71" s="22"/>
      <c r="L71" s="22"/>
      <c r="M71" s="22"/>
    </row>
    <row r="72" spans="1:26" ht="19.5" customHeight="1" x14ac:dyDescent="0.2">
      <c r="A72" s="28"/>
      <c r="B72" s="349" t="s">
        <v>54</v>
      </c>
      <c r="C72" s="639" t="s">
        <v>99</v>
      </c>
      <c r="D72" s="615"/>
      <c r="E72" s="615"/>
      <c r="F72" s="615"/>
      <c r="G72" s="616"/>
      <c r="H72" s="34"/>
      <c r="I72" s="18"/>
      <c r="J72" s="21"/>
      <c r="K72" s="22"/>
      <c r="L72" s="22"/>
      <c r="M72" s="22"/>
    </row>
    <row r="73" spans="1:26" ht="22.5" customHeight="1" x14ac:dyDescent="0.2">
      <c r="A73" s="28"/>
      <c r="B73" s="347"/>
      <c r="C73" s="333"/>
      <c r="D73" s="642" t="s">
        <v>100</v>
      </c>
      <c r="E73" s="615"/>
      <c r="F73" s="615"/>
      <c r="G73" s="616"/>
      <c r="H73" s="34"/>
      <c r="I73" s="18" t="str">
        <f>IF('LAMPIRAN II DONE'!$G$1111=0,"",'LAMPIRAN II DONE'!$G$1111)</f>
        <v/>
      </c>
      <c r="J73" s="21" t="str">
        <f>IF(I73=0,"",I73)</f>
        <v/>
      </c>
      <c r="K73" s="22"/>
      <c r="L73" s="22"/>
      <c r="M73" s="22"/>
      <c r="P73" s="15"/>
    </row>
    <row r="74" spans="1:26" ht="19.5" customHeight="1" x14ac:dyDescent="0.2">
      <c r="A74" s="28"/>
      <c r="B74" s="349" t="s">
        <v>101</v>
      </c>
      <c r="C74" s="639" t="s">
        <v>102</v>
      </c>
      <c r="D74" s="615"/>
      <c r="E74" s="615"/>
      <c r="F74" s="615"/>
      <c r="G74" s="616"/>
      <c r="H74" s="34"/>
      <c r="I74" s="18"/>
      <c r="J74" s="21"/>
      <c r="K74" s="22"/>
      <c r="L74" s="22"/>
      <c r="M74" s="22"/>
      <c r="P74" s="15"/>
    </row>
    <row r="75" spans="1:26" ht="20.25" customHeight="1" x14ac:dyDescent="0.2">
      <c r="A75" s="36"/>
      <c r="B75" s="348"/>
      <c r="C75" s="18">
        <v>1</v>
      </c>
      <c r="D75" s="639" t="s">
        <v>103</v>
      </c>
      <c r="E75" s="615"/>
      <c r="F75" s="615"/>
      <c r="G75" s="616"/>
      <c r="H75" s="34"/>
      <c r="I75" s="18" t="str">
        <f>IF(SUMIFS('LAMPIRAN II DONE'!$F$1114:$F$1138,'LAMPIRAN II DONE'!$I$1114:$I$1138,"a.rektor")=0,"",SUMIFS('LAMPIRAN II DONE'!$F$1114:$F$1138,'LAMPIRAN II DONE'!$I$1114:$I$1138,"a.rektor"))</f>
        <v/>
      </c>
      <c r="J75" s="21" t="str">
        <f t="shared" ref="J75:J82" si="6">IF(I75=0,"",I75)</f>
        <v/>
      </c>
      <c r="K75" s="32"/>
      <c r="L75" s="32"/>
      <c r="M75" s="32"/>
      <c r="N75" s="15"/>
      <c r="O75" s="15"/>
      <c r="P75" s="15"/>
      <c r="Q75" s="15"/>
      <c r="R75" s="15"/>
      <c r="S75" s="15"/>
      <c r="T75" s="15"/>
      <c r="U75" s="15"/>
      <c r="V75" s="15"/>
      <c r="W75" s="15"/>
      <c r="X75" s="15"/>
      <c r="Y75" s="15"/>
      <c r="Z75" s="15"/>
    </row>
    <row r="76" spans="1:26" ht="20.25" customHeight="1" x14ac:dyDescent="0.2">
      <c r="A76" s="36"/>
      <c r="B76" s="348"/>
      <c r="C76" s="18">
        <v>2</v>
      </c>
      <c r="D76" s="644" t="s">
        <v>104</v>
      </c>
      <c r="E76" s="645"/>
      <c r="F76" s="645"/>
      <c r="G76" s="646"/>
      <c r="H76" s="34"/>
      <c r="I76" s="18" t="str">
        <f>IF(SUMIFS('LAMPIRAN II DONE'!$F$1114:$F$1138,'LAMPIRAN II DONE'!$I$1114:$I$1138,"b.Pembantu rektor/dekan/direktur program pasca sarjana")=0,"",SUMIFS('LAMPIRAN II DONE'!$F$1114:$F$1138,'LAMPIRAN II DONE'!$I$1114:$I$1138,"b.Pembantu rektor/dekan/direktur program pasca sarjana"))</f>
        <v/>
      </c>
      <c r="J76" s="21" t="str">
        <f t="shared" si="6"/>
        <v/>
      </c>
      <c r="K76" s="32"/>
      <c r="L76" s="32"/>
      <c r="M76" s="32"/>
      <c r="N76" s="15"/>
      <c r="O76" s="15"/>
      <c r="P76" s="15"/>
      <c r="Q76" s="15"/>
      <c r="R76" s="15"/>
      <c r="S76" s="15"/>
      <c r="T76" s="15"/>
      <c r="U76" s="15"/>
      <c r="V76" s="15"/>
      <c r="W76" s="15"/>
      <c r="X76" s="15"/>
      <c r="Y76" s="15"/>
      <c r="Z76" s="15"/>
    </row>
    <row r="77" spans="1:26" ht="30.75" customHeight="1" x14ac:dyDescent="0.2">
      <c r="A77" s="36"/>
      <c r="B77" s="348"/>
      <c r="C77" s="35">
        <v>3</v>
      </c>
      <c r="D77" s="643" t="s">
        <v>105</v>
      </c>
      <c r="E77" s="615"/>
      <c r="F77" s="615"/>
      <c r="G77" s="616"/>
      <c r="H77" s="34"/>
      <c r="I77" s="18" t="str">
        <f>IF(SUMIFS('LAMPIRAN II DONE'!$F$1114:$F$1138,'LAMPIRAN II DONE'!$I$1114:$I$1138,"c.Ketua sekolah tinggi/pembantu dekan/asisten direktur program pasca sarjana/direktur politeknik")=0,"",SUMIFS('LAMPIRAN II DONE'!$F$1114:$F$1138,'LAMPIRAN II DONE'!$I$1114:$I$1138,"c.Ketua sekolah tinggi/pembantu dekan/asisten direktur program pasca sarjana/direktur politeknik"))</f>
        <v/>
      </c>
      <c r="J77" s="21" t="str">
        <f t="shared" si="6"/>
        <v/>
      </c>
      <c r="K77" s="32"/>
      <c r="L77" s="32"/>
      <c r="M77" s="32"/>
      <c r="N77" s="15"/>
      <c r="O77" s="15"/>
      <c r="P77" s="15"/>
      <c r="Q77" s="15"/>
      <c r="R77" s="15"/>
      <c r="S77" s="15"/>
      <c r="T77" s="15"/>
      <c r="U77" s="15"/>
      <c r="V77" s="15"/>
      <c r="W77" s="15"/>
      <c r="X77" s="15"/>
      <c r="Y77" s="15"/>
      <c r="Z77" s="15"/>
    </row>
    <row r="78" spans="1:26" ht="20.25" customHeight="1" x14ac:dyDescent="0.2">
      <c r="A78" s="36"/>
      <c r="B78" s="348"/>
      <c r="C78" s="18">
        <v>4</v>
      </c>
      <c r="D78" s="639" t="s">
        <v>106</v>
      </c>
      <c r="E78" s="615"/>
      <c r="F78" s="615"/>
      <c r="G78" s="616"/>
      <c r="H78" s="34"/>
      <c r="I78" s="18" t="str">
        <f>IF(SUMIFS('LAMPIRAN II DONE'!$F$1114:$F$1138,'LAMPIRAN II DONE'!$I$1114:$I$1138,"d.Pembantu ketua sekolah tinggi/pembantu direktur politeknik")=0,"",SUMIFS('LAMPIRAN II DONE'!$F$1114:$F$1138,'LAMPIRAN II DONE'!$I$1114:$I$1138,"d.Pembantu ketua sekolah tinggi/pembantu direktur politeknik"))</f>
        <v/>
      </c>
      <c r="J78" s="21" t="str">
        <f t="shared" si="6"/>
        <v/>
      </c>
      <c r="K78" s="32"/>
      <c r="L78" s="32"/>
      <c r="M78" s="32"/>
      <c r="N78" s="15"/>
      <c r="O78" s="15"/>
      <c r="P78" s="15"/>
      <c r="Q78" s="15"/>
      <c r="R78" s="15"/>
      <c r="S78" s="15"/>
      <c r="T78" s="15"/>
      <c r="U78" s="15"/>
      <c r="V78" s="15"/>
      <c r="W78" s="15"/>
      <c r="X78" s="15"/>
      <c r="Y78" s="15"/>
      <c r="Z78" s="15"/>
    </row>
    <row r="79" spans="1:26" ht="20.25" customHeight="1" x14ac:dyDescent="0.2">
      <c r="A79" s="36"/>
      <c r="B79" s="348"/>
      <c r="C79" s="18">
        <v>5</v>
      </c>
      <c r="D79" s="639" t="s">
        <v>107</v>
      </c>
      <c r="E79" s="615"/>
      <c r="F79" s="615"/>
      <c r="G79" s="616"/>
      <c r="H79" s="34"/>
      <c r="I79" s="18" t="str">
        <f>IF(SUMIFS('LAMPIRAN II DONE'!$F$1114:$F$1138,'LAMPIRAN II DONE'!$I$1114:$I$1138,"e.Direktur akademi")=0,"",SUMIFS('LAMPIRAN II DONE'!$F$1114:$F$1138,'LAMPIRAN II DONE'!$I$1114:$I$1138,"e.Direktur akademi"))</f>
        <v/>
      </c>
      <c r="J79" s="21" t="str">
        <f t="shared" si="6"/>
        <v/>
      </c>
      <c r="K79" s="32"/>
      <c r="L79" s="32"/>
      <c r="M79" s="32"/>
      <c r="N79" s="15"/>
      <c r="O79" s="15"/>
      <c r="P79" s="15"/>
      <c r="Q79" s="15"/>
      <c r="R79" s="15"/>
      <c r="S79" s="15"/>
      <c r="T79" s="15"/>
      <c r="U79" s="15"/>
      <c r="V79" s="15"/>
      <c r="W79" s="15"/>
      <c r="X79" s="15"/>
      <c r="Y79" s="15"/>
      <c r="Z79" s="15"/>
    </row>
    <row r="80" spans="1:26" ht="32.25" customHeight="1" x14ac:dyDescent="0.2">
      <c r="A80" s="36"/>
      <c r="B80" s="348"/>
      <c r="C80" s="35">
        <v>6</v>
      </c>
      <c r="D80" s="643" t="s">
        <v>108</v>
      </c>
      <c r="E80" s="615"/>
      <c r="F80" s="615"/>
      <c r="G80" s="616"/>
      <c r="H80" s="34"/>
      <c r="I80" s="18">
        <f>IF(SUMIFS('LAMPIRAN II DONE'!$F$1114:$F$1138,'LAMPIRAN II DONE'!$I$1114:$I$1138,"f.Pembantu direktur akademi/ketua jurusan/bagian pada universitas/institut/sekolah tinggi")=0,"",SUMIFS('LAMPIRAN II DONE'!$F$1114:$F$1138,'LAMPIRAN II DONE'!$I$1114:$I$1138,"f.Pembantu direktur akademi/ketua jurusan/bagian pada universitas/institut/sekolah tinggi"))</f>
        <v>39</v>
      </c>
      <c r="J80" s="21">
        <f t="shared" si="6"/>
        <v>39</v>
      </c>
      <c r="K80" s="32"/>
      <c r="L80" s="32"/>
      <c r="M80" s="32"/>
      <c r="N80" s="15"/>
      <c r="O80" s="15"/>
      <c r="Q80" s="15"/>
      <c r="R80" s="15"/>
      <c r="S80" s="15"/>
      <c r="T80" s="15"/>
      <c r="U80" s="15"/>
      <c r="V80" s="15"/>
      <c r="W80" s="15"/>
      <c r="X80" s="15"/>
      <c r="Y80" s="15"/>
      <c r="Z80" s="15"/>
    </row>
    <row r="81" spans="1:26" ht="30.75" customHeight="1" x14ac:dyDescent="0.2">
      <c r="A81" s="36"/>
      <c r="B81" s="348"/>
      <c r="C81" s="35">
        <v>7</v>
      </c>
      <c r="D81" s="643" t="s">
        <v>109</v>
      </c>
      <c r="E81" s="615"/>
      <c r="F81" s="615"/>
      <c r="G81" s="616"/>
      <c r="H81" s="34"/>
      <c r="I81" s="18" t="str">
        <f>IF(SUMIFS('LAMPIRAN II DONE'!$F$1114:$F$1138,'LAMPIRAN II DONE'!$I$1114:$I$1138,"g.Ketua jurusan pada politeknik/akademi/sekretaris jurusan/bagian pada universitas/institu/sekolah tinggi")=0,"",SUMIFS('LAMPIRAN II DONE'!$F$1114:$F$1138,'LAMPIRAN II DONE'!$I$1114:$I$1138,"g.Ketua jurusan pada politeknik/akademi/sekretaris jurusan/bagian pada universitas/institu/sekolah tinggi"))</f>
        <v/>
      </c>
      <c r="J81" s="21" t="str">
        <f t="shared" si="6"/>
        <v/>
      </c>
      <c r="K81" s="32"/>
      <c r="L81" s="32"/>
      <c r="M81" s="32"/>
      <c r="N81" s="15"/>
      <c r="O81" s="15"/>
      <c r="P81" s="37"/>
      <c r="Q81" s="15"/>
      <c r="R81" s="15"/>
      <c r="S81" s="15"/>
      <c r="T81" s="15"/>
      <c r="U81" s="15"/>
      <c r="V81" s="15"/>
      <c r="W81" s="15"/>
      <c r="X81" s="15"/>
      <c r="Y81" s="15"/>
      <c r="Z81" s="15"/>
    </row>
    <row r="82" spans="1:26" ht="47.25" customHeight="1" x14ac:dyDescent="0.2">
      <c r="A82" s="28"/>
      <c r="B82" s="347"/>
      <c r="C82" s="35">
        <v>8</v>
      </c>
      <c r="D82" s="662" t="s">
        <v>110</v>
      </c>
      <c r="E82" s="637"/>
      <c r="F82" s="637"/>
      <c r="G82" s="638"/>
      <c r="H82" s="34"/>
      <c r="I82" s="18" t="str">
        <f>IF(SUMIFS('LAMPIRAN II DONE'!$F$1114:$F$1138,'LAMPIRAN II DONE'!$I$1114:$I$1138,"h.Sekretaris jurusan pada politeknik/akademi dan kepala laboratorium universitas/institut/sekolah tinggi/politeknik/akademi")=0,"",SUMIFS('LAMPIRAN II DONE'!$F$1114:$F$1138,'LAMPIRAN II DONE'!$I$1114:$I$1138,"h.Sekretaris jurusan pada politeknik/akademi dan kepala laboratorium universitas/institut/sekolah tinggi/politeknik/akademi"))</f>
        <v/>
      </c>
      <c r="J82" s="21" t="str">
        <f t="shared" si="6"/>
        <v/>
      </c>
      <c r="K82" s="22"/>
      <c r="L82" s="22"/>
      <c r="M82" s="22"/>
    </row>
    <row r="83" spans="1:26" ht="22.5" customHeight="1" x14ac:dyDescent="0.2">
      <c r="A83" s="38"/>
      <c r="B83" s="349" t="s">
        <v>111</v>
      </c>
      <c r="C83" s="639" t="s">
        <v>112</v>
      </c>
      <c r="D83" s="615"/>
      <c r="E83" s="615"/>
      <c r="F83" s="615"/>
      <c r="G83" s="616"/>
      <c r="H83" s="39"/>
      <c r="I83" s="40"/>
      <c r="J83" s="41"/>
      <c r="K83" s="42"/>
      <c r="L83" s="42"/>
      <c r="M83" s="42"/>
      <c r="N83" s="37"/>
      <c r="O83" s="37"/>
      <c r="P83" s="37"/>
      <c r="Q83" s="37"/>
      <c r="R83" s="37"/>
      <c r="S83" s="37"/>
      <c r="T83" s="37"/>
      <c r="U83" s="37"/>
      <c r="V83" s="37"/>
      <c r="W83" s="37"/>
      <c r="X83" s="37"/>
      <c r="Y83" s="37"/>
      <c r="Z83" s="37"/>
    </row>
    <row r="84" spans="1:26" ht="19.5" customHeight="1" x14ac:dyDescent="0.2">
      <c r="A84" s="28"/>
      <c r="B84" s="348"/>
      <c r="C84" s="18">
        <v>1</v>
      </c>
      <c r="D84" s="639" t="s">
        <v>113</v>
      </c>
      <c r="E84" s="615"/>
      <c r="F84" s="615"/>
      <c r="G84" s="616"/>
      <c r="H84" s="34"/>
      <c r="I84" s="18" t="str">
        <f>IF(SUMIFS('LAMPIRAN II DONE'!$F$1142:$F$1166,'LAMPIRAN II DONE'!$I$1142:$I$1166,"a.Pembimbing pencangkokan persemester")=0,"",SUMIFS('LAMPIRAN II DONE'!$F$1142:$F$1166,'LAMPIRAN II DONE'!$I$1142:$I$1166,"a.Pembimbing pencangkokan persemester"))</f>
        <v/>
      </c>
      <c r="J84" s="21" t="str">
        <f t="shared" ref="J84:J85" si="7">IF(I84=0,"",I84)</f>
        <v/>
      </c>
      <c r="K84" s="22"/>
      <c r="L84" s="22"/>
      <c r="M84" s="22"/>
    </row>
    <row r="85" spans="1:26" ht="19.5" customHeight="1" x14ac:dyDescent="0.2">
      <c r="A85" s="28"/>
      <c r="B85" s="347"/>
      <c r="C85" s="18">
        <v>2</v>
      </c>
      <c r="D85" s="639" t="s">
        <v>114</v>
      </c>
      <c r="E85" s="615"/>
      <c r="F85" s="615"/>
      <c r="G85" s="616"/>
      <c r="H85" s="34"/>
      <c r="I85" s="18" t="str">
        <f>IF(SUMIFS('LAMPIRAN II DONE'!$F$1142:$F$1166,'LAMPIRAN II DONE'!$I$1142:$I$1166,"b.reguler persemester")=0,"",SUMIFS('LAMPIRAN II DONE'!$F$1142:$F$1166,'LAMPIRAN II DONE'!$I$1142:$I$1166,"b.reguler persemester"))</f>
        <v/>
      </c>
      <c r="J85" s="21" t="str">
        <f t="shared" si="7"/>
        <v/>
      </c>
      <c r="K85" s="22"/>
      <c r="L85" s="22"/>
      <c r="M85" s="22"/>
    </row>
    <row r="86" spans="1:26" ht="31.5" customHeight="1" x14ac:dyDescent="0.2">
      <c r="A86" s="28"/>
      <c r="B86" s="339" t="s">
        <v>115</v>
      </c>
      <c r="C86" s="643" t="s">
        <v>116</v>
      </c>
      <c r="D86" s="615"/>
      <c r="E86" s="615"/>
      <c r="F86" s="615"/>
      <c r="G86" s="616"/>
      <c r="H86" s="43"/>
      <c r="I86" s="349"/>
      <c r="J86" s="327"/>
      <c r="K86" s="352"/>
      <c r="L86" s="352"/>
      <c r="M86" s="352"/>
    </row>
    <row r="87" spans="1:26" ht="21" customHeight="1" x14ac:dyDescent="0.2">
      <c r="A87" s="28"/>
      <c r="B87" s="347"/>
      <c r="C87" s="18">
        <v>1</v>
      </c>
      <c r="D87" s="639" t="s">
        <v>117</v>
      </c>
      <c r="E87" s="615"/>
      <c r="F87" s="615"/>
      <c r="G87" s="616"/>
      <c r="H87" s="44"/>
      <c r="I87" s="18" t="str">
        <f>IF(SUMIFS('LAMPIRAN II DONE'!$F$1170:$F$1194,'LAMPIRAN II DONE'!$I$1170:$I$1194,"a.Detasering persemester")=0,"",SUMIFS('LAMPIRAN II DONE'!$F$1170:$F$1194,'LAMPIRAN II DONE'!$I$1170:$I$1194,"a.Detasering persemester"))</f>
        <v/>
      </c>
      <c r="J87" s="21" t="str">
        <f t="shared" ref="J87:J88" si="8">IF(I87=0,"",I87)</f>
        <v/>
      </c>
      <c r="K87" s="22"/>
      <c r="L87" s="22"/>
      <c r="M87" s="22"/>
    </row>
    <row r="88" spans="1:26" ht="21" customHeight="1" x14ac:dyDescent="0.2">
      <c r="A88" s="45"/>
      <c r="B88" s="347"/>
      <c r="C88" s="18">
        <v>2</v>
      </c>
      <c r="D88" s="639" t="s">
        <v>118</v>
      </c>
      <c r="E88" s="615"/>
      <c r="F88" s="615"/>
      <c r="G88" s="616"/>
      <c r="H88" s="44"/>
      <c r="I88" s="18" t="str">
        <f>IF(SUMIFS('LAMPIRAN II DONE'!$F$1170:$F$1194,'LAMPIRAN II DONE'!$I$1170:$I$1194,"b.Pencangkokan persemester")=0,"",SUMIFS('LAMPIRAN II DONE'!$F$1170:$F$1194,'LAMPIRAN II DONE'!$I$1170:$I$1194,"b.Pencangkokan persemester"))</f>
        <v/>
      </c>
      <c r="J88" s="21" t="str">
        <f t="shared" si="8"/>
        <v/>
      </c>
      <c r="K88" s="22"/>
      <c r="L88" s="22"/>
      <c r="M88" s="22"/>
    </row>
    <row r="89" spans="1:26" ht="21" customHeight="1" x14ac:dyDescent="0.2">
      <c r="A89" s="671" t="s">
        <v>45</v>
      </c>
      <c r="B89" s="632" t="s">
        <v>46</v>
      </c>
      <c r="C89" s="615"/>
      <c r="D89" s="615"/>
      <c r="E89" s="615"/>
      <c r="F89" s="615"/>
      <c r="G89" s="615"/>
      <c r="H89" s="615"/>
      <c r="I89" s="615"/>
      <c r="J89" s="615"/>
      <c r="K89" s="615"/>
      <c r="L89" s="615"/>
      <c r="M89" s="616"/>
    </row>
    <row r="90" spans="1:26" ht="21" customHeight="1" x14ac:dyDescent="0.2">
      <c r="A90" s="630"/>
      <c r="B90" s="633" t="s">
        <v>67</v>
      </c>
      <c r="C90" s="613"/>
      <c r="D90" s="613"/>
      <c r="E90" s="613"/>
      <c r="F90" s="613"/>
      <c r="G90" s="634"/>
      <c r="H90" s="641" t="s">
        <v>48</v>
      </c>
      <c r="I90" s="637"/>
      <c r="J90" s="637"/>
      <c r="K90" s="637"/>
      <c r="L90" s="637"/>
      <c r="M90" s="638"/>
    </row>
    <row r="91" spans="1:26" ht="21" customHeight="1" x14ac:dyDescent="0.2">
      <c r="A91" s="630"/>
      <c r="B91" s="635"/>
      <c r="C91" s="613"/>
      <c r="D91" s="613"/>
      <c r="E91" s="613"/>
      <c r="F91" s="613"/>
      <c r="G91" s="634"/>
      <c r="H91" s="641" t="s">
        <v>49</v>
      </c>
      <c r="I91" s="637"/>
      <c r="J91" s="638"/>
      <c r="K91" s="641" t="s">
        <v>50</v>
      </c>
      <c r="L91" s="637"/>
      <c r="M91" s="638"/>
    </row>
    <row r="92" spans="1:26" ht="21" customHeight="1" x14ac:dyDescent="0.2">
      <c r="A92" s="631"/>
      <c r="B92" s="636"/>
      <c r="C92" s="637"/>
      <c r="D92" s="637"/>
      <c r="E92" s="637"/>
      <c r="F92" s="637"/>
      <c r="G92" s="638"/>
      <c r="H92" s="16" t="s">
        <v>51</v>
      </c>
      <c r="I92" s="16" t="s">
        <v>52</v>
      </c>
      <c r="J92" s="16" t="s">
        <v>53</v>
      </c>
      <c r="K92" s="16" t="s">
        <v>51</v>
      </c>
      <c r="L92" s="16" t="s">
        <v>52</v>
      </c>
      <c r="M92" s="16" t="s">
        <v>53</v>
      </c>
    </row>
    <row r="93" spans="1:26" ht="21" customHeight="1" x14ac:dyDescent="0.2">
      <c r="A93" s="17">
        <v>1</v>
      </c>
      <c r="B93" s="632">
        <v>2</v>
      </c>
      <c r="C93" s="615"/>
      <c r="D93" s="615"/>
      <c r="E93" s="615"/>
      <c r="F93" s="615"/>
      <c r="G93" s="616"/>
      <c r="H93" s="16">
        <v>3</v>
      </c>
      <c r="I93" s="16">
        <v>4</v>
      </c>
      <c r="J93" s="16">
        <v>5</v>
      </c>
      <c r="K93" s="16">
        <v>6</v>
      </c>
      <c r="L93" s="16">
        <v>7</v>
      </c>
      <c r="M93" s="16">
        <v>8</v>
      </c>
    </row>
    <row r="94" spans="1:26" ht="31.5" customHeight="1" x14ac:dyDescent="0.2">
      <c r="A94" s="28"/>
      <c r="B94" s="46" t="s">
        <v>119</v>
      </c>
      <c r="C94" s="643" t="s">
        <v>120</v>
      </c>
      <c r="D94" s="615"/>
      <c r="E94" s="615"/>
      <c r="F94" s="615"/>
      <c r="G94" s="616"/>
      <c r="H94" s="47"/>
      <c r="I94" s="347"/>
      <c r="J94" s="353"/>
      <c r="K94" s="354"/>
      <c r="L94" s="354"/>
      <c r="M94" s="354"/>
    </row>
    <row r="95" spans="1:26" ht="21" customHeight="1" x14ac:dyDescent="0.2">
      <c r="A95" s="28"/>
      <c r="B95" s="36"/>
      <c r="C95" s="48" t="s">
        <v>121</v>
      </c>
      <c r="D95" s="670" t="s">
        <v>122</v>
      </c>
      <c r="E95" s="615"/>
      <c r="F95" s="615"/>
      <c r="G95" s="616"/>
      <c r="H95" s="47"/>
      <c r="I95" s="355">
        <f>SUMIFS('LAMPIRAN II DONE'!$F$1198:$F$1222,'LAMPIRAN II DONE'!$I$1198:$I$1222,"Lamanya &gt; 960 jam")</f>
        <v>0</v>
      </c>
      <c r="J95" s="49" t="str">
        <f t="shared" ref="J95:J101" si="9">IF(I95=0,"",I95)</f>
        <v/>
      </c>
      <c r="K95" s="354"/>
      <c r="L95" s="354"/>
      <c r="M95" s="354"/>
    </row>
    <row r="96" spans="1:26" ht="19.5" customHeight="1" x14ac:dyDescent="0.2">
      <c r="A96" s="28"/>
      <c r="B96" s="36"/>
      <c r="C96" s="48" t="s">
        <v>123</v>
      </c>
      <c r="D96" s="670" t="s">
        <v>124</v>
      </c>
      <c r="E96" s="615"/>
      <c r="F96" s="615"/>
      <c r="G96" s="616"/>
      <c r="H96" s="47"/>
      <c r="I96" s="355">
        <f>SUMIFS('LAMPIRAN II DONE'!$F$1198:$F$1222,'LAMPIRAN II DONE'!$I$1198:$I$1222,"Lamanya 641-960 jam")</f>
        <v>0</v>
      </c>
      <c r="J96" s="49" t="str">
        <f t="shared" si="9"/>
        <v/>
      </c>
      <c r="K96" s="354"/>
      <c r="L96" s="354"/>
      <c r="M96" s="354"/>
    </row>
    <row r="97" spans="1:26" ht="19.5" customHeight="1" x14ac:dyDescent="0.2">
      <c r="A97" s="28"/>
      <c r="B97" s="329"/>
      <c r="C97" s="48" t="s">
        <v>125</v>
      </c>
      <c r="D97" s="670" t="s">
        <v>126</v>
      </c>
      <c r="E97" s="615"/>
      <c r="F97" s="615"/>
      <c r="G97" s="616"/>
      <c r="H97" s="34"/>
      <c r="I97" s="355">
        <f>SUMIFS('LAMPIRAN II DONE'!$F$1198:$F$1222,'LAMPIRAN II DONE'!$I$1198:$I$1222,"Lamanya 481-640 jam")</f>
        <v>0</v>
      </c>
      <c r="J97" s="49" t="str">
        <f t="shared" si="9"/>
        <v/>
      </c>
      <c r="K97" s="22"/>
      <c r="L97" s="22"/>
      <c r="M97" s="22"/>
    </row>
    <row r="98" spans="1:26" ht="19.5" customHeight="1" x14ac:dyDescent="0.2">
      <c r="A98" s="28"/>
      <c r="B98" s="36"/>
      <c r="C98" s="48" t="s">
        <v>127</v>
      </c>
      <c r="D98" s="670" t="s">
        <v>128</v>
      </c>
      <c r="E98" s="615"/>
      <c r="F98" s="615"/>
      <c r="G98" s="616"/>
      <c r="H98" s="34"/>
      <c r="I98" s="355">
        <f>SUMIFS('LAMPIRAN II DONE'!$F$1198:$F$1222,'LAMPIRAN II DONE'!$I$1198:$I$1222,"Lamanya 161-480 jam")</f>
        <v>0</v>
      </c>
      <c r="J98" s="49" t="str">
        <f t="shared" si="9"/>
        <v/>
      </c>
      <c r="K98" s="22"/>
      <c r="L98" s="22"/>
      <c r="M98" s="22"/>
    </row>
    <row r="99" spans="1:26" ht="19.5" customHeight="1" x14ac:dyDescent="0.2">
      <c r="A99" s="28"/>
      <c r="B99" s="36"/>
      <c r="C99" s="48" t="s">
        <v>129</v>
      </c>
      <c r="D99" s="670" t="s">
        <v>130</v>
      </c>
      <c r="E99" s="615"/>
      <c r="F99" s="615"/>
      <c r="G99" s="616"/>
      <c r="H99" s="34"/>
      <c r="I99" s="355">
        <f>SUMIFS('LAMPIRAN II DONE'!$F$1198:$F$1222,'LAMPIRAN II DONE'!$I$1198:$I$1222,"Lamanya 81-160 jam")</f>
        <v>0</v>
      </c>
      <c r="J99" s="49" t="str">
        <f t="shared" si="9"/>
        <v/>
      </c>
      <c r="K99" s="22"/>
      <c r="L99" s="22"/>
      <c r="M99" s="22"/>
    </row>
    <row r="100" spans="1:26" ht="19.5" customHeight="1" x14ac:dyDescent="0.2">
      <c r="A100" s="28"/>
      <c r="B100" s="329"/>
      <c r="C100" s="48" t="s">
        <v>131</v>
      </c>
      <c r="D100" s="670" t="s">
        <v>132</v>
      </c>
      <c r="E100" s="615"/>
      <c r="F100" s="615"/>
      <c r="G100" s="616"/>
      <c r="H100" s="34"/>
      <c r="I100" s="355">
        <f>SUMIFS('LAMPIRAN II DONE'!$F$1198:$F$1222,'LAMPIRAN II DONE'!$I$1198:$I$1222,"Lamanya 31-80 jam")</f>
        <v>0</v>
      </c>
      <c r="J100" s="49" t="str">
        <f t="shared" si="9"/>
        <v/>
      </c>
      <c r="K100" s="22"/>
      <c r="L100" s="22"/>
      <c r="M100" s="22"/>
      <c r="R100" s="27" t="s">
        <v>133</v>
      </c>
    </row>
    <row r="101" spans="1:26" ht="19.5" customHeight="1" x14ac:dyDescent="0.2">
      <c r="A101" s="28"/>
      <c r="B101" s="50"/>
      <c r="C101" s="48" t="s">
        <v>134</v>
      </c>
      <c r="D101" s="670" t="s">
        <v>135</v>
      </c>
      <c r="E101" s="615"/>
      <c r="F101" s="615"/>
      <c r="G101" s="616"/>
      <c r="H101" s="34"/>
      <c r="I101" s="355">
        <f>SUMIFS('LAMPIRAN II DONE'!$F$1198:$F$1222,'LAMPIRAN II DONE'!$I$1198:$I$1222,"Lamanya 10-30 jam")</f>
        <v>0</v>
      </c>
      <c r="J101" s="49" t="str">
        <f t="shared" si="9"/>
        <v/>
      </c>
      <c r="K101" s="22"/>
      <c r="L101" s="22"/>
      <c r="M101" s="22"/>
    </row>
    <row r="102" spans="1:26" ht="19.5" customHeight="1" x14ac:dyDescent="0.2">
      <c r="A102" s="356" t="s">
        <v>136</v>
      </c>
      <c r="B102" s="665" t="s">
        <v>137</v>
      </c>
      <c r="C102" s="615"/>
      <c r="D102" s="615"/>
      <c r="E102" s="615"/>
      <c r="F102" s="615"/>
      <c r="G102" s="616"/>
      <c r="H102" s="34"/>
      <c r="I102" s="51"/>
      <c r="J102" s="49"/>
      <c r="K102" s="22"/>
      <c r="L102" s="22"/>
      <c r="M102" s="22"/>
    </row>
    <row r="103" spans="1:26" ht="19.5" customHeight="1" x14ac:dyDescent="0.25">
      <c r="A103" s="28"/>
      <c r="B103" s="323" t="s">
        <v>56</v>
      </c>
      <c r="C103" s="639" t="s">
        <v>138</v>
      </c>
      <c r="D103" s="615"/>
      <c r="E103" s="615"/>
      <c r="F103" s="615"/>
      <c r="G103" s="616"/>
      <c r="H103" s="330"/>
      <c r="I103" s="51"/>
      <c r="J103" s="49"/>
      <c r="K103" s="22"/>
      <c r="L103" s="22"/>
      <c r="M103" s="22"/>
      <c r="O103" s="7"/>
    </row>
    <row r="104" spans="1:26" ht="19.5" customHeight="1" x14ac:dyDescent="0.25">
      <c r="A104" s="36"/>
      <c r="B104" s="326"/>
      <c r="C104" s="323">
        <v>1</v>
      </c>
      <c r="D104" s="639" t="s">
        <v>139</v>
      </c>
      <c r="E104" s="615"/>
      <c r="F104" s="615"/>
      <c r="G104" s="616"/>
      <c r="H104" s="330"/>
      <c r="I104" s="51"/>
      <c r="J104" s="49"/>
      <c r="K104" s="32"/>
      <c r="L104" s="32"/>
      <c r="M104" s="32"/>
      <c r="N104" s="15"/>
      <c r="O104" s="7"/>
      <c r="P104" s="15"/>
      <c r="Q104" s="15"/>
      <c r="R104" s="15"/>
      <c r="S104" s="15"/>
      <c r="T104" s="15"/>
      <c r="U104" s="15"/>
      <c r="V104" s="15"/>
      <c r="W104" s="15"/>
      <c r="X104" s="15"/>
      <c r="Y104" s="15"/>
      <c r="Z104" s="15"/>
    </row>
    <row r="105" spans="1:26" ht="21" customHeight="1" x14ac:dyDescent="0.25">
      <c r="A105" s="28"/>
      <c r="B105" s="326"/>
      <c r="C105" s="350"/>
      <c r="D105" s="323" t="s">
        <v>76</v>
      </c>
      <c r="E105" s="640" t="s">
        <v>140</v>
      </c>
      <c r="F105" s="615"/>
      <c r="G105" s="616"/>
      <c r="H105" s="328"/>
      <c r="I105" s="51"/>
      <c r="J105" s="49"/>
      <c r="K105" s="22"/>
      <c r="L105" s="22"/>
      <c r="M105" s="22"/>
      <c r="O105" s="7"/>
    </row>
    <row r="106" spans="1:26" ht="21" customHeight="1" x14ac:dyDescent="0.25">
      <c r="A106" s="28"/>
      <c r="B106" s="348"/>
      <c r="C106" s="350"/>
      <c r="D106" s="326"/>
      <c r="E106" s="17" t="s">
        <v>141</v>
      </c>
      <c r="F106" s="639" t="s">
        <v>142</v>
      </c>
      <c r="G106" s="616"/>
      <c r="H106" s="328"/>
      <c r="I106" s="51">
        <f>SUMIFS('LAMPIRAN III DONE'!$H$146:$H$155,'LAMPIRAN III DONE'!$L$146:$L$155,"1.a).2). Hasil penelitian atau hasil pemikiran yang DIPUBLIKASIKAN dalam bentuk BUKU MONOGRAF")</f>
        <v>0</v>
      </c>
      <c r="J106" s="49" t="str">
        <f t="shared" ref="J106:J108" si="10">IF(I106=0,"",I106)</f>
        <v/>
      </c>
      <c r="K106" s="22"/>
      <c r="L106" s="22"/>
      <c r="M106" s="22"/>
      <c r="O106" s="7" t="s">
        <v>143</v>
      </c>
    </row>
    <row r="107" spans="1:26" ht="21" customHeight="1" x14ac:dyDescent="0.25">
      <c r="A107" s="28"/>
      <c r="B107" s="348"/>
      <c r="C107" s="350"/>
      <c r="D107" s="326"/>
      <c r="E107" s="17" t="s">
        <v>144</v>
      </c>
      <c r="F107" s="639" t="s">
        <v>145</v>
      </c>
      <c r="G107" s="616"/>
      <c r="H107" s="328"/>
      <c r="I107" s="51">
        <f>SUMIFS('LAMPIRAN III DONE'!$H$146:$H$155,'LAMPIRAN III DONE'!$L$146:$L$155,"1.a).1). Hasil penelitian atau hasil pemikiran yang DIPUBLIKASIKAN dalam bentuk BUKU REFERENSI")</f>
        <v>0</v>
      </c>
      <c r="J107" s="49" t="str">
        <f t="shared" si="10"/>
        <v/>
      </c>
      <c r="K107" s="22"/>
      <c r="L107" s="22"/>
      <c r="M107" s="22"/>
      <c r="O107" s="7" t="s">
        <v>146</v>
      </c>
    </row>
    <row r="108" spans="1:26" ht="21" customHeight="1" x14ac:dyDescent="0.25">
      <c r="A108" s="28"/>
      <c r="B108" s="348"/>
      <c r="C108" s="350"/>
      <c r="D108" s="357"/>
      <c r="E108" s="17" t="s">
        <v>147</v>
      </c>
      <c r="F108" s="639" t="s">
        <v>148</v>
      </c>
      <c r="G108" s="616"/>
      <c r="H108" s="328"/>
      <c r="I108" s="51">
        <f>SUMIFS('LAMPIRAN III DONE'!$H$146:$H$155,'LAMPIRAN III DONE'!$L$146:$L$155,"1.b).1). Hasil penelitian atau hasil pemikiran dalam buku yang DIPUBLIKASIKAN dan berisi berbagai tulisan dari berbagai PENULIS INTERNASIONAL")</f>
        <v>0</v>
      </c>
      <c r="J108" s="49" t="str">
        <f t="shared" si="10"/>
        <v/>
      </c>
      <c r="K108" s="22"/>
      <c r="L108" s="22"/>
      <c r="M108" s="22"/>
      <c r="O108" s="7" t="s">
        <v>149</v>
      </c>
    </row>
    <row r="109" spans="1:26" ht="21" customHeight="1" x14ac:dyDescent="0.25">
      <c r="A109" s="28"/>
      <c r="B109" s="348"/>
      <c r="C109" s="350"/>
      <c r="D109" s="323" t="s">
        <v>150</v>
      </c>
      <c r="E109" s="639" t="s">
        <v>151</v>
      </c>
      <c r="F109" s="615"/>
      <c r="G109" s="616"/>
      <c r="H109" s="328"/>
      <c r="I109" s="51"/>
      <c r="J109" s="49"/>
      <c r="K109" s="22"/>
      <c r="L109" s="22"/>
      <c r="M109" s="22"/>
      <c r="O109" s="7" t="s">
        <v>152</v>
      </c>
    </row>
    <row r="110" spans="1:26" ht="21" customHeight="1" x14ac:dyDescent="0.25">
      <c r="A110" s="28"/>
      <c r="B110" s="348"/>
      <c r="C110" s="358"/>
      <c r="D110" s="348"/>
      <c r="E110" s="17" t="s">
        <v>141</v>
      </c>
      <c r="F110" s="639" t="s">
        <v>153</v>
      </c>
      <c r="G110" s="616"/>
      <c r="H110" s="328"/>
      <c r="I110" s="51">
        <f>SUM('LAMPIRAN III DONE'!$H$29:$H$48)</f>
        <v>0</v>
      </c>
      <c r="J110" s="49" t="str">
        <f t="shared" ref="J110:J112" si="11">IF(I110=0,"",I110)</f>
        <v/>
      </c>
      <c r="K110" s="22"/>
      <c r="L110" s="22"/>
      <c r="M110" s="22"/>
      <c r="O110" s="7"/>
    </row>
    <row r="111" spans="1:26" ht="21" customHeight="1" x14ac:dyDescent="0.25">
      <c r="A111" s="28"/>
      <c r="B111" s="348"/>
      <c r="C111" s="358"/>
      <c r="D111" s="348"/>
      <c r="E111" s="17" t="s">
        <v>144</v>
      </c>
      <c r="F111" s="639" t="s">
        <v>154</v>
      </c>
      <c r="G111" s="616"/>
      <c r="H111" s="328"/>
      <c r="I111" s="51">
        <f>SUMIFS('LAMPIRAN III DONE'!$H$50:$H$69,'LAMPIRAN III DONE'!$L$50:$L$69,"1.c).4). Hasil penelitian atau hasil pemikiran yang DIPUBLIKASIKAN dalam bentuk JURNAL NASIONAL TERAKREDITASI")</f>
        <v>0</v>
      </c>
      <c r="J111" s="49" t="str">
        <f t="shared" si="11"/>
        <v/>
      </c>
      <c r="K111" s="22"/>
      <c r="L111" s="22"/>
      <c r="M111" s="22"/>
      <c r="O111" s="7" t="s">
        <v>155</v>
      </c>
    </row>
    <row r="112" spans="1:26" ht="21" customHeight="1" x14ac:dyDescent="0.25">
      <c r="A112" s="28"/>
      <c r="B112" s="348"/>
      <c r="C112" s="358"/>
      <c r="D112" s="347"/>
      <c r="E112" s="17" t="s">
        <v>147</v>
      </c>
      <c r="F112" s="639" t="s">
        <v>156</v>
      </c>
      <c r="G112" s="616"/>
      <c r="H112" s="328"/>
      <c r="I112" s="51">
        <f>SUMIFS('LAMPIRAN III DONE'!$H$50:$H$69,'LAMPIRAN III DONE'!$R$50:$R$69,"tidak terakreditasi")</f>
        <v>8</v>
      </c>
      <c r="J112" s="49">
        <f t="shared" si="11"/>
        <v>8</v>
      </c>
      <c r="K112" s="22"/>
      <c r="L112" s="22"/>
      <c r="M112" s="22"/>
      <c r="O112" s="7" t="s">
        <v>157</v>
      </c>
    </row>
    <row r="113" spans="1:26" ht="21" customHeight="1" x14ac:dyDescent="0.25">
      <c r="A113" s="29"/>
      <c r="B113" s="348"/>
      <c r="C113" s="358"/>
      <c r="D113" s="323" t="s">
        <v>80</v>
      </c>
      <c r="E113" s="639" t="s">
        <v>158</v>
      </c>
      <c r="F113" s="615"/>
      <c r="G113" s="616"/>
      <c r="H113" s="328"/>
      <c r="I113" s="52"/>
      <c r="J113" s="52"/>
      <c r="K113" s="31"/>
      <c r="L113" s="31"/>
      <c r="M113" s="31"/>
      <c r="O113" s="7" t="s">
        <v>159</v>
      </c>
    </row>
    <row r="114" spans="1:26" ht="21" customHeight="1" x14ac:dyDescent="0.25">
      <c r="A114" s="29"/>
      <c r="B114" s="348"/>
      <c r="C114" s="358"/>
      <c r="D114" s="348"/>
      <c r="E114" s="323" t="s">
        <v>141</v>
      </c>
      <c r="F114" s="639" t="s">
        <v>160</v>
      </c>
      <c r="G114" s="616"/>
      <c r="H114" s="328"/>
      <c r="I114" s="53"/>
      <c r="J114" s="53"/>
      <c r="K114" s="32"/>
      <c r="L114" s="32"/>
      <c r="M114" s="32"/>
      <c r="O114" s="7" t="s">
        <v>161</v>
      </c>
    </row>
    <row r="115" spans="1:26" ht="21" customHeight="1" x14ac:dyDescent="0.25">
      <c r="A115" s="29"/>
      <c r="B115" s="348"/>
      <c r="C115" s="358"/>
      <c r="D115" s="348"/>
      <c r="E115" s="348"/>
      <c r="F115" s="32" t="s">
        <v>162</v>
      </c>
      <c r="G115" s="22"/>
      <c r="H115" s="330"/>
      <c r="I115" s="54">
        <f>SUM('LAMPIRAN III DONE'!$H$71:$H$90)</f>
        <v>0</v>
      </c>
      <c r="J115" s="49" t="str">
        <f t="shared" ref="J115:J121" si="12">IF(I115=0,"",I115)</f>
        <v/>
      </c>
      <c r="K115" s="32"/>
      <c r="L115" s="32"/>
      <c r="M115" s="32"/>
      <c r="O115" s="7" t="s">
        <v>163</v>
      </c>
    </row>
    <row r="116" spans="1:26" ht="21" customHeight="1" x14ac:dyDescent="0.25">
      <c r="A116" s="29"/>
      <c r="B116" s="348"/>
      <c r="C116" s="358"/>
      <c r="D116" s="348"/>
      <c r="E116" s="347"/>
      <c r="F116" s="32" t="s">
        <v>164</v>
      </c>
      <c r="G116" s="22"/>
      <c r="H116" s="330"/>
      <c r="I116" s="54">
        <f>SUM('LAMPIRAN III DONE'!$H$92:$H$111)</f>
        <v>12</v>
      </c>
      <c r="J116" s="49">
        <f t="shared" si="12"/>
        <v>12</v>
      </c>
      <c r="K116" s="17"/>
      <c r="L116" s="17"/>
      <c r="M116" s="17"/>
      <c r="O116" s="7" t="s">
        <v>165</v>
      </c>
    </row>
    <row r="117" spans="1:26" ht="21" customHeight="1" x14ac:dyDescent="0.25">
      <c r="A117" s="326"/>
      <c r="B117" s="348"/>
      <c r="C117" s="358"/>
      <c r="D117" s="348"/>
      <c r="E117" s="323" t="s">
        <v>144</v>
      </c>
      <c r="F117" s="639" t="s">
        <v>166</v>
      </c>
      <c r="G117" s="616"/>
      <c r="H117" s="328"/>
      <c r="I117" s="54"/>
      <c r="J117" s="49" t="str">
        <f t="shared" si="12"/>
        <v/>
      </c>
      <c r="K117" s="17"/>
      <c r="L117" s="17"/>
      <c r="M117" s="17"/>
      <c r="N117" s="15"/>
      <c r="O117" s="7" t="s">
        <v>167</v>
      </c>
      <c r="P117" s="15"/>
      <c r="Q117" s="15"/>
      <c r="R117" s="15"/>
      <c r="S117" s="15"/>
      <c r="T117" s="15"/>
      <c r="U117" s="15"/>
      <c r="V117" s="15"/>
      <c r="W117" s="15"/>
      <c r="X117" s="15"/>
      <c r="Y117" s="15"/>
      <c r="Z117" s="15"/>
    </row>
    <row r="118" spans="1:26" ht="21" customHeight="1" x14ac:dyDescent="0.25">
      <c r="A118" s="28"/>
      <c r="B118" s="348"/>
      <c r="C118" s="358"/>
      <c r="D118" s="348"/>
      <c r="E118" s="348"/>
      <c r="F118" s="32" t="s">
        <v>162</v>
      </c>
      <c r="G118" s="22"/>
      <c r="H118" s="330"/>
      <c r="I118" s="51">
        <f>SUMIFS('LAMPIRAN III DONE'!$H$113:$H$122,'LAMPIRAN III DONE'!$L$113:$L$122,"2.b).1). Hasil penelitian atau hasil pemikiran yang DISAJIKAN dalam bentuk POSTER dan dimuat dalam PROSIDING yang DIPUBLIKASIKAN INTERNASIONAL")</f>
        <v>0</v>
      </c>
      <c r="J118" s="49" t="str">
        <f t="shared" si="12"/>
        <v/>
      </c>
      <c r="K118" s="22"/>
      <c r="L118" s="22"/>
      <c r="M118" s="22"/>
      <c r="O118" s="7" t="s">
        <v>168</v>
      </c>
    </row>
    <row r="119" spans="1:26" ht="21" customHeight="1" x14ac:dyDescent="0.25">
      <c r="A119" s="28"/>
      <c r="B119" s="348"/>
      <c r="C119" s="358"/>
      <c r="D119" s="347"/>
      <c r="E119" s="347"/>
      <c r="F119" s="32" t="s">
        <v>164</v>
      </c>
      <c r="G119" s="22"/>
      <c r="H119" s="330"/>
      <c r="I119" s="51">
        <f>SUMIFS('LAMPIRAN III DONE'!$O$113:$O$122,'LAMPIRAN III DONE'!$L$113:$L$122,"2.b).2). Hasil penelitian atau hasil pemikiran yang DISAJIKAN dalam bentuk POSTER dan dimuat dalam PROSIDING yang DIPUBLIKASIKAN NASIONAL")</f>
        <v>0</v>
      </c>
      <c r="J119" s="49" t="str">
        <f t="shared" si="12"/>
        <v/>
      </c>
      <c r="K119" s="22"/>
      <c r="L119" s="22"/>
      <c r="M119" s="22"/>
      <c r="O119" s="7" t="s">
        <v>169</v>
      </c>
    </row>
    <row r="120" spans="1:26" ht="31.5" customHeight="1" x14ac:dyDescent="0.25">
      <c r="A120" s="28"/>
      <c r="B120" s="348"/>
      <c r="C120" s="359"/>
      <c r="D120" s="17" t="s">
        <v>170</v>
      </c>
      <c r="E120" s="639" t="s">
        <v>171</v>
      </c>
      <c r="F120" s="615"/>
      <c r="G120" s="616"/>
      <c r="H120" s="328"/>
      <c r="I120" s="51">
        <f>SUM('LAMPIRAN III DONE'!$H$124:$H$133)</f>
        <v>0</v>
      </c>
      <c r="J120" s="49" t="str">
        <f t="shared" si="12"/>
        <v/>
      </c>
      <c r="K120" s="22"/>
      <c r="L120" s="22"/>
      <c r="M120" s="22"/>
      <c r="O120" s="7" t="s">
        <v>172</v>
      </c>
    </row>
    <row r="121" spans="1:26" ht="30.75" customHeight="1" x14ac:dyDescent="0.25">
      <c r="A121" s="28"/>
      <c r="B121" s="347"/>
      <c r="C121" s="55">
        <v>2</v>
      </c>
      <c r="D121" s="643" t="s">
        <v>173</v>
      </c>
      <c r="E121" s="615"/>
      <c r="F121" s="615"/>
      <c r="G121" s="616"/>
      <c r="H121" s="328"/>
      <c r="I121" s="51">
        <f>SUM('LAMPIRAN III DONE'!$H$135:$H$144)</f>
        <v>0</v>
      </c>
      <c r="J121" s="49" t="str">
        <f t="shared" si="12"/>
        <v/>
      </c>
      <c r="K121" s="22"/>
      <c r="L121" s="22"/>
      <c r="M121" s="22"/>
      <c r="O121" s="7" t="s">
        <v>174</v>
      </c>
    </row>
    <row r="122" spans="1:26" ht="19.5" customHeight="1" x14ac:dyDescent="0.25">
      <c r="A122" s="28"/>
      <c r="B122" s="349" t="s">
        <v>61</v>
      </c>
      <c r="C122" s="639" t="s">
        <v>175</v>
      </c>
      <c r="D122" s="615"/>
      <c r="E122" s="615"/>
      <c r="F122" s="615"/>
      <c r="G122" s="616"/>
      <c r="H122" s="330"/>
      <c r="I122" s="51"/>
      <c r="J122" s="49"/>
      <c r="K122" s="22"/>
      <c r="L122" s="22"/>
      <c r="M122" s="22"/>
      <c r="O122" s="7" t="s">
        <v>176</v>
      </c>
    </row>
    <row r="123" spans="1:26" ht="19.5" customHeight="1" x14ac:dyDescent="0.25">
      <c r="A123" s="28"/>
      <c r="B123" s="347"/>
      <c r="C123" s="328"/>
      <c r="D123" s="668" t="s">
        <v>177</v>
      </c>
      <c r="E123" s="615"/>
      <c r="F123" s="615"/>
      <c r="G123" s="616"/>
      <c r="H123" s="330"/>
      <c r="I123" s="51" t="str">
        <f>IF('LAMPIRAN III DONE'!I162=0,"",'LAMPIRAN III DONE'!I162)</f>
        <v/>
      </c>
      <c r="J123" s="49" t="str">
        <f>IF(I123=0,"",I123)</f>
        <v/>
      </c>
      <c r="K123" s="22"/>
      <c r="L123" s="22"/>
      <c r="M123" s="22"/>
      <c r="O123" s="7" t="s">
        <v>178</v>
      </c>
    </row>
    <row r="124" spans="1:26" ht="19.5" customHeight="1" x14ac:dyDescent="0.25">
      <c r="A124" s="28"/>
      <c r="B124" s="349" t="s">
        <v>70</v>
      </c>
      <c r="C124" s="639" t="s">
        <v>179</v>
      </c>
      <c r="D124" s="615"/>
      <c r="E124" s="615"/>
      <c r="F124" s="615"/>
      <c r="G124" s="616"/>
      <c r="H124" s="330"/>
      <c r="I124" s="51"/>
      <c r="J124" s="49"/>
      <c r="K124" s="22"/>
      <c r="L124" s="22"/>
      <c r="M124" s="22"/>
      <c r="O124" s="7" t="s">
        <v>180</v>
      </c>
    </row>
    <row r="125" spans="1:26" ht="19.5" customHeight="1" x14ac:dyDescent="0.2">
      <c r="A125" s="28"/>
      <c r="B125" s="347"/>
      <c r="C125" s="328"/>
      <c r="D125" s="668" t="s">
        <v>177</v>
      </c>
      <c r="E125" s="615"/>
      <c r="F125" s="615"/>
      <c r="G125" s="616"/>
      <c r="H125" s="330"/>
      <c r="I125" s="51" t="str">
        <f>IF('LAMPIRAN III DONE'!I168=0,"",'LAMPIRAN III DONE'!I168)</f>
        <v/>
      </c>
      <c r="J125" s="49" t="str">
        <f>IF(I125=0,"",I125)</f>
        <v/>
      </c>
      <c r="K125" s="22"/>
      <c r="L125" s="22"/>
      <c r="M125" s="22"/>
    </row>
    <row r="126" spans="1:26" ht="19.5" customHeight="1" x14ac:dyDescent="0.2">
      <c r="A126" s="36"/>
      <c r="B126" s="349" t="s">
        <v>73</v>
      </c>
      <c r="C126" s="639" t="s">
        <v>181</v>
      </c>
      <c r="D126" s="615"/>
      <c r="E126" s="615"/>
      <c r="F126" s="615"/>
      <c r="G126" s="616"/>
      <c r="H126" s="328"/>
      <c r="I126" s="51"/>
      <c r="J126" s="49"/>
      <c r="K126" s="32"/>
      <c r="L126" s="32"/>
      <c r="M126" s="32"/>
      <c r="N126" s="15"/>
      <c r="O126" s="15"/>
      <c r="P126" s="15"/>
      <c r="Q126" s="15"/>
      <c r="R126" s="15"/>
      <c r="S126" s="15"/>
      <c r="T126" s="15"/>
      <c r="U126" s="15"/>
      <c r="V126" s="15"/>
      <c r="W126" s="15"/>
      <c r="X126" s="15"/>
      <c r="Y126" s="15"/>
      <c r="Z126" s="15"/>
    </row>
    <row r="127" spans="1:26" ht="18" customHeight="1" x14ac:dyDescent="0.2">
      <c r="A127" s="28"/>
      <c r="B127" s="348"/>
      <c r="C127" s="17">
        <v>1</v>
      </c>
      <c r="D127" s="639" t="s">
        <v>153</v>
      </c>
      <c r="E127" s="615"/>
      <c r="F127" s="615"/>
      <c r="G127" s="616"/>
      <c r="H127" s="328"/>
      <c r="I127" s="51">
        <f>SUMIFS('LAMPIRAN III DONE'!$O$170:$O$191,'LAMPIRAN III DONE'!$L$170:$L$191,"a.internasional")</f>
        <v>0</v>
      </c>
      <c r="J127" s="49" t="str">
        <f t="shared" ref="J127:J128" si="13">IF(I127=0,"",I127)</f>
        <v/>
      </c>
      <c r="K127" s="22"/>
      <c r="L127" s="22"/>
      <c r="M127" s="22"/>
    </row>
    <row r="128" spans="1:26" ht="20.25" customHeight="1" x14ac:dyDescent="0.2">
      <c r="A128" s="28"/>
      <c r="B128" s="347"/>
      <c r="C128" s="56">
        <v>2</v>
      </c>
      <c r="D128" s="639" t="s">
        <v>182</v>
      </c>
      <c r="E128" s="615"/>
      <c r="F128" s="615"/>
      <c r="G128" s="616"/>
      <c r="H128" s="330"/>
      <c r="I128" s="51">
        <f>SUMIFS('LAMPIRAN III DONE'!$O$170:$O$191,'LAMPIRAN III DONE'!$L$170:$L$191,"b.nasional")</f>
        <v>0</v>
      </c>
      <c r="J128" s="49" t="str">
        <f t="shared" si="13"/>
        <v/>
      </c>
      <c r="K128" s="22"/>
      <c r="L128" s="22"/>
      <c r="M128" s="22"/>
    </row>
    <row r="129" spans="1:26" ht="32.25" customHeight="1" x14ac:dyDescent="0.2">
      <c r="A129" s="28"/>
      <c r="B129" s="339" t="s">
        <v>85</v>
      </c>
      <c r="C129" s="643" t="s">
        <v>183</v>
      </c>
      <c r="D129" s="615"/>
      <c r="E129" s="615"/>
      <c r="F129" s="615"/>
      <c r="G129" s="616"/>
      <c r="H129" s="328"/>
      <c r="I129" s="51"/>
      <c r="J129" s="49"/>
      <c r="K129" s="22"/>
      <c r="L129" s="22"/>
      <c r="M129" s="22"/>
    </row>
    <row r="130" spans="1:26" ht="21" customHeight="1" x14ac:dyDescent="0.2">
      <c r="A130" s="28"/>
      <c r="B130" s="348"/>
      <c r="C130" s="17">
        <v>1</v>
      </c>
      <c r="D130" s="639" t="s">
        <v>184</v>
      </c>
      <c r="E130" s="615"/>
      <c r="F130" s="615"/>
      <c r="G130" s="616"/>
      <c r="H130" s="328"/>
      <c r="I130" s="51">
        <f>SUMIFS('LAMPIRAN III DONE'!$O$202:$O$207,'LAMPIRAN III DONE'!$L$202:$L$207,"a.internasional")</f>
        <v>0</v>
      </c>
      <c r="J130" s="49" t="str">
        <f t="shared" ref="J130:J132" si="14">IF(I130=0,"",I130)</f>
        <v/>
      </c>
      <c r="K130" s="22"/>
      <c r="L130" s="22"/>
      <c r="M130" s="22"/>
    </row>
    <row r="131" spans="1:26" ht="21" customHeight="1" x14ac:dyDescent="0.2">
      <c r="A131" s="28"/>
      <c r="B131" s="348"/>
      <c r="C131" s="17">
        <v>2</v>
      </c>
      <c r="D131" s="639" t="s">
        <v>185</v>
      </c>
      <c r="E131" s="615"/>
      <c r="F131" s="615"/>
      <c r="G131" s="616"/>
      <c r="H131" s="328"/>
      <c r="I131" s="51">
        <f>SUMIFS('LAMPIRAN III DONE'!$O$202:$O$207,'LAMPIRAN III DONE'!$L$202:$L$207,"b.nasional")</f>
        <v>0</v>
      </c>
      <c r="J131" s="49" t="str">
        <f t="shared" si="14"/>
        <v/>
      </c>
      <c r="K131" s="22"/>
      <c r="L131" s="22"/>
      <c r="M131" s="22"/>
    </row>
    <row r="132" spans="1:26" ht="21" customHeight="1" x14ac:dyDescent="0.2">
      <c r="A132" s="28"/>
      <c r="B132" s="347"/>
      <c r="C132" s="17">
        <v>3</v>
      </c>
      <c r="D132" s="669" t="s">
        <v>186</v>
      </c>
      <c r="E132" s="637"/>
      <c r="F132" s="637"/>
      <c r="G132" s="638"/>
      <c r="H132" s="330"/>
      <c r="I132" s="51">
        <f>SUMIFS('LAMPIRAN III DONE'!$O$202:$O$207,'LAMPIRAN III DONE'!$L$202:$L$207,"c.lokal")</f>
        <v>0</v>
      </c>
      <c r="J132" s="49" t="str">
        <f t="shared" si="14"/>
        <v/>
      </c>
      <c r="K132" s="22"/>
      <c r="L132" s="22"/>
      <c r="M132" s="22"/>
    </row>
    <row r="133" spans="1:26" ht="19.5" customHeight="1" x14ac:dyDescent="0.2">
      <c r="A133" s="356" t="s">
        <v>187</v>
      </c>
      <c r="B133" s="665" t="s">
        <v>188</v>
      </c>
      <c r="C133" s="615"/>
      <c r="D133" s="615"/>
      <c r="E133" s="615"/>
      <c r="F133" s="615"/>
      <c r="G133" s="616"/>
      <c r="H133" s="34"/>
      <c r="I133" s="18"/>
      <c r="J133" s="21"/>
      <c r="K133" s="22"/>
      <c r="L133" s="22"/>
      <c r="M133" s="22"/>
    </row>
    <row r="134" spans="1:26" ht="19.5" customHeight="1" x14ac:dyDescent="0.2">
      <c r="A134" s="28"/>
      <c r="B134" s="349" t="s">
        <v>56</v>
      </c>
      <c r="C134" s="639" t="s">
        <v>189</v>
      </c>
      <c r="D134" s="615"/>
      <c r="E134" s="615"/>
      <c r="F134" s="615"/>
      <c r="G134" s="616"/>
      <c r="H134" s="34"/>
      <c r="I134" s="18"/>
      <c r="J134" s="21"/>
      <c r="K134" s="22"/>
      <c r="L134" s="22"/>
      <c r="M134" s="22"/>
    </row>
    <row r="135" spans="1:26" ht="47.25" customHeight="1" x14ac:dyDescent="0.2">
      <c r="A135" s="28"/>
      <c r="B135" s="347"/>
      <c r="C135" s="333"/>
      <c r="D135" s="666" t="s">
        <v>190</v>
      </c>
      <c r="E135" s="615"/>
      <c r="F135" s="615"/>
      <c r="G135" s="616"/>
      <c r="H135" s="34"/>
      <c r="I135" s="18" t="str">
        <f>IF('LAMPIRAN IV DONE'!G36=0,"",'LAMPIRAN IV DONE'!G36)</f>
        <v/>
      </c>
      <c r="J135" s="21" t="str">
        <f>IF(I135=0,"",I135)</f>
        <v/>
      </c>
      <c r="K135" s="22"/>
      <c r="L135" s="22"/>
      <c r="M135" s="22"/>
    </row>
    <row r="136" spans="1:26" ht="21" customHeight="1" x14ac:dyDescent="0.2">
      <c r="A136" s="36"/>
      <c r="B136" s="349" t="s">
        <v>61</v>
      </c>
      <c r="C136" s="644" t="s">
        <v>191</v>
      </c>
      <c r="D136" s="645"/>
      <c r="E136" s="645"/>
      <c r="F136" s="645"/>
      <c r="G136" s="646"/>
      <c r="H136" s="57"/>
      <c r="I136" s="349"/>
      <c r="J136" s="327"/>
      <c r="K136" s="360"/>
      <c r="L136" s="360"/>
      <c r="M136" s="360"/>
      <c r="N136" s="15"/>
      <c r="O136" s="15"/>
      <c r="P136" s="15"/>
      <c r="Q136" s="15"/>
      <c r="R136" s="15"/>
      <c r="S136" s="15"/>
      <c r="T136" s="15"/>
      <c r="U136" s="15"/>
      <c r="V136" s="15"/>
      <c r="W136" s="15"/>
      <c r="X136" s="15"/>
      <c r="Y136" s="15"/>
      <c r="Z136" s="15"/>
    </row>
    <row r="137" spans="1:26" ht="33" customHeight="1" x14ac:dyDescent="0.2">
      <c r="A137" s="28"/>
      <c r="B137" s="347"/>
      <c r="C137" s="333"/>
      <c r="D137" s="667" t="s">
        <v>192</v>
      </c>
      <c r="E137" s="615"/>
      <c r="F137" s="615"/>
      <c r="G137" s="616"/>
      <c r="H137" s="34"/>
      <c r="I137" s="18">
        <f>IF('LAMPIRAN IV DONE'!G48=0,"",'LAMPIRAN IV DONE'!G48)</f>
        <v>24</v>
      </c>
      <c r="J137" s="21">
        <f t="shared" ref="J137:J138" si="15">IF(I137=0,"",I137)</f>
        <v>24</v>
      </c>
      <c r="K137" s="58"/>
      <c r="L137" s="22"/>
      <c r="M137" s="22"/>
    </row>
    <row r="138" spans="1:26" ht="18" customHeight="1" x14ac:dyDescent="0.2">
      <c r="A138" s="50"/>
      <c r="B138" s="35" t="s">
        <v>70</v>
      </c>
      <c r="C138" s="643" t="s">
        <v>193</v>
      </c>
      <c r="D138" s="615"/>
      <c r="E138" s="615"/>
      <c r="F138" s="615"/>
      <c r="G138" s="616"/>
      <c r="H138" s="34"/>
      <c r="I138" s="18"/>
      <c r="J138" s="21" t="str">
        <f t="shared" si="15"/>
        <v/>
      </c>
      <c r="K138" s="32"/>
      <c r="L138" s="32"/>
      <c r="M138" s="32"/>
      <c r="N138" s="15"/>
      <c r="O138" s="15"/>
      <c r="P138" s="15"/>
      <c r="Q138" s="15"/>
      <c r="R138" s="15"/>
      <c r="S138" s="15"/>
      <c r="T138" s="15"/>
      <c r="U138" s="15"/>
      <c r="V138" s="15"/>
      <c r="W138" s="15"/>
      <c r="X138" s="15"/>
      <c r="Y138" s="15"/>
      <c r="Z138" s="15"/>
    </row>
    <row r="139" spans="1:26" ht="19.5" customHeight="1" x14ac:dyDescent="0.2">
      <c r="A139" s="629" t="s">
        <v>45</v>
      </c>
      <c r="B139" s="632" t="s">
        <v>46</v>
      </c>
      <c r="C139" s="615"/>
      <c r="D139" s="615"/>
      <c r="E139" s="615"/>
      <c r="F139" s="615"/>
      <c r="G139" s="615"/>
      <c r="H139" s="615"/>
      <c r="I139" s="615"/>
      <c r="J139" s="615"/>
      <c r="K139" s="615"/>
      <c r="L139" s="615"/>
      <c r="M139" s="616"/>
    </row>
    <row r="140" spans="1:26" ht="19.5" customHeight="1" x14ac:dyDescent="0.2">
      <c r="A140" s="630"/>
      <c r="B140" s="633" t="s">
        <v>67</v>
      </c>
      <c r="C140" s="613"/>
      <c r="D140" s="613"/>
      <c r="E140" s="613"/>
      <c r="F140" s="613"/>
      <c r="G140" s="634"/>
      <c r="H140" s="641" t="s">
        <v>48</v>
      </c>
      <c r="I140" s="637"/>
      <c r="J140" s="637"/>
      <c r="K140" s="637"/>
      <c r="L140" s="637"/>
      <c r="M140" s="638"/>
    </row>
    <row r="141" spans="1:26" ht="19.5" customHeight="1" x14ac:dyDescent="0.2">
      <c r="A141" s="630"/>
      <c r="B141" s="635"/>
      <c r="C141" s="613"/>
      <c r="D141" s="613"/>
      <c r="E141" s="613"/>
      <c r="F141" s="613"/>
      <c r="G141" s="634"/>
      <c r="H141" s="641" t="s">
        <v>49</v>
      </c>
      <c r="I141" s="637"/>
      <c r="J141" s="638"/>
      <c r="K141" s="641" t="s">
        <v>50</v>
      </c>
      <c r="L141" s="637"/>
      <c r="M141" s="638"/>
    </row>
    <row r="142" spans="1:26" ht="19.5" customHeight="1" x14ac:dyDescent="0.2">
      <c r="A142" s="631"/>
      <c r="B142" s="636"/>
      <c r="C142" s="637"/>
      <c r="D142" s="637"/>
      <c r="E142" s="637"/>
      <c r="F142" s="637"/>
      <c r="G142" s="638"/>
      <c r="H142" s="16" t="s">
        <v>51</v>
      </c>
      <c r="I142" s="16" t="s">
        <v>52</v>
      </c>
      <c r="J142" s="16" t="s">
        <v>53</v>
      </c>
      <c r="K142" s="16" t="s">
        <v>51</v>
      </c>
      <c r="L142" s="16" t="s">
        <v>52</v>
      </c>
      <c r="M142" s="16" t="s">
        <v>53</v>
      </c>
    </row>
    <row r="143" spans="1:26" ht="19.5" customHeight="1" x14ac:dyDescent="0.2">
      <c r="A143" s="17">
        <v>1</v>
      </c>
      <c r="B143" s="632">
        <v>2</v>
      </c>
      <c r="C143" s="615"/>
      <c r="D143" s="615"/>
      <c r="E143" s="615"/>
      <c r="F143" s="615"/>
      <c r="G143" s="616"/>
      <c r="H143" s="16">
        <v>3</v>
      </c>
      <c r="I143" s="16">
        <v>4</v>
      </c>
      <c r="J143" s="16">
        <v>5</v>
      </c>
      <c r="K143" s="16">
        <v>6</v>
      </c>
      <c r="L143" s="16">
        <v>7</v>
      </c>
      <c r="M143" s="16">
        <v>8</v>
      </c>
    </row>
    <row r="144" spans="1:26" ht="19.5" customHeight="1" x14ac:dyDescent="0.2">
      <c r="A144" s="28"/>
      <c r="B144" s="347"/>
      <c r="C144" s="17">
        <v>1</v>
      </c>
      <c r="D144" s="639" t="s">
        <v>194</v>
      </c>
      <c r="E144" s="615"/>
      <c r="F144" s="615"/>
      <c r="G144" s="616"/>
      <c r="H144" s="34"/>
      <c r="I144" s="18"/>
      <c r="J144" s="21"/>
      <c r="K144" s="22"/>
      <c r="L144" s="22"/>
      <c r="M144" s="22"/>
    </row>
    <row r="145" spans="1:13" ht="19.5" customHeight="1" x14ac:dyDescent="0.2">
      <c r="A145" s="28"/>
      <c r="B145" s="348"/>
      <c r="C145" s="350"/>
      <c r="D145" s="349" t="s">
        <v>76</v>
      </c>
      <c r="E145" s="640" t="s">
        <v>195</v>
      </c>
      <c r="F145" s="615"/>
      <c r="G145" s="616"/>
      <c r="H145" s="34"/>
      <c r="I145" s="18"/>
      <c r="J145" s="21"/>
      <c r="K145" s="22"/>
      <c r="L145" s="22"/>
      <c r="M145" s="22"/>
    </row>
    <row r="146" spans="1:13" ht="19.5" customHeight="1" x14ac:dyDescent="0.2">
      <c r="A146" s="28"/>
      <c r="B146" s="348"/>
      <c r="C146" s="350"/>
      <c r="D146" s="348"/>
      <c r="E146" s="17" t="s">
        <v>141</v>
      </c>
      <c r="F146" s="640" t="s">
        <v>184</v>
      </c>
      <c r="G146" s="616"/>
      <c r="H146" s="34"/>
      <c r="I146" s="18" t="str">
        <f>IF(SUMIFS('LAMPIRAN IV DONE'!$F$50:$F$59,'LAMPIRAN IV DONE'!$I$50:$I$59,"a.1).Terjadwal/terprogram Dalam satu semester atau lebih Tingkat Internasional tiap program")=0,"",SUMIFS('LAMPIRAN IV DONE'!$F$50:$F$59,'LAMPIRAN IV DONE'!$I$50:$I$59,"a.1).Terjadwal/terprogram Dalam satu semester atau lebih Tingkat Internasional tiap program"))</f>
        <v/>
      </c>
      <c r="J146" s="21" t="str">
        <f t="shared" ref="J146:J148" si="16">IF(I146=0,"",I146)</f>
        <v/>
      </c>
      <c r="K146" s="22"/>
      <c r="L146" s="22"/>
      <c r="M146" s="22"/>
    </row>
    <row r="147" spans="1:13" ht="19.5" customHeight="1" x14ac:dyDescent="0.2">
      <c r="A147" s="28"/>
      <c r="B147" s="348"/>
      <c r="C147" s="350"/>
      <c r="D147" s="348"/>
      <c r="E147" s="17" t="s">
        <v>144</v>
      </c>
      <c r="F147" s="640" t="s">
        <v>185</v>
      </c>
      <c r="G147" s="616"/>
      <c r="H147" s="34"/>
      <c r="I147" s="18" t="str">
        <f>IF(SUMIFS('LAMPIRAN IV DONE'!$F$50:$F$59,'LAMPIRAN IV DONE'!$I$50:$I$59,"a.2).Terjadwal/terprogram Dalam satu semester atau lebih Tingkat Nasional tiap program")=0,"",SUMIFS('LAMPIRAN IV DONE'!$F$50:$F$59,'LAMPIRAN IV DONE'!$I$50:$I$59,"a.2).Terjadwal/terprogram Dalam satu semester atau lebih Tingkat Nasional tiap program"))</f>
        <v/>
      </c>
      <c r="J147" s="21" t="str">
        <f t="shared" si="16"/>
        <v/>
      </c>
      <c r="K147" s="22"/>
      <c r="L147" s="22"/>
      <c r="M147" s="22"/>
    </row>
    <row r="148" spans="1:13" ht="19.5" customHeight="1" x14ac:dyDescent="0.2">
      <c r="A148" s="28"/>
      <c r="B148" s="348"/>
      <c r="C148" s="358"/>
      <c r="D148" s="347"/>
      <c r="E148" s="17" t="s">
        <v>147</v>
      </c>
      <c r="F148" s="640" t="s">
        <v>186</v>
      </c>
      <c r="G148" s="616"/>
      <c r="H148" s="34"/>
      <c r="I148" s="18" t="str">
        <f>IF(SUMIFS('LAMPIRAN IV DONE'!$F$50:$F$59,'LAMPIRAN IV DONE'!$I$50:$I$59,"a.3).Terjadwal/terprogram Dalam satu semester atau lebih Tingkat Lokal tiap program")=0,"",SUMIFS('LAMPIRAN IV DONE'!$F$50:$F$59,'LAMPIRAN IV DONE'!$I$50:$I$59,"a.3).Terjadwal/terprogram Dalam satu semester atau lebih Tingkat Lokal tiap program"))</f>
        <v/>
      </c>
      <c r="J148" s="21" t="str">
        <f t="shared" si="16"/>
        <v/>
      </c>
      <c r="K148" s="22"/>
      <c r="L148" s="22"/>
      <c r="M148" s="22"/>
    </row>
    <row r="149" spans="1:13" ht="17.25" customHeight="1" x14ac:dyDescent="0.2">
      <c r="A149" s="28"/>
      <c r="B149" s="348"/>
      <c r="C149" s="358"/>
      <c r="D149" s="339" t="s">
        <v>150</v>
      </c>
      <c r="E149" s="643" t="s">
        <v>196</v>
      </c>
      <c r="F149" s="615"/>
      <c r="G149" s="616"/>
      <c r="H149" s="34"/>
      <c r="I149" s="18"/>
      <c r="J149" s="21"/>
      <c r="K149" s="22"/>
      <c r="L149" s="22"/>
      <c r="M149" s="22"/>
    </row>
    <row r="150" spans="1:13" ht="19.5" customHeight="1" x14ac:dyDescent="0.2">
      <c r="A150" s="28"/>
      <c r="B150" s="348"/>
      <c r="C150" s="358"/>
      <c r="D150" s="348"/>
      <c r="E150" s="17" t="s">
        <v>141</v>
      </c>
      <c r="F150" s="640" t="s">
        <v>184</v>
      </c>
      <c r="G150" s="616"/>
      <c r="H150" s="34"/>
      <c r="I150" s="18" t="str">
        <f>IF(SUMIFS('LAMPIRAN IV DONE'!$F$50:$F$59,'LAMPIRAN IV DONE'!$I$50:$I$59,"a.4).Terjadwal/terprogram Kurang dari satu semester dan minimal satu bulan Tingkat Internasional tiap program")=0,"",SUMIFS('LAMPIRAN IV DONE'!$F$50:$F$59,'LAMPIRAN IV DONE'!$I$50:$I$59,"a.4).Terjadwal/terprogram Kurang dari satu semester dan minimal satu bulan Tingkat Internasional tiap program"))</f>
        <v/>
      </c>
      <c r="J150" s="21" t="str">
        <f t="shared" ref="J150:J153" si="17">IF(I150=0,"",I150)</f>
        <v/>
      </c>
      <c r="K150" s="22"/>
      <c r="L150" s="22"/>
      <c r="M150" s="22"/>
    </row>
    <row r="151" spans="1:13" ht="19.5" customHeight="1" x14ac:dyDescent="0.2">
      <c r="A151" s="28"/>
      <c r="B151" s="348"/>
      <c r="C151" s="358"/>
      <c r="D151" s="348"/>
      <c r="E151" s="17" t="s">
        <v>144</v>
      </c>
      <c r="F151" s="640" t="s">
        <v>185</v>
      </c>
      <c r="G151" s="616"/>
      <c r="H151" s="34"/>
      <c r="I151" s="18">
        <f>IF(SUMIFS('LAMPIRAN IV DONE'!$F$50:$F$59,'LAMPIRAN IV DONE'!$I$50:$I$59,"a.5).Terjadwal/terprogram Kurang dari satu semester dan minimal satu bulan Tingkat Nasional tiap program")=0,"",SUMIFS('LAMPIRAN IV DONE'!$F$50:$F$59,'LAMPIRAN IV DONE'!$I$50:$I$59,"a.5).Terjadwal/terprogram Kurang dari satu semester dan minimal satu bulan Tingkat Nasional tiap program"))</f>
        <v>4</v>
      </c>
      <c r="J151" s="21">
        <f t="shared" si="17"/>
        <v>4</v>
      </c>
      <c r="K151" s="22"/>
      <c r="L151" s="22"/>
      <c r="M151" s="22"/>
    </row>
    <row r="152" spans="1:13" ht="19.5" customHeight="1" x14ac:dyDescent="0.2">
      <c r="A152" s="28"/>
      <c r="B152" s="348"/>
      <c r="C152" s="359"/>
      <c r="D152" s="347"/>
      <c r="E152" s="17" t="s">
        <v>147</v>
      </c>
      <c r="F152" s="640" t="s">
        <v>186</v>
      </c>
      <c r="G152" s="616"/>
      <c r="H152" s="34"/>
      <c r="I152" s="18" t="str">
        <f>IF(SUMIFS('LAMPIRAN IV DONE'!$F$50:$F$59,'LAMPIRAN IV DONE'!$I$50:$I$59,"a.6).Terjadwal/terprogram Kurang dari satu semester dan minimal satu bulan Tingkat Lokal tiap program")=0,"",SUMIFS('LAMPIRAN IV DONE'!$F$50:$F$59,'LAMPIRAN IV DONE'!$I$50:$I$59,"a.6).Terjadwal/terprogram Kurang dari satu semester dan minimal satu bulan Tingkat Lokal tiap program"))</f>
        <v/>
      </c>
      <c r="J152" s="21" t="str">
        <f t="shared" si="17"/>
        <v/>
      </c>
      <c r="K152" s="22"/>
      <c r="L152" s="22"/>
      <c r="M152" s="22"/>
    </row>
    <row r="153" spans="1:13" ht="19.5" customHeight="1" x14ac:dyDescent="0.2">
      <c r="A153" s="28"/>
      <c r="B153" s="347"/>
      <c r="C153" s="17">
        <v>2</v>
      </c>
      <c r="D153" s="639" t="s">
        <v>197</v>
      </c>
      <c r="E153" s="615"/>
      <c r="F153" s="615"/>
      <c r="G153" s="616"/>
      <c r="H153" s="34"/>
      <c r="I153" s="18" t="str">
        <f>IF(SUMIFS('LAMPIRAN IV DONE'!$F$50:$F$59,'LAMPIRAN IV DONE'!$I$50:$I$59,"b.Insidental, tiap kegiatan program")=0,"",SUMIFS('LAMPIRAN IV DONE'!$F$50:$F$59,'LAMPIRAN IV DONE'!$I$50:$I$59,"b.Insidental, tiap kegiatan program"))</f>
        <v/>
      </c>
      <c r="J153" s="21" t="str">
        <f t="shared" si="17"/>
        <v/>
      </c>
      <c r="K153" s="22"/>
      <c r="L153" s="22"/>
      <c r="M153" s="22"/>
    </row>
    <row r="154" spans="1:13" ht="30.75" customHeight="1" x14ac:dyDescent="0.2">
      <c r="A154" s="28"/>
      <c r="B154" s="339" t="s">
        <v>73</v>
      </c>
      <c r="C154" s="662" t="s">
        <v>198</v>
      </c>
      <c r="D154" s="637"/>
      <c r="E154" s="637"/>
      <c r="F154" s="637"/>
      <c r="G154" s="638"/>
      <c r="H154" s="34"/>
      <c r="I154" s="18"/>
      <c r="J154" s="21"/>
      <c r="K154" s="22"/>
      <c r="L154" s="22"/>
      <c r="M154" s="22"/>
    </row>
    <row r="155" spans="1:13" ht="19.5" customHeight="1" x14ac:dyDescent="0.2">
      <c r="A155" s="28"/>
      <c r="B155" s="348"/>
      <c r="C155" s="17">
        <v>1</v>
      </c>
      <c r="D155" s="639" t="s">
        <v>199</v>
      </c>
      <c r="E155" s="615"/>
      <c r="F155" s="615"/>
      <c r="G155" s="616"/>
      <c r="H155" s="34"/>
      <c r="I155" s="18" t="str">
        <f>IF(SUMIFS('LAMPIRAN IV DONE'!$F$62:$F$71,'LAMPIRAN IV DONE'!$I$62:$I$71,"a.berdasarkan bidang keahlian")=0,"",SUMIFS('LAMPIRAN IV DONE'!$F$62:$F$71,'LAMPIRAN IV DONE'!$I$62:$I$71,"a.berdasarkan bidang keahlian"))</f>
        <v/>
      </c>
      <c r="J155" s="21" t="str">
        <f t="shared" ref="J155:J157" si="18">IF(I155=0,"",I155)</f>
        <v/>
      </c>
      <c r="K155" s="22"/>
      <c r="L155" s="22"/>
      <c r="M155" s="22"/>
    </row>
    <row r="156" spans="1:13" ht="19.5" customHeight="1" x14ac:dyDescent="0.2">
      <c r="A156" s="28"/>
      <c r="B156" s="348"/>
      <c r="C156" s="17">
        <v>2</v>
      </c>
      <c r="D156" s="639" t="s">
        <v>200</v>
      </c>
      <c r="E156" s="615"/>
      <c r="F156" s="615"/>
      <c r="G156" s="616"/>
      <c r="H156" s="34"/>
      <c r="I156" s="18" t="str">
        <f>IF(SUMIFS('LAMPIRAN IV DONE'!$F$62:$F$71,'LAMPIRAN IV DONE'!$I$62:$I$71,"b.Berdasarkan penugasan lembaga Perguruan Tinggi")=0,"",SUMIFS('LAMPIRAN IV DONE'!$F$62:$F$71,'LAMPIRAN IV DONE'!$I$62:$I$71,"b.Berdasarkan penugasan lembaga Perguruan Tinggi"))</f>
        <v/>
      </c>
      <c r="J156" s="21" t="str">
        <f t="shared" si="18"/>
        <v/>
      </c>
      <c r="K156" s="22"/>
      <c r="L156" s="22"/>
      <c r="M156" s="22"/>
    </row>
    <row r="157" spans="1:13" ht="19.5" customHeight="1" x14ac:dyDescent="0.2">
      <c r="A157" s="28"/>
      <c r="B157" s="357"/>
      <c r="C157" s="17">
        <v>3</v>
      </c>
      <c r="D157" s="664" t="s">
        <v>201</v>
      </c>
      <c r="E157" s="637"/>
      <c r="F157" s="637"/>
      <c r="G157" s="638"/>
      <c r="H157" s="34"/>
      <c r="I157" s="18" t="str">
        <f>IF(SUMIFS('LAMPIRAN IV DONE'!$F$62:$F$71,'LAMPIRAN IV DONE'!$I$62:$I$71,"c.Berdasarkan fungsi dan jabatan")=0,"",SUMIFS('LAMPIRAN IV DONE'!$F$62:$F$71,'LAMPIRAN IV DONE'!$I$62:$I$71,"c.Berdasarkan fungsi dan jabatan"))</f>
        <v/>
      </c>
      <c r="J157" s="21" t="str">
        <f t="shared" si="18"/>
        <v/>
      </c>
      <c r="K157" s="22"/>
      <c r="L157" s="22"/>
      <c r="M157" s="22"/>
    </row>
    <row r="158" spans="1:13" ht="19.5" customHeight="1" x14ac:dyDescent="0.2">
      <c r="A158" s="28"/>
      <c r="B158" s="323" t="s">
        <v>85</v>
      </c>
      <c r="C158" s="639" t="s">
        <v>202</v>
      </c>
      <c r="D158" s="615"/>
      <c r="E158" s="615"/>
      <c r="F158" s="615"/>
      <c r="G158" s="616"/>
      <c r="H158" s="44"/>
      <c r="I158" s="18"/>
      <c r="J158" s="21"/>
      <c r="K158" s="22"/>
      <c r="L158" s="22"/>
      <c r="M158" s="22"/>
    </row>
    <row r="159" spans="1:13" ht="36" customHeight="1" x14ac:dyDescent="0.2">
      <c r="A159" s="28"/>
      <c r="B159" s="357"/>
      <c r="C159" s="333"/>
      <c r="D159" s="642" t="s">
        <v>203</v>
      </c>
      <c r="E159" s="615"/>
      <c r="F159" s="615"/>
      <c r="G159" s="616"/>
      <c r="H159" s="44"/>
      <c r="I159" s="18" t="str">
        <f>IF('LAMPIRAN IV DONE'!G84=0,"",'LAMPIRAN IV DONE'!G84)</f>
        <v/>
      </c>
      <c r="J159" s="21" t="str">
        <f t="shared" ref="J159:J160" si="19">IF(I159=0,"",I159)</f>
        <v/>
      </c>
      <c r="K159" s="22"/>
      <c r="L159" s="22"/>
      <c r="M159" s="22"/>
    </row>
    <row r="160" spans="1:13" ht="24.75" customHeight="1" x14ac:dyDescent="0.2">
      <c r="A160" s="45"/>
      <c r="B160" s="632" t="s">
        <v>204</v>
      </c>
      <c r="C160" s="615"/>
      <c r="D160" s="615"/>
      <c r="E160" s="615"/>
      <c r="F160" s="615"/>
      <c r="G160" s="616"/>
      <c r="H160" s="44"/>
      <c r="I160" s="59">
        <f>SUM(I144:I159,I94:I138,I47:I88,I32:I41)</f>
        <v>681</v>
      </c>
      <c r="J160" s="49">
        <f t="shared" si="19"/>
        <v>681</v>
      </c>
      <c r="K160" s="22"/>
      <c r="L160" s="22"/>
      <c r="M160" s="22"/>
    </row>
    <row r="161" spans="1:26" ht="19.5" customHeight="1" x14ac:dyDescent="0.2">
      <c r="A161" s="361" t="s">
        <v>205</v>
      </c>
      <c r="B161" s="665" t="s">
        <v>206</v>
      </c>
      <c r="C161" s="615"/>
      <c r="D161" s="615"/>
      <c r="E161" s="615"/>
      <c r="F161" s="615"/>
      <c r="G161" s="616"/>
      <c r="H161" s="34"/>
      <c r="I161" s="18"/>
      <c r="J161" s="21"/>
      <c r="K161" s="22"/>
      <c r="L161" s="22"/>
      <c r="M161" s="22"/>
    </row>
    <row r="162" spans="1:26" ht="31.5" customHeight="1" x14ac:dyDescent="0.2">
      <c r="A162" s="28"/>
      <c r="B162" s="344" t="s">
        <v>56</v>
      </c>
      <c r="C162" s="643" t="s">
        <v>207</v>
      </c>
      <c r="D162" s="615"/>
      <c r="E162" s="615"/>
      <c r="F162" s="615"/>
      <c r="G162" s="616"/>
      <c r="H162" s="34"/>
      <c r="I162" s="18"/>
      <c r="J162" s="21"/>
      <c r="K162" s="22"/>
      <c r="L162" s="22"/>
      <c r="M162" s="22"/>
    </row>
    <row r="163" spans="1:26" ht="19.5" customHeight="1" x14ac:dyDescent="0.2">
      <c r="A163" s="28"/>
      <c r="B163" s="326"/>
      <c r="C163" s="17">
        <v>1</v>
      </c>
      <c r="D163" s="640" t="s">
        <v>208</v>
      </c>
      <c r="E163" s="615"/>
      <c r="F163" s="615"/>
      <c r="G163" s="616"/>
      <c r="H163" s="34"/>
      <c r="I163" s="18" t="str">
        <f>IF(SUMIFS('LAMPIRAN V DONE'!$F$26:$F$35,'LAMPIRAN V DONE'!$I$26:$I$35,"a.Sebagai Ketua/wakil ketua pertahun")=0,"",SUMIFS('LAMPIRAN V DONE'!$F$26:$F$35,'LAMPIRAN V DONE'!$I$26:$I$35,"a.Sebagai Ketua/wakil ketua pertahun"))</f>
        <v/>
      </c>
      <c r="J163" s="21" t="str">
        <f t="shared" ref="J163:J164" si="20">IF(I163=0,"",I163)</f>
        <v/>
      </c>
      <c r="K163" s="22"/>
      <c r="L163" s="22"/>
      <c r="M163" s="22"/>
    </row>
    <row r="164" spans="1:26" ht="19.5" customHeight="1" x14ac:dyDescent="0.2">
      <c r="A164" s="28"/>
      <c r="B164" s="357"/>
      <c r="C164" s="17">
        <v>2</v>
      </c>
      <c r="D164" s="639" t="s">
        <v>209</v>
      </c>
      <c r="E164" s="615"/>
      <c r="F164" s="615"/>
      <c r="G164" s="616"/>
      <c r="H164" s="34"/>
      <c r="I164" s="18">
        <f>IF(SUMIFS('LAMPIRAN V DONE'!$F$26:$F$35,'LAMPIRAN V DONE'!$I$26:$I$35,"b.Sebagai Anggota pertahun")=0,"",SUMIFS('LAMPIRAN V DONE'!$F$26:$F$35,'LAMPIRAN V DONE'!$I$26:$I$35,"b.Sebagai Anggota pertahun"))</f>
        <v>4</v>
      </c>
      <c r="J164" s="21">
        <f t="shared" si="20"/>
        <v>4</v>
      </c>
      <c r="K164" s="22"/>
      <c r="L164" s="22"/>
      <c r="M164" s="22"/>
    </row>
    <row r="165" spans="1:26" ht="21" customHeight="1" x14ac:dyDescent="0.2">
      <c r="A165" s="36"/>
      <c r="B165" s="323" t="s">
        <v>61</v>
      </c>
      <c r="C165" s="639" t="s">
        <v>210</v>
      </c>
      <c r="D165" s="615"/>
      <c r="E165" s="615"/>
      <c r="F165" s="615"/>
      <c r="G165" s="616"/>
      <c r="H165" s="34"/>
      <c r="I165" s="18"/>
      <c r="J165" s="21"/>
      <c r="K165" s="32"/>
      <c r="L165" s="32"/>
      <c r="M165" s="32"/>
      <c r="N165" s="15"/>
      <c r="O165" s="15"/>
      <c r="P165" s="15"/>
      <c r="Q165" s="15"/>
      <c r="R165" s="15"/>
      <c r="S165" s="15"/>
      <c r="T165" s="15"/>
      <c r="U165" s="15"/>
      <c r="V165" s="15"/>
      <c r="W165" s="15"/>
      <c r="X165" s="15"/>
      <c r="Y165" s="15"/>
      <c r="Z165" s="15"/>
    </row>
    <row r="166" spans="1:26" ht="19.5" customHeight="1" x14ac:dyDescent="0.2">
      <c r="A166" s="28"/>
      <c r="B166" s="326"/>
      <c r="C166" s="323">
        <v>1</v>
      </c>
      <c r="D166" s="639" t="s">
        <v>211</v>
      </c>
      <c r="E166" s="615"/>
      <c r="F166" s="615"/>
      <c r="G166" s="616"/>
      <c r="H166" s="34"/>
      <c r="I166" s="18"/>
      <c r="J166" s="21"/>
      <c r="K166" s="22"/>
      <c r="L166" s="22"/>
      <c r="M166" s="22"/>
    </row>
    <row r="167" spans="1:26" ht="19.5" customHeight="1" x14ac:dyDescent="0.2">
      <c r="A167" s="29"/>
      <c r="B167" s="326"/>
      <c r="C167" s="348"/>
      <c r="D167" s="18" t="s">
        <v>76</v>
      </c>
      <c r="E167" s="639" t="s">
        <v>212</v>
      </c>
      <c r="F167" s="615"/>
      <c r="G167" s="616"/>
      <c r="H167" s="30"/>
      <c r="I167" s="26" t="str">
        <f>IF(SUMIFS('LAMPIRAN V DONE'!$F$38:$F$47,'LAMPIRAN V DONE'!$I$38:$I$47,"a.1).Panitia pusat sebagai Ketua/Wakil ketua")=0,"",SUMIFS('LAMPIRAN V DONE'!$F$38:$F$47,'LAMPIRAN V DONE'!$I$38:$I$47,"a.1).Panitia pusat sebagai Ketua/Wakil ketua"))</f>
        <v/>
      </c>
      <c r="J167" s="21" t="str">
        <f t="shared" ref="J167:J168" si="21">IF(I167=0,"",I167)</f>
        <v/>
      </c>
      <c r="K167" s="31"/>
      <c r="L167" s="31"/>
      <c r="M167" s="31"/>
    </row>
    <row r="168" spans="1:26" ht="19.5" customHeight="1" x14ac:dyDescent="0.2">
      <c r="A168" s="29"/>
      <c r="B168" s="326"/>
      <c r="C168" s="357"/>
      <c r="D168" s="18" t="s">
        <v>78</v>
      </c>
      <c r="E168" s="640" t="s">
        <v>213</v>
      </c>
      <c r="F168" s="615"/>
      <c r="G168" s="616"/>
      <c r="H168" s="330"/>
      <c r="I168" s="26" t="str">
        <f>IF(SUMIFS('LAMPIRAN V DONE'!$F$38:$F$47,'LAMPIRAN V DONE'!$I$38:$I$47,"a.2).Panitia pusat sebagai Anggota")=0,"",SUMIFS('LAMPIRAN V DONE'!$F$38:$F$47,'LAMPIRAN V DONE'!$I$38:$I$47,"a.2).Panitia pusat sebagai Anggota"))</f>
        <v/>
      </c>
      <c r="J168" s="21" t="str">
        <f t="shared" si="21"/>
        <v/>
      </c>
      <c r="K168" s="32"/>
      <c r="L168" s="32"/>
      <c r="M168" s="32"/>
    </row>
    <row r="169" spans="1:26" ht="19.5" customHeight="1" x14ac:dyDescent="0.2">
      <c r="A169" s="29"/>
      <c r="B169" s="326"/>
      <c r="C169" s="323">
        <v>2</v>
      </c>
      <c r="D169" s="639" t="s">
        <v>214</v>
      </c>
      <c r="E169" s="615"/>
      <c r="F169" s="615"/>
      <c r="G169" s="616"/>
      <c r="H169" s="330"/>
      <c r="I169" s="17"/>
      <c r="J169" s="32"/>
      <c r="K169" s="32"/>
      <c r="L169" s="32"/>
      <c r="M169" s="32"/>
    </row>
    <row r="170" spans="1:26" ht="19.5" customHeight="1" x14ac:dyDescent="0.2">
      <c r="A170" s="29"/>
      <c r="B170" s="348"/>
      <c r="C170" s="326"/>
      <c r="D170" s="18" t="s">
        <v>76</v>
      </c>
      <c r="E170" s="639" t="s">
        <v>212</v>
      </c>
      <c r="F170" s="615"/>
      <c r="G170" s="616"/>
      <c r="H170" s="324"/>
      <c r="I170" s="26" t="str">
        <f>IF(SUMIFS('LAMPIRAN V DONE'!$F$38:$F$47,'LAMPIRAN V DONE'!$I$38:$I$47,"b.1).Panitia Daerah sebagai Ketua/Wakil Ketua")=0,"",SUMIFS('LAMPIRAN V DONE'!$F$38:$F$47,'LAMPIRAN V DONE'!$I$38:$I$47,"b.1).Panitia Daerah sebagai Ketua/Wakil Ketua"))</f>
        <v/>
      </c>
      <c r="J170" s="21" t="str">
        <f t="shared" ref="J170:J171" si="22">IF(I170=0,"",I170)</f>
        <v/>
      </c>
      <c r="K170" s="17"/>
      <c r="L170" s="17"/>
      <c r="M170" s="17"/>
    </row>
    <row r="171" spans="1:26" ht="19.5" customHeight="1" x14ac:dyDescent="0.2">
      <c r="A171" s="326"/>
      <c r="B171" s="347"/>
      <c r="C171" s="357"/>
      <c r="D171" s="18" t="s">
        <v>78</v>
      </c>
      <c r="E171" s="640" t="s">
        <v>213</v>
      </c>
      <c r="F171" s="615"/>
      <c r="G171" s="616"/>
      <c r="H171" s="324"/>
      <c r="I171" s="26" t="str">
        <f>IF(SUMIFS('LAMPIRAN V DONE'!$F$38:$F$47,'LAMPIRAN V DONE'!$I$38:$I$47,"b.2).Panitia Daerah sebagai Anggota")=0,"",SUMIFS('LAMPIRAN V DONE'!$F$38:$F$47,'LAMPIRAN V DONE'!$I$38:$I$47,"b.2).Panitia Daerah sebagai Anggota"))</f>
        <v/>
      </c>
      <c r="J171" s="21" t="str">
        <f t="shared" si="22"/>
        <v/>
      </c>
      <c r="K171" s="17"/>
      <c r="L171" s="17"/>
      <c r="M171" s="17"/>
      <c r="N171" s="15"/>
      <c r="O171" s="15"/>
      <c r="P171" s="15"/>
      <c r="Q171" s="15"/>
      <c r="R171" s="15"/>
      <c r="S171" s="15"/>
      <c r="T171" s="15"/>
      <c r="U171" s="15"/>
      <c r="V171" s="15"/>
      <c r="W171" s="15"/>
      <c r="X171" s="15"/>
      <c r="Y171" s="15"/>
      <c r="Z171" s="15"/>
    </row>
    <row r="172" spans="1:26" ht="19.5" customHeight="1" x14ac:dyDescent="0.2">
      <c r="A172" s="28"/>
      <c r="B172" s="349" t="s">
        <v>70</v>
      </c>
      <c r="C172" s="639" t="s">
        <v>215</v>
      </c>
      <c r="D172" s="615"/>
      <c r="E172" s="615"/>
      <c r="F172" s="615"/>
      <c r="G172" s="616"/>
      <c r="H172" s="34"/>
      <c r="I172" s="18"/>
      <c r="J172" s="21"/>
      <c r="K172" s="22"/>
      <c r="L172" s="22"/>
      <c r="M172" s="22"/>
    </row>
    <row r="173" spans="1:26" ht="19.5" customHeight="1" x14ac:dyDescent="0.2">
      <c r="A173" s="28"/>
      <c r="B173" s="348"/>
      <c r="C173" s="323">
        <v>1</v>
      </c>
      <c r="D173" s="639" t="s">
        <v>184</v>
      </c>
      <c r="E173" s="615"/>
      <c r="F173" s="615"/>
      <c r="G173" s="616"/>
      <c r="H173" s="34"/>
      <c r="I173" s="18"/>
      <c r="J173" s="21"/>
      <c r="K173" s="22"/>
      <c r="L173" s="22"/>
      <c r="M173" s="22"/>
    </row>
    <row r="174" spans="1:26" ht="19.5" customHeight="1" x14ac:dyDescent="0.2">
      <c r="A174" s="28"/>
      <c r="B174" s="348"/>
      <c r="C174" s="326"/>
      <c r="D174" s="18" t="s">
        <v>216</v>
      </c>
      <c r="E174" s="640" t="s">
        <v>217</v>
      </c>
      <c r="F174" s="615"/>
      <c r="G174" s="616"/>
      <c r="H174" s="34"/>
      <c r="I174" s="18" t="str">
        <f>IF(SUMIFS('LAMPIRAN V DONE'!$F$50:$F$59,'LAMPIRAN V DONE'!$I$50:$I$59,"1) TINGKAT INTERNASIONAL Sebagai PENGURUS")=0,"",SUMIFS('LAMPIRAN V DONE'!$F$50:$F$59,'LAMPIRAN V DONE'!$I$50:$I$59,"1) TINGKAT INTERNASIONAL Sebagai PENGURUS"))</f>
        <v/>
      </c>
      <c r="J174" s="21" t="str">
        <f t="shared" ref="J174:J176" si="23">IF(I174=0,"",I174)</f>
        <v/>
      </c>
      <c r="K174" s="22"/>
      <c r="L174" s="22"/>
      <c r="M174" s="22"/>
    </row>
    <row r="175" spans="1:26" ht="19.5" customHeight="1" x14ac:dyDescent="0.2">
      <c r="A175" s="28"/>
      <c r="B175" s="348"/>
      <c r="C175" s="326"/>
      <c r="D175" s="18" t="s">
        <v>150</v>
      </c>
      <c r="E175" s="640" t="s">
        <v>218</v>
      </c>
      <c r="F175" s="615"/>
      <c r="G175" s="616"/>
      <c r="H175" s="34"/>
      <c r="I175" s="18" t="str">
        <f>IF(SUMIFS('LAMPIRAN V DONE'!$F$50:$F$59,'LAMPIRAN V DONE'!$I$50:$I$59,"2) TINGKAT INTERNASIONAL Sebagai ANGGOTA ATAS PERMINTAAN")=0,"",SUMIFS('LAMPIRAN V DONE'!$F$50:$F$59,'LAMPIRAN V DONE'!$I$50:$I$59,"2) TINGKAT INTERNASIONAL Sebagai ANGGOTA ATAS PERMINTAAN"))</f>
        <v/>
      </c>
      <c r="J175" s="21" t="str">
        <f t="shared" si="23"/>
        <v/>
      </c>
      <c r="K175" s="22"/>
      <c r="L175" s="22"/>
      <c r="M175" s="22"/>
    </row>
    <row r="176" spans="1:26" ht="19.5" customHeight="1" x14ac:dyDescent="0.2">
      <c r="A176" s="28"/>
      <c r="B176" s="348"/>
      <c r="C176" s="357"/>
      <c r="D176" s="18" t="s">
        <v>219</v>
      </c>
      <c r="E176" s="640" t="s">
        <v>213</v>
      </c>
      <c r="F176" s="615"/>
      <c r="G176" s="616"/>
      <c r="H176" s="34"/>
      <c r="I176" s="18">
        <f>IF(SUMIFS('LAMPIRAN V DONE'!$F$50:$F$59,'LAMPIRAN V DONE'!$I$50:$I$59,"3) TINGKAT INTERNASIONAL Sebagai ANGGOTA")=0,"",SUMIFS('LAMPIRAN V DONE'!$F$50:$F$59,'LAMPIRAN V DONE'!$I$50:$I$59,"3) TINGKAT INTERNASIONAL Sebagai ANGGOTA"))</f>
        <v>1</v>
      </c>
      <c r="J176" s="21">
        <f t="shared" si="23"/>
        <v>1</v>
      </c>
      <c r="K176" s="22"/>
      <c r="L176" s="22"/>
      <c r="M176" s="22"/>
    </row>
    <row r="177" spans="1:26" ht="19.5" customHeight="1" x14ac:dyDescent="0.2">
      <c r="A177" s="28"/>
      <c r="B177" s="348"/>
      <c r="C177" s="323">
        <v>2</v>
      </c>
      <c r="D177" s="639" t="s">
        <v>185</v>
      </c>
      <c r="E177" s="615"/>
      <c r="F177" s="615"/>
      <c r="G177" s="616"/>
      <c r="H177" s="34"/>
      <c r="I177" s="18"/>
      <c r="J177" s="21"/>
      <c r="K177" s="22"/>
      <c r="L177" s="22"/>
      <c r="M177" s="22"/>
    </row>
    <row r="178" spans="1:26" ht="19.5" customHeight="1" x14ac:dyDescent="0.2">
      <c r="A178" s="28"/>
      <c r="B178" s="348"/>
      <c r="C178" s="326"/>
      <c r="D178" s="18" t="s">
        <v>216</v>
      </c>
      <c r="E178" s="640" t="s">
        <v>217</v>
      </c>
      <c r="F178" s="615"/>
      <c r="G178" s="616"/>
      <c r="H178" s="34"/>
      <c r="I178" s="18" t="str">
        <f>IF(SUMIFS('LAMPIRAN V DONE'!$F$50:$F$59,'LAMPIRAN V DONE'!$I$50:$I$59,"4) TINGKAT NASIONAL Sebagai PENGURUS")=0,"",SUMIFS('LAMPIRAN V DONE'!$F$50:$F$59,'LAMPIRAN V DONE'!$I$50:$I$59,"4) TINGKAT NASIONAL Sebagai PENGURUS"))</f>
        <v/>
      </c>
      <c r="J178" s="21" t="str">
        <f t="shared" ref="J178:J180" si="24">IF(I178=0,"",I178)</f>
        <v/>
      </c>
      <c r="K178" s="22"/>
      <c r="L178" s="22"/>
      <c r="M178" s="22"/>
    </row>
    <row r="179" spans="1:26" ht="19.5" customHeight="1" x14ac:dyDescent="0.2">
      <c r="A179" s="28"/>
      <c r="B179" s="348"/>
      <c r="C179" s="326"/>
      <c r="D179" s="18" t="s">
        <v>150</v>
      </c>
      <c r="E179" s="640" t="s">
        <v>218</v>
      </c>
      <c r="F179" s="615"/>
      <c r="G179" s="616"/>
      <c r="H179" s="34"/>
      <c r="I179" s="18" t="str">
        <f>IF(SUMIFS('LAMPIRAN V DONE'!$F$50:$F$59,'LAMPIRAN V DONE'!$I$50:$I$59,"5) TINGKAT NASIONAL Sebagai ANGGOTA ATAS PERMINTAAN")=0,"",SUMIFS('LAMPIRAN V DONE'!$F$50:$F$59,'LAMPIRAN V DONE'!$I$50:$I$59,"5) TINGKAT NASIONAL Sebagai ANGGOTA ATAS PERMINTAAN"))</f>
        <v/>
      </c>
      <c r="J179" s="21" t="str">
        <f t="shared" si="24"/>
        <v/>
      </c>
      <c r="K179" s="22"/>
      <c r="L179" s="22"/>
      <c r="M179" s="22"/>
    </row>
    <row r="180" spans="1:26" ht="19.5" customHeight="1" x14ac:dyDescent="0.2">
      <c r="A180" s="28"/>
      <c r="B180" s="347"/>
      <c r="C180" s="357"/>
      <c r="D180" s="18" t="s">
        <v>219</v>
      </c>
      <c r="E180" s="640" t="s">
        <v>213</v>
      </c>
      <c r="F180" s="615"/>
      <c r="G180" s="616"/>
      <c r="H180" s="34"/>
      <c r="I180" s="18" t="str">
        <f>IF(SUMIFS('LAMPIRAN V DONE'!$F$50:$F$59,'LAMPIRAN V DONE'!$I$50:$I$59,"6) TINGKAT NASIONAL Sebagai ANGGOTA")=0,"",SUMIFS('LAMPIRAN V DONE'!$F$50:$F$59,'LAMPIRAN V DONE'!$I$50:$I$59,"6) TINGKAT NASIONAL Sebagai ANGGOTA"))</f>
        <v/>
      </c>
      <c r="J180" s="21" t="str">
        <f t="shared" si="24"/>
        <v/>
      </c>
      <c r="K180" s="22"/>
      <c r="L180" s="22"/>
      <c r="M180" s="22"/>
    </row>
    <row r="181" spans="1:26" ht="19.5" customHeight="1" x14ac:dyDescent="0.2">
      <c r="A181" s="28"/>
      <c r="B181" s="349" t="s">
        <v>73</v>
      </c>
      <c r="C181" s="639" t="s">
        <v>220</v>
      </c>
      <c r="D181" s="615"/>
      <c r="E181" s="615"/>
      <c r="F181" s="615"/>
      <c r="G181" s="616"/>
      <c r="H181" s="34"/>
      <c r="I181" s="60"/>
      <c r="J181" s="21"/>
      <c r="K181" s="22"/>
      <c r="L181" s="22"/>
      <c r="M181" s="22"/>
    </row>
    <row r="182" spans="1:26" ht="33.75" customHeight="1" x14ac:dyDescent="0.2">
      <c r="A182" s="28"/>
      <c r="B182" s="347"/>
      <c r="C182" s="328"/>
      <c r="D182" s="642" t="s">
        <v>221</v>
      </c>
      <c r="E182" s="615"/>
      <c r="F182" s="615"/>
      <c r="G182" s="616"/>
      <c r="H182" s="34"/>
      <c r="I182" s="21" t="str">
        <f>IF('LAMPIRAN V DONE'!G72=0,"",'LAMPIRAN V DONE'!G72)</f>
        <v/>
      </c>
      <c r="J182" s="21" t="str">
        <f>IF(I182=0,"",I182)</f>
        <v/>
      </c>
      <c r="K182" s="22"/>
      <c r="L182" s="22"/>
      <c r="M182" s="22"/>
    </row>
    <row r="183" spans="1:26" ht="18.75" customHeight="1" x14ac:dyDescent="0.2">
      <c r="A183" s="28"/>
      <c r="B183" s="339" t="s">
        <v>85</v>
      </c>
      <c r="C183" s="643" t="s">
        <v>222</v>
      </c>
      <c r="D183" s="615"/>
      <c r="E183" s="615"/>
      <c r="F183" s="615"/>
      <c r="G183" s="616"/>
      <c r="H183" s="34"/>
      <c r="I183" s="60"/>
      <c r="J183" s="21"/>
      <c r="K183" s="22"/>
      <c r="L183" s="22"/>
      <c r="M183" s="22"/>
    </row>
    <row r="184" spans="1:26" ht="19.5" customHeight="1" x14ac:dyDescent="0.2">
      <c r="A184" s="28"/>
      <c r="B184" s="348"/>
      <c r="C184" s="323">
        <v>1</v>
      </c>
      <c r="D184" s="644" t="s">
        <v>223</v>
      </c>
      <c r="E184" s="645"/>
      <c r="F184" s="645"/>
      <c r="G184" s="646"/>
      <c r="H184" s="57"/>
      <c r="I184" s="21" t="str">
        <f>IF(SUMIFS('LAMPIRAN V DONE'!$F$74:$F$83,'LAMPIRAN V DONE'!$I$74:$I$83,"a. Sebagai ketua delegasi")=0,"",SUMIFS('LAMPIRAN V DONE'!$F$74:$F$83,'LAMPIRAN V DONE'!$I$74:$I$83,"a. Sebagai ketua delegasi"))</f>
        <v/>
      </c>
      <c r="J184" s="21" t="str">
        <f t="shared" ref="J184:J185" si="25">IF(I184=0,"",I184)</f>
        <v/>
      </c>
      <c r="K184" s="352"/>
      <c r="L184" s="352"/>
      <c r="M184" s="352"/>
    </row>
    <row r="185" spans="1:26" ht="19.5" customHeight="1" x14ac:dyDescent="0.2">
      <c r="A185" s="28"/>
      <c r="B185" s="347"/>
      <c r="C185" s="17">
        <v>2</v>
      </c>
      <c r="D185" s="639" t="s">
        <v>224</v>
      </c>
      <c r="E185" s="615"/>
      <c r="F185" s="615"/>
      <c r="G185" s="616"/>
      <c r="H185" s="34"/>
      <c r="I185" s="21" t="str">
        <f>IF(SUMIFS('LAMPIRAN V DONE'!$F$74:$F$83,'LAMPIRAN V DONE'!$I$74:$I$83,"b. Sebagai anggota")=0,"",SUMIFS('LAMPIRAN V DONE'!$F$74:$F$83,'LAMPIRAN V DONE'!$I$74:$I$83,"b. Sebagai anggota"))</f>
        <v/>
      </c>
      <c r="J185" s="21" t="str">
        <f t="shared" si="25"/>
        <v/>
      </c>
      <c r="K185" s="22"/>
      <c r="L185" s="22"/>
      <c r="M185" s="22"/>
    </row>
    <row r="186" spans="1:26" ht="19.5" customHeight="1" x14ac:dyDescent="0.2">
      <c r="A186" s="36"/>
      <c r="B186" s="349" t="s">
        <v>89</v>
      </c>
      <c r="C186" s="639" t="s">
        <v>225</v>
      </c>
      <c r="D186" s="615"/>
      <c r="E186" s="615"/>
      <c r="F186" s="615"/>
      <c r="G186" s="616"/>
      <c r="H186" s="34"/>
      <c r="I186" s="21"/>
      <c r="J186" s="21"/>
      <c r="K186" s="32"/>
      <c r="L186" s="32"/>
      <c r="M186" s="32"/>
      <c r="N186" s="15"/>
      <c r="O186" s="15"/>
      <c r="P186" s="15"/>
      <c r="Q186" s="15"/>
      <c r="R186" s="15"/>
      <c r="S186" s="15"/>
      <c r="T186" s="15"/>
      <c r="U186" s="15"/>
      <c r="V186" s="15"/>
      <c r="W186" s="15"/>
      <c r="X186" s="15"/>
      <c r="Y186" s="15"/>
      <c r="Z186" s="15"/>
    </row>
    <row r="187" spans="1:26" ht="19.5" customHeight="1" x14ac:dyDescent="0.2">
      <c r="A187" s="28"/>
      <c r="B187" s="348"/>
      <c r="C187" s="323">
        <v>1</v>
      </c>
      <c r="D187" s="644" t="s">
        <v>226</v>
      </c>
      <c r="E187" s="645"/>
      <c r="F187" s="645"/>
      <c r="G187" s="646"/>
      <c r="H187" s="57"/>
      <c r="I187" s="21" t="str">
        <f>IF(SUMIFS('LAMPIRAN V DONE'!$F$86:$F$95,'LAMPIRAN V DONE'!$I$86:$I$95,"Editor/dewan penyunting/dewan redaksi jurnal ilmiah internasional")=0,"",SUMIFS('LAMPIRAN V DONE'!$F$86:$F$95,'LAMPIRAN V DONE'!$I$86:$I$95,"Editor/dewan penyunting/dewan redaksi jurnal ilmiah internasional"))</f>
        <v/>
      </c>
      <c r="J187" s="21" t="str">
        <f t="shared" ref="J187:J188" si="26">IF(I187=0,"",I187)</f>
        <v/>
      </c>
      <c r="K187" s="352"/>
      <c r="L187" s="352"/>
      <c r="M187" s="352"/>
    </row>
    <row r="188" spans="1:26" ht="19.5" customHeight="1" x14ac:dyDescent="0.2">
      <c r="A188" s="28"/>
      <c r="B188" s="347"/>
      <c r="C188" s="17">
        <v>2</v>
      </c>
      <c r="D188" s="639" t="s">
        <v>227</v>
      </c>
      <c r="E188" s="615"/>
      <c r="F188" s="615"/>
      <c r="G188" s="616"/>
      <c r="H188" s="34"/>
      <c r="I188" s="21" t="str">
        <f>IF(SUMIFS('LAMPIRAN V DONE'!$F$86:$F$95,'LAMPIRAN V DONE'!$I$86:$I$95,"Editor/dewan penyunting/dewan redaksi jurnal ilmiah nasional")=0,"",SUMIFS('LAMPIRAN V DONE'!$F$86:$F$95,'LAMPIRAN V DONE'!$I$86:$I$95,"Editor/dewan penyunting/dewan redaksi jurnal ilmiah nasional"))</f>
        <v/>
      </c>
      <c r="J188" s="21" t="str">
        <f t="shared" si="26"/>
        <v/>
      </c>
      <c r="K188" s="22"/>
      <c r="L188" s="22"/>
      <c r="M188" s="22"/>
    </row>
    <row r="189" spans="1:26" ht="19.5" customHeight="1" x14ac:dyDescent="0.2">
      <c r="A189" s="28"/>
      <c r="B189" s="349" t="s">
        <v>92</v>
      </c>
      <c r="C189" s="639" t="s">
        <v>228</v>
      </c>
      <c r="D189" s="615"/>
      <c r="E189" s="615"/>
      <c r="F189" s="615"/>
      <c r="G189" s="616"/>
      <c r="H189" s="34"/>
      <c r="I189" s="60"/>
      <c r="J189" s="21"/>
      <c r="K189" s="22"/>
      <c r="L189" s="22"/>
      <c r="M189" s="22"/>
    </row>
    <row r="190" spans="1:26" ht="19.5" customHeight="1" x14ac:dyDescent="0.2">
      <c r="A190" s="28"/>
      <c r="B190" s="348"/>
      <c r="C190" s="323">
        <v>1</v>
      </c>
      <c r="D190" s="639" t="s">
        <v>229</v>
      </c>
      <c r="E190" s="615"/>
      <c r="F190" s="615"/>
      <c r="G190" s="616"/>
      <c r="H190" s="34"/>
      <c r="I190" s="60"/>
      <c r="J190" s="21"/>
      <c r="K190" s="22"/>
      <c r="L190" s="22"/>
      <c r="M190" s="22"/>
    </row>
    <row r="191" spans="1:26" ht="19.5" customHeight="1" x14ac:dyDescent="0.2">
      <c r="A191" s="28"/>
      <c r="B191" s="348"/>
      <c r="C191" s="326"/>
      <c r="D191" s="18" t="s">
        <v>76</v>
      </c>
      <c r="E191" s="640" t="s">
        <v>230</v>
      </c>
      <c r="F191" s="615"/>
      <c r="G191" s="616"/>
      <c r="H191" s="34"/>
      <c r="I191" s="21" t="str">
        <f>IF(SUMIFS('LAMPIRAN V DONE'!$F$98:$F$107,'LAMPIRAN V DONE'!$I$98:$I$107,"a.1). Tingkat Internasional/Nasional/Regional sebagai Ketua, tiap kegiatan")=0,"",SUMIFS('LAMPIRAN V DONE'!$F$98:$F$107,'LAMPIRAN V DONE'!$I$98:$I$107,"a.1). Tingkat Internasional/Nasional/Regional sebagai Ketua, tiap kegiatan"))</f>
        <v/>
      </c>
      <c r="J191" s="21" t="str">
        <f t="shared" ref="J191:J192" si="27">IF(I191=0,"",I191)</f>
        <v/>
      </c>
      <c r="K191" s="22"/>
      <c r="L191" s="22"/>
      <c r="M191" s="22"/>
    </row>
    <row r="192" spans="1:26" ht="19.5" customHeight="1" x14ac:dyDescent="0.2">
      <c r="A192" s="28"/>
      <c r="B192" s="348"/>
      <c r="C192" s="357"/>
      <c r="D192" s="18" t="s">
        <v>78</v>
      </c>
      <c r="E192" s="640" t="s">
        <v>213</v>
      </c>
      <c r="F192" s="615"/>
      <c r="G192" s="616"/>
      <c r="H192" s="34"/>
      <c r="I192" s="21" t="str">
        <f>IF(SUMIFS('LAMPIRAN V DONE'!$F$98:$F$107,'LAMPIRAN V DONE'!$I$98:$I$107,"a.2). Tingkat Internasional/Nasional/Regional sebagai Anggota/peserta, tiap kegiatan")=0,"",SUMIFS('LAMPIRAN V DONE'!$F$98:$F$107,'LAMPIRAN V DONE'!$I$98:$I$107,"a.2). Tingkat Internasional/Nasional/Regional sebagai Anggota/peserta, tiap kegiatan"))</f>
        <v/>
      </c>
      <c r="J192" s="21" t="str">
        <f t="shared" si="27"/>
        <v/>
      </c>
      <c r="K192" s="22"/>
      <c r="L192" s="22"/>
      <c r="M192" s="22"/>
    </row>
    <row r="193" spans="1:13" ht="19.5" customHeight="1" x14ac:dyDescent="0.2">
      <c r="A193" s="33"/>
      <c r="B193" s="348"/>
      <c r="C193" s="323">
        <v>2</v>
      </c>
      <c r="D193" s="639" t="s">
        <v>231</v>
      </c>
      <c r="E193" s="615"/>
      <c r="F193" s="615"/>
      <c r="G193" s="616"/>
      <c r="H193" s="34"/>
      <c r="I193" s="18"/>
      <c r="J193" s="21"/>
      <c r="K193" s="22"/>
      <c r="L193" s="22"/>
      <c r="M193" s="22"/>
    </row>
    <row r="194" spans="1:13" ht="19.5" customHeight="1" x14ac:dyDescent="0.2">
      <c r="A194" s="33"/>
      <c r="B194" s="348"/>
      <c r="C194" s="326"/>
      <c r="D194" s="18" t="s">
        <v>76</v>
      </c>
      <c r="E194" s="640" t="s">
        <v>230</v>
      </c>
      <c r="F194" s="615"/>
      <c r="G194" s="616"/>
      <c r="H194" s="34"/>
      <c r="I194" s="21" t="str">
        <f>IF(SUMIFS('LAMPIRAN V DONE'!$F$98:$F$107,'LAMPIRAN V DONE'!$I$98:$I$107,"b.1). Di Lingkungan Perguruan Tinggi sebagai Ketua, tiap kegiatan")=0,"",SUMIFS('LAMPIRAN V DONE'!$F$98:$F$107,'LAMPIRAN V DONE'!$I$98:$I$107,"b.1). Di Lingkungan Perguruan Tinggi sebagai Ketua, tiap kegiatan"))</f>
        <v/>
      </c>
      <c r="J194" s="21" t="str">
        <f t="shared" ref="J194:J195" si="28">IF(I194=0,"",I194)</f>
        <v/>
      </c>
      <c r="K194" s="22"/>
      <c r="L194" s="22"/>
      <c r="M194" s="22"/>
    </row>
    <row r="195" spans="1:13" ht="19.5" customHeight="1" x14ac:dyDescent="0.2">
      <c r="A195" s="61"/>
      <c r="B195" s="347"/>
      <c r="C195" s="357"/>
      <c r="D195" s="18" t="s">
        <v>78</v>
      </c>
      <c r="E195" s="640" t="s">
        <v>213</v>
      </c>
      <c r="F195" s="615"/>
      <c r="G195" s="616"/>
      <c r="H195" s="34"/>
      <c r="I195" s="21" t="str">
        <f>IF(SUMIFS('LAMPIRAN V DONE'!$F$98:$F$107,'LAMPIRAN V DONE'!$I$98:$I$107,"b.2). Di Lingkungan Perguruan Tinggi sebagai Anggota/peserta, tiap kegiatan")=0,"",SUMIFS('LAMPIRAN V DONE'!$F$98:$F$107,'LAMPIRAN V DONE'!$I$98:$I$107,"b.2). Di Lingkungan Perguruan Tinggi sebagai Anggota/peserta, tiap kegiatan"))</f>
        <v/>
      </c>
      <c r="J195" s="21" t="str">
        <f t="shared" si="28"/>
        <v/>
      </c>
      <c r="K195" s="22"/>
      <c r="L195" s="22"/>
      <c r="M195" s="22"/>
    </row>
    <row r="196" spans="1:13" ht="19.5" customHeight="1" x14ac:dyDescent="0.2">
      <c r="A196" s="629" t="s">
        <v>45</v>
      </c>
      <c r="B196" s="632" t="s">
        <v>46</v>
      </c>
      <c r="C196" s="615"/>
      <c r="D196" s="615"/>
      <c r="E196" s="615"/>
      <c r="F196" s="615"/>
      <c r="G196" s="615"/>
      <c r="H196" s="615"/>
      <c r="I196" s="615"/>
      <c r="J196" s="615"/>
      <c r="K196" s="615"/>
      <c r="L196" s="615"/>
      <c r="M196" s="616"/>
    </row>
    <row r="197" spans="1:13" ht="19.5" customHeight="1" x14ac:dyDescent="0.2">
      <c r="A197" s="630"/>
      <c r="B197" s="633" t="s">
        <v>67</v>
      </c>
      <c r="C197" s="613"/>
      <c r="D197" s="613"/>
      <c r="E197" s="613"/>
      <c r="F197" s="613"/>
      <c r="G197" s="634"/>
      <c r="H197" s="641" t="s">
        <v>48</v>
      </c>
      <c r="I197" s="637"/>
      <c r="J197" s="637"/>
      <c r="K197" s="637"/>
      <c r="L197" s="637"/>
      <c r="M197" s="638"/>
    </row>
    <row r="198" spans="1:13" ht="19.5" customHeight="1" x14ac:dyDescent="0.2">
      <c r="A198" s="630"/>
      <c r="B198" s="635"/>
      <c r="C198" s="613"/>
      <c r="D198" s="613"/>
      <c r="E198" s="613"/>
      <c r="F198" s="613"/>
      <c r="G198" s="634"/>
      <c r="H198" s="641" t="s">
        <v>49</v>
      </c>
      <c r="I198" s="637"/>
      <c r="J198" s="638"/>
      <c r="K198" s="641" t="s">
        <v>50</v>
      </c>
      <c r="L198" s="637"/>
      <c r="M198" s="638"/>
    </row>
    <row r="199" spans="1:13" ht="19.5" customHeight="1" x14ac:dyDescent="0.2">
      <c r="A199" s="631"/>
      <c r="B199" s="636"/>
      <c r="C199" s="637"/>
      <c r="D199" s="637"/>
      <c r="E199" s="637"/>
      <c r="F199" s="637"/>
      <c r="G199" s="638"/>
      <c r="H199" s="16" t="s">
        <v>51</v>
      </c>
      <c r="I199" s="16" t="s">
        <v>52</v>
      </c>
      <c r="J199" s="16" t="s">
        <v>53</v>
      </c>
      <c r="K199" s="16" t="s">
        <v>51</v>
      </c>
      <c r="L199" s="16" t="s">
        <v>52</v>
      </c>
      <c r="M199" s="16" t="s">
        <v>53</v>
      </c>
    </row>
    <row r="200" spans="1:13" ht="19.5" customHeight="1" x14ac:dyDescent="0.2">
      <c r="A200" s="17">
        <v>1</v>
      </c>
      <c r="B200" s="663">
        <v>2</v>
      </c>
      <c r="C200" s="615"/>
      <c r="D200" s="615"/>
      <c r="E200" s="615"/>
      <c r="F200" s="615"/>
      <c r="G200" s="616"/>
      <c r="H200" s="17">
        <v>3</v>
      </c>
      <c r="I200" s="17">
        <v>4</v>
      </c>
      <c r="J200" s="17">
        <v>5</v>
      </c>
      <c r="K200" s="17">
        <v>6</v>
      </c>
      <c r="L200" s="17">
        <v>7</v>
      </c>
      <c r="M200" s="17">
        <v>8</v>
      </c>
    </row>
    <row r="201" spans="1:13" ht="19.5" customHeight="1" x14ac:dyDescent="0.2">
      <c r="A201" s="28"/>
      <c r="B201" s="326" t="s">
        <v>95</v>
      </c>
      <c r="C201" s="639" t="s">
        <v>232</v>
      </c>
      <c r="D201" s="615"/>
      <c r="E201" s="615"/>
      <c r="F201" s="615"/>
      <c r="G201" s="616"/>
      <c r="H201" s="34"/>
      <c r="I201" s="18"/>
      <c r="J201" s="21"/>
      <c r="K201" s="22"/>
      <c r="L201" s="22"/>
      <c r="M201" s="22"/>
    </row>
    <row r="202" spans="1:13" ht="19.5" customHeight="1" x14ac:dyDescent="0.2">
      <c r="A202" s="28"/>
      <c r="B202" s="326"/>
      <c r="C202" s="344">
        <v>1</v>
      </c>
      <c r="D202" s="643" t="s">
        <v>233</v>
      </c>
      <c r="E202" s="615"/>
      <c r="F202" s="615"/>
      <c r="G202" s="616"/>
      <c r="H202" s="34"/>
      <c r="I202" s="18"/>
      <c r="J202" s="21"/>
      <c r="K202" s="22"/>
      <c r="L202" s="22"/>
      <c r="M202" s="22"/>
    </row>
    <row r="203" spans="1:13" ht="19.5" customHeight="1" x14ac:dyDescent="0.2">
      <c r="A203" s="28"/>
      <c r="B203" s="348"/>
      <c r="C203" s="326"/>
      <c r="D203" s="18" t="s">
        <v>216</v>
      </c>
      <c r="E203" s="639" t="s">
        <v>234</v>
      </c>
      <c r="F203" s="615"/>
      <c r="G203" s="616"/>
      <c r="H203" s="34"/>
      <c r="I203" s="21" t="str">
        <f>IF(SUMIFS('LAMPIRAN V DONE'!$F$110:$F$119,'LAMPIRAN V DONE'!$I$110:$I$119,"a.Satya Lancana Karya Satya 30 thn")=0,"",SUMIFS('LAMPIRAN V DONE'!$F$110:$F$119,'LAMPIRAN V DONE'!$I$110:$I$119,"a.Satya Lancana Karya Satya 30 thn"))</f>
        <v/>
      </c>
      <c r="J203" s="21" t="str">
        <f t="shared" ref="J203:J205" si="29">IF(I203=0,"",I203)</f>
        <v/>
      </c>
      <c r="K203" s="22"/>
      <c r="L203" s="22"/>
      <c r="M203" s="22"/>
    </row>
    <row r="204" spans="1:13" ht="19.5" customHeight="1" x14ac:dyDescent="0.2">
      <c r="A204" s="28"/>
      <c r="B204" s="326"/>
      <c r="C204" s="326"/>
      <c r="D204" s="18" t="s">
        <v>150</v>
      </c>
      <c r="E204" s="639" t="s">
        <v>235</v>
      </c>
      <c r="F204" s="615"/>
      <c r="G204" s="616"/>
      <c r="H204" s="34"/>
      <c r="I204" s="21" t="str">
        <f>IF(SUMIFS('LAMPIRAN V DONE'!$F$110:$F$119,'LAMPIRAN V DONE'!$I$110:$I$119,"b.Satya Lancana Karya Satya 20 thn")=0,"",SUMIFS('LAMPIRAN V DONE'!$F$110:$F$119,'LAMPIRAN V DONE'!$I$110:$I$119,"b.Satya Lancana Karya Satya 20 thn"))</f>
        <v/>
      </c>
      <c r="J204" s="21" t="str">
        <f t="shared" si="29"/>
        <v/>
      </c>
      <c r="K204" s="22"/>
      <c r="L204" s="22"/>
      <c r="M204" s="22"/>
    </row>
    <row r="205" spans="1:13" ht="19.5" customHeight="1" x14ac:dyDescent="0.2">
      <c r="A205" s="28"/>
      <c r="B205" s="326"/>
      <c r="C205" s="357"/>
      <c r="D205" s="18" t="s">
        <v>219</v>
      </c>
      <c r="E205" s="639" t="s">
        <v>236</v>
      </c>
      <c r="F205" s="615"/>
      <c r="G205" s="616"/>
      <c r="H205" s="34"/>
      <c r="I205" s="21" t="str">
        <f>IF(SUMIFS('LAMPIRAN V DONE'!$F$110:$F$119,'LAMPIRAN V DONE'!$I$110:$I$119,"c.Satya Lancana Karya Satya 10 thn")=0,"",SUMIFS('LAMPIRAN V DONE'!$F$110:$F$119,'LAMPIRAN V DONE'!$I$110:$I$119,"c.Satya Lancana Karya Satya 10 thn"))</f>
        <v/>
      </c>
      <c r="J205" s="21" t="str">
        <f t="shared" si="29"/>
        <v/>
      </c>
      <c r="K205" s="22"/>
      <c r="L205" s="22"/>
      <c r="M205" s="22"/>
    </row>
    <row r="206" spans="1:13" ht="19.5" customHeight="1" x14ac:dyDescent="0.2">
      <c r="A206" s="28"/>
      <c r="B206" s="326"/>
      <c r="C206" s="323">
        <v>2</v>
      </c>
      <c r="D206" s="639" t="s">
        <v>237</v>
      </c>
      <c r="E206" s="615"/>
      <c r="F206" s="615"/>
      <c r="G206" s="616"/>
      <c r="H206" s="34"/>
      <c r="I206" s="62"/>
      <c r="J206" s="21"/>
      <c r="K206" s="22"/>
      <c r="L206" s="22"/>
      <c r="M206" s="22"/>
    </row>
    <row r="207" spans="1:13" ht="19.5" customHeight="1" x14ac:dyDescent="0.2">
      <c r="A207" s="28"/>
      <c r="B207" s="326"/>
      <c r="C207" s="326"/>
      <c r="D207" s="17" t="s">
        <v>76</v>
      </c>
      <c r="E207" s="640" t="s">
        <v>184</v>
      </c>
      <c r="F207" s="615"/>
      <c r="G207" s="616"/>
      <c r="H207" s="34"/>
      <c r="I207" s="21" t="str">
        <f>IF(SUMIFS('LAMPIRAN V DONE'!$F$110:$F$119,'LAMPIRAN V DONE'!$I$110:$I$119,"d.Penghargaan lainnya Tingkat Internasional")=0,"",SUMIFS('LAMPIRAN V DONE'!$F$110:$F$119,'LAMPIRAN V DONE'!$I$110:$I$119,"d.Penghargaan lainnya Tingkat Internasional"))</f>
        <v/>
      </c>
      <c r="J207" s="21" t="str">
        <f t="shared" ref="J207:J209" si="30">IF(I207=0,"",I207)</f>
        <v/>
      </c>
      <c r="K207" s="22"/>
      <c r="L207" s="22"/>
      <c r="M207" s="22"/>
    </row>
    <row r="208" spans="1:13" ht="19.5" customHeight="1" x14ac:dyDescent="0.2">
      <c r="A208" s="28"/>
      <c r="B208" s="326"/>
      <c r="C208" s="326"/>
      <c r="D208" s="17" t="s">
        <v>150</v>
      </c>
      <c r="E208" s="640" t="s">
        <v>185</v>
      </c>
      <c r="F208" s="615"/>
      <c r="G208" s="616"/>
      <c r="H208" s="34"/>
      <c r="I208" s="21" t="str">
        <f>IF(SUMIFS('LAMPIRAN V DONE'!$F$110:$F$119,'LAMPIRAN V DONE'!$I$110:$I$119,"e.Penghargaan lainnya Tingkat Nasional")=0,"",SUMIFS('LAMPIRAN V DONE'!$F$110:$F$119,'LAMPIRAN V DONE'!$I$110:$I$119,"e.Penghargaan lainnya Tingkat Nasional"))</f>
        <v/>
      </c>
      <c r="J208" s="21" t="str">
        <f t="shared" si="30"/>
        <v/>
      </c>
      <c r="K208" s="22"/>
      <c r="L208" s="22"/>
      <c r="M208" s="22"/>
    </row>
    <row r="209" spans="1:26" ht="19.5" customHeight="1" x14ac:dyDescent="0.2">
      <c r="A209" s="28"/>
      <c r="B209" s="357"/>
      <c r="C209" s="357"/>
      <c r="D209" s="17" t="s">
        <v>219</v>
      </c>
      <c r="E209" s="640" t="s">
        <v>238</v>
      </c>
      <c r="F209" s="615"/>
      <c r="G209" s="616"/>
      <c r="H209" s="34"/>
      <c r="I209" s="21" t="str">
        <f>IF(SUMIFS('LAMPIRAN V DONE'!$F$110:$F$119,'LAMPIRAN V DONE'!$I$110:$I$119,"f.Penghargaan lainnyaTingkat Daerah/Lokal")=0,"",SUMIFS('LAMPIRAN V DONE'!$F$110:$F$119,'LAMPIRAN V DONE'!$I$110:$I$119,"f.Penghargaan lainnyaTingkat Daerah/Lokal"))</f>
        <v/>
      </c>
      <c r="J209" s="21" t="str">
        <f t="shared" si="30"/>
        <v/>
      </c>
      <c r="K209" s="22"/>
      <c r="L209" s="22"/>
      <c r="M209" s="22"/>
    </row>
    <row r="210" spans="1:26" ht="30.75" customHeight="1" x14ac:dyDescent="0.2">
      <c r="A210" s="28"/>
      <c r="B210" s="339" t="s">
        <v>54</v>
      </c>
      <c r="C210" s="643" t="s">
        <v>239</v>
      </c>
      <c r="D210" s="615"/>
      <c r="E210" s="615"/>
      <c r="F210" s="615"/>
      <c r="G210" s="616"/>
      <c r="H210" s="362"/>
      <c r="I210" s="18"/>
      <c r="J210" s="21"/>
      <c r="K210" s="22"/>
      <c r="L210" s="22"/>
      <c r="M210" s="22"/>
    </row>
    <row r="211" spans="1:26" ht="19.5" customHeight="1" x14ac:dyDescent="0.2">
      <c r="A211" s="28"/>
      <c r="B211" s="348"/>
      <c r="C211" s="17">
        <v>1</v>
      </c>
      <c r="D211" s="639" t="s">
        <v>240</v>
      </c>
      <c r="E211" s="615"/>
      <c r="F211" s="615"/>
      <c r="G211" s="616"/>
      <c r="H211" s="362"/>
      <c r="I211" s="18" t="str">
        <f>IF(SUMIFS('LAMPIRAN V DONE'!$F$122:$F$131,'LAMPIRAN V DONE'!$I$122:$I$131,"a.Buku SMTA atau setingkat")=0,"",SUMIFS('LAMPIRAN V DONE'!$F$122:$F$131,'LAMPIRAN V DONE'!$I$122:$I$131,"a.Buku SMTA atau setingkat"))</f>
        <v/>
      </c>
      <c r="J211" s="21" t="str">
        <f t="shared" ref="J211:J213" si="31">IF(I211=0,"",I211)</f>
        <v/>
      </c>
      <c r="K211" s="22"/>
      <c r="L211" s="22"/>
      <c r="M211" s="22"/>
    </row>
    <row r="212" spans="1:26" ht="19.5" customHeight="1" x14ac:dyDescent="0.2">
      <c r="A212" s="28"/>
      <c r="B212" s="348"/>
      <c r="C212" s="17">
        <v>2</v>
      </c>
      <c r="D212" s="639" t="s">
        <v>241</v>
      </c>
      <c r="E212" s="615"/>
      <c r="F212" s="615"/>
      <c r="G212" s="616"/>
      <c r="H212" s="34"/>
      <c r="I212" s="18" t="str">
        <f>IF(SUMIFS('LAMPIRAN V DONE'!$F$122:$F$131,'LAMPIRAN V DONE'!$I$122:$I$131,"b.Buku SMTP atau setingkat")=0,"",SUMIFS('LAMPIRAN V DONE'!$F$122:$F$131,'LAMPIRAN V DONE'!$I$122:$I$131,"b.Buku SMTP atau setingkat"))</f>
        <v/>
      </c>
      <c r="J212" s="21" t="str">
        <f t="shared" si="31"/>
        <v/>
      </c>
      <c r="K212" s="22"/>
      <c r="L212" s="22"/>
      <c r="M212" s="22"/>
    </row>
    <row r="213" spans="1:26" ht="19.5" customHeight="1" x14ac:dyDescent="0.2">
      <c r="A213" s="28"/>
      <c r="B213" s="357"/>
      <c r="C213" s="17">
        <v>3</v>
      </c>
      <c r="D213" s="639" t="s">
        <v>242</v>
      </c>
      <c r="E213" s="615"/>
      <c r="F213" s="615"/>
      <c r="G213" s="616"/>
      <c r="H213" s="34"/>
      <c r="I213" s="18" t="str">
        <f>IF(SUMIFS('LAMPIRAN V DONE'!$F$122:$F$131,'LAMPIRAN V DONE'!$I$122:$I$131,"c.Buku SD atau setingkat")=0,"",SUMIFS('LAMPIRAN V DONE'!$F$122:$F$131,'LAMPIRAN V DONE'!$I$122:$I$131,"c.Buku SD atau setingkat"))</f>
        <v/>
      </c>
      <c r="J213" s="21" t="str">
        <f t="shared" si="31"/>
        <v/>
      </c>
      <c r="K213" s="22"/>
      <c r="L213" s="22"/>
      <c r="M213" s="22"/>
    </row>
    <row r="214" spans="1:26" ht="19.5" customHeight="1" x14ac:dyDescent="0.2">
      <c r="A214" s="28"/>
      <c r="B214" s="323" t="s">
        <v>101</v>
      </c>
      <c r="C214" s="639" t="s">
        <v>243</v>
      </c>
      <c r="D214" s="615"/>
      <c r="E214" s="615"/>
      <c r="F214" s="615"/>
      <c r="G214" s="616"/>
      <c r="H214" s="34"/>
      <c r="I214" s="62"/>
      <c r="J214" s="21"/>
      <c r="K214" s="22"/>
      <c r="L214" s="22"/>
      <c r="M214" s="22"/>
    </row>
    <row r="215" spans="1:26" ht="19.5" customHeight="1" x14ac:dyDescent="0.2">
      <c r="A215" s="28"/>
      <c r="B215" s="326"/>
      <c r="C215" s="17">
        <v>1</v>
      </c>
      <c r="D215" s="32" t="s">
        <v>184</v>
      </c>
      <c r="E215" s="32"/>
      <c r="F215" s="32"/>
      <c r="G215" s="32"/>
      <c r="H215" s="34"/>
      <c r="I215" s="18" t="str">
        <f>IF(SUMIFS('LAMPIRAN V DONE'!$F$134:$F$143,'LAMPIRAN V DONE'!$I$134:$I$143,"a.Tingkat Internasional tiap piagam/medali")=0,"",SUMIFS('LAMPIRAN V DONE'!$F$134:$F$143,'LAMPIRAN V DONE'!$I$134:$I$143,"a.Tingkat Internasional tiap piagam/medali"))</f>
        <v/>
      </c>
      <c r="J215" s="21" t="str">
        <f t="shared" ref="J215:J217" si="32">IF(I215=0,"",I215)</f>
        <v/>
      </c>
      <c r="K215" s="22"/>
      <c r="L215" s="22"/>
      <c r="M215" s="22"/>
    </row>
    <row r="216" spans="1:26" ht="19.5" customHeight="1" x14ac:dyDescent="0.2">
      <c r="A216" s="28"/>
      <c r="B216" s="326"/>
      <c r="C216" s="17">
        <v>2</v>
      </c>
      <c r="D216" s="32" t="s">
        <v>185</v>
      </c>
      <c r="E216" s="32"/>
      <c r="F216" s="32"/>
      <c r="G216" s="22"/>
      <c r="H216" s="34"/>
      <c r="I216" s="18" t="str">
        <f>IF(SUMIFS('LAMPIRAN V DONE'!$F$134:$F$143,'LAMPIRAN V DONE'!$I$134:$I$143,"b.Tingkat Nasional tiap piagam/medali")=0,"",SUMIFS('LAMPIRAN V DONE'!$F$134:$F$143,'LAMPIRAN V DONE'!$I$134:$I$143,"b.Tingkat Nasional tiap piagam/medali"))</f>
        <v/>
      </c>
      <c r="J216" s="21" t="str">
        <f t="shared" si="32"/>
        <v/>
      </c>
      <c r="K216" s="22"/>
      <c r="L216" s="22"/>
      <c r="M216" s="22"/>
    </row>
    <row r="217" spans="1:26" ht="19.5" customHeight="1" x14ac:dyDescent="0.2">
      <c r="A217" s="28"/>
      <c r="B217" s="357"/>
      <c r="C217" s="17">
        <v>3</v>
      </c>
      <c r="D217" s="32" t="s">
        <v>244</v>
      </c>
      <c r="E217" s="32"/>
      <c r="F217" s="32"/>
      <c r="G217" s="22"/>
      <c r="H217" s="34"/>
      <c r="I217" s="18" t="str">
        <f>IF(SUMIFS('LAMPIRAN V DONE'!$F$134:$F$143,'LAMPIRAN V DONE'!$I$134:$I$143,"c.Tingkat Daerah/Lokal tiap piagam/medali")=0,"",SUMIFS('LAMPIRAN V DONE'!$F$134:$F$143,'LAMPIRAN V DONE'!$I$134:$I$143,"c.Tingkat Daerah/Lokal tiap piagam/medali"))</f>
        <v/>
      </c>
      <c r="J217" s="21" t="str">
        <f t="shared" si="32"/>
        <v/>
      </c>
      <c r="K217" s="22"/>
      <c r="L217" s="22"/>
      <c r="M217" s="22"/>
    </row>
    <row r="218" spans="1:26" ht="19.5" customHeight="1" x14ac:dyDescent="0.2">
      <c r="A218" s="29"/>
      <c r="B218" s="323" t="s">
        <v>111</v>
      </c>
      <c r="C218" s="639" t="s">
        <v>245</v>
      </c>
      <c r="D218" s="615"/>
      <c r="E218" s="615"/>
      <c r="F218" s="615"/>
      <c r="G218" s="616"/>
      <c r="H218" s="324"/>
      <c r="I218" s="17"/>
      <c r="J218" s="17"/>
      <c r="K218" s="17"/>
      <c r="L218" s="17"/>
      <c r="M218" s="17"/>
    </row>
    <row r="219" spans="1:26" ht="22.5" customHeight="1" x14ac:dyDescent="0.2">
      <c r="A219" s="29"/>
      <c r="B219" s="326"/>
      <c r="C219" s="328"/>
      <c r="D219" s="659" t="s">
        <v>246</v>
      </c>
      <c r="E219" s="645"/>
      <c r="F219" s="645"/>
      <c r="G219" s="646"/>
      <c r="H219" s="363"/>
      <c r="I219" s="17" t="str">
        <f>IF('LAMPIRAN V DONE'!G156=0,"",'LAMPIRAN V DONE'!G156)</f>
        <v/>
      </c>
      <c r="J219" s="21" t="str">
        <f t="shared" ref="J219:J221" si="33">IF(I219=0,"",I219)</f>
        <v/>
      </c>
      <c r="K219" s="17"/>
      <c r="L219" s="17"/>
      <c r="M219" s="17"/>
    </row>
    <row r="220" spans="1:26" ht="24.75" customHeight="1" x14ac:dyDescent="0.2">
      <c r="A220" s="660" t="s">
        <v>247</v>
      </c>
      <c r="B220" s="615"/>
      <c r="C220" s="615"/>
      <c r="D220" s="615"/>
      <c r="E220" s="615"/>
      <c r="F220" s="615"/>
      <c r="G220" s="616"/>
      <c r="H220" s="363"/>
      <c r="I220" s="63">
        <f>SUM(I201:I219,I161:I195)</f>
        <v>5</v>
      </c>
      <c r="J220" s="21">
        <f t="shared" si="33"/>
        <v>5</v>
      </c>
      <c r="K220" s="17"/>
      <c r="L220" s="17"/>
      <c r="M220" s="17"/>
      <c r="N220" s="15"/>
      <c r="O220" s="15"/>
      <c r="P220" s="15"/>
      <c r="Q220" s="15"/>
      <c r="R220" s="15"/>
      <c r="S220" s="15"/>
      <c r="T220" s="15"/>
      <c r="U220" s="15"/>
      <c r="V220" s="15"/>
      <c r="W220" s="15"/>
      <c r="X220" s="15"/>
      <c r="Y220" s="15"/>
      <c r="Z220" s="15"/>
    </row>
    <row r="221" spans="1:26" ht="24.75" customHeight="1" x14ac:dyDescent="0.2">
      <c r="A221" s="660" t="s">
        <v>248</v>
      </c>
      <c r="B221" s="615"/>
      <c r="C221" s="615"/>
      <c r="D221" s="615"/>
      <c r="E221" s="615"/>
      <c r="F221" s="615"/>
      <c r="G221" s="616"/>
      <c r="H221" s="363"/>
      <c r="I221" s="64">
        <f>I160+I220</f>
        <v>686</v>
      </c>
      <c r="J221" s="49">
        <f t="shared" si="33"/>
        <v>686</v>
      </c>
      <c r="K221" s="17"/>
      <c r="L221" s="17"/>
      <c r="M221" s="17"/>
      <c r="N221" s="15"/>
      <c r="O221" s="15"/>
      <c r="P221" s="15"/>
      <c r="Q221" s="15"/>
      <c r="R221" s="15"/>
      <c r="S221" s="15"/>
      <c r="T221" s="15"/>
      <c r="U221" s="15"/>
      <c r="V221" s="15"/>
      <c r="W221" s="15"/>
      <c r="X221" s="15"/>
      <c r="Y221" s="15"/>
      <c r="Z221" s="15"/>
    </row>
    <row r="222" spans="1:26" ht="15.75" customHeight="1" x14ac:dyDescent="0.2">
      <c r="A222" s="65"/>
      <c r="B222" s="66"/>
      <c r="C222" s="67"/>
      <c r="D222" s="67"/>
      <c r="E222" s="67"/>
      <c r="F222" s="67"/>
      <c r="G222" s="67"/>
      <c r="H222" s="68"/>
      <c r="I222" s="69"/>
      <c r="J222" s="70"/>
    </row>
    <row r="223" spans="1:26" ht="30" customHeight="1" x14ac:dyDescent="0.2">
      <c r="A223" s="71" t="s">
        <v>136</v>
      </c>
      <c r="B223" s="364" t="s">
        <v>249</v>
      </c>
      <c r="C223" s="365"/>
      <c r="D223" s="366"/>
      <c r="E223" s="366"/>
      <c r="F223" s="366"/>
      <c r="G223" s="367"/>
      <c r="H223" s="367"/>
      <c r="I223" s="335"/>
      <c r="J223" s="368"/>
      <c r="K223" s="335"/>
      <c r="L223" s="335"/>
      <c r="M223" s="336"/>
      <c r="N223" s="15"/>
    </row>
    <row r="224" spans="1:26" ht="21" customHeight="1" x14ac:dyDescent="0.2">
      <c r="A224" s="369"/>
      <c r="B224" s="370" t="s">
        <v>121</v>
      </c>
      <c r="C224" s="661" t="s">
        <v>250</v>
      </c>
      <c r="D224" s="613"/>
      <c r="E224" s="613"/>
      <c r="F224" s="613"/>
      <c r="G224" s="634"/>
      <c r="H224" s="371"/>
      <c r="I224" s="72"/>
      <c r="J224" s="72"/>
      <c r="K224" s="72"/>
      <c r="L224" s="72"/>
      <c r="M224" s="73"/>
      <c r="N224" s="15"/>
      <c r="O224" s="15"/>
      <c r="P224" s="15"/>
      <c r="Q224" s="15"/>
      <c r="R224" s="15"/>
      <c r="S224" s="15"/>
      <c r="T224" s="15"/>
      <c r="U224" s="15"/>
      <c r="V224" s="15"/>
      <c r="W224" s="15"/>
      <c r="X224" s="15"/>
      <c r="Y224" s="15"/>
      <c r="Z224" s="15"/>
    </row>
    <row r="225" spans="1:26" ht="21" customHeight="1" x14ac:dyDescent="0.2">
      <c r="A225" s="369"/>
      <c r="B225" s="370" t="s">
        <v>123</v>
      </c>
      <c r="C225" s="661" t="s">
        <v>251</v>
      </c>
      <c r="D225" s="613"/>
      <c r="E225" s="613"/>
      <c r="F225" s="613"/>
      <c r="G225" s="634"/>
      <c r="H225" s="74"/>
      <c r="I225" s="74"/>
      <c r="J225" s="68"/>
      <c r="K225" s="15"/>
      <c r="L225" s="15"/>
      <c r="M225" s="75"/>
      <c r="N225" s="15"/>
      <c r="O225" s="15"/>
      <c r="P225" s="15"/>
      <c r="Q225" s="15"/>
      <c r="R225" s="15"/>
      <c r="S225" s="15"/>
      <c r="T225" s="15"/>
      <c r="U225" s="15"/>
      <c r="V225" s="15"/>
      <c r="W225" s="15"/>
      <c r="X225" s="15"/>
      <c r="Y225" s="15"/>
      <c r="Z225" s="15"/>
    </row>
    <row r="226" spans="1:26" ht="21" customHeight="1" x14ac:dyDescent="0.2">
      <c r="A226" s="369"/>
      <c r="B226" s="370">
        <v>3</v>
      </c>
      <c r="C226" s="661" t="s">
        <v>252</v>
      </c>
      <c r="D226" s="613"/>
      <c r="E226" s="613"/>
      <c r="F226" s="613"/>
      <c r="G226" s="634"/>
      <c r="H226" s="74"/>
      <c r="I226" s="74"/>
      <c r="J226" s="68"/>
      <c r="K226" s="15"/>
      <c r="L226" s="15"/>
      <c r="M226" s="75"/>
      <c r="N226" s="15"/>
      <c r="O226" s="15"/>
      <c r="P226" s="15"/>
      <c r="Q226" s="15"/>
      <c r="R226" s="15"/>
      <c r="S226" s="15"/>
      <c r="T226" s="15"/>
      <c r="U226" s="15"/>
      <c r="V226" s="15"/>
      <c r="W226" s="15"/>
      <c r="X226" s="15"/>
      <c r="Y226" s="15"/>
      <c r="Z226" s="15"/>
    </row>
    <row r="227" spans="1:26" ht="31.5" customHeight="1" x14ac:dyDescent="0.2">
      <c r="A227" s="372"/>
      <c r="B227" s="373">
        <v>4</v>
      </c>
      <c r="C227" s="654" t="s">
        <v>253</v>
      </c>
      <c r="D227" s="613"/>
      <c r="E227" s="613"/>
      <c r="F227" s="613"/>
      <c r="G227" s="634"/>
      <c r="H227" s="76"/>
      <c r="I227" s="76"/>
      <c r="J227" s="65"/>
      <c r="K227" s="77"/>
      <c r="L227" s="77"/>
      <c r="M227" s="78"/>
      <c r="N227" s="77"/>
    </row>
    <row r="228" spans="1:26" ht="21" customHeight="1" x14ac:dyDescent="0.2">
      <c r="A228" s="369"/>
      <c r="B228" s="370">
        <v>5</v>
      </c>
      <c r="C228" s="15" t="s">
        <v>254</v>
      </c>
      <c r="D228" s="79"/>
      <c r="E228" s="79"/>
      <c r="F228" s="79"/>
      <c r="G228" s="74"/>
      <c r="H228" s="374"/>
      <c r="I228" s="15"/>
      <c r="J228" s="68"/>
      <c r="K228" s="15"/>
      <c r="L228" s="15"/>
      <c r="M228" s="75"/>
      <c r="N228" s="15"/>
      <c r="O228" s="15"/>
      <c r="P228" s="15"/>
      <c r="Q228" s="15"/>
      <c r="R228" s="15"/>
      <c r="S228" s="15"/>
      <c r="T228" s="15"/>
      <c r="U228" s="15"/>
      <c r="V228" s="15"/>
      <c r="W228" s="15"/>
      <c r="X228" s="15"/>
      <c r="Y228" s="15"/>
      <c r="Z228" s="15"/>
    </row>
    <row r="229" spans="1:26" ht="19.5" customHeight="1" x14ac:dyDescent="0.2">
      <c r="A229" s="372"/>
      <c r="B229" s="373"/>
      <c r="D229" s="80"/>
      <c r="E229" s="80"/>
      <c r="F229" s="80"/>
      <c r="G229" s="76"/>
      <c r="H229" s="633" t="str">
        <f>"Ketua Program Studi "&amp;F22</f>
        <v>Ketua Program Studi S1 Rekayasa Perangkat Lunak Kampus Surabaya Fakultas Informatika</v>
      </c>
      <c r="I229" s="613"/>
      <c r="J229" s="613"/>
      <c r="K229" s="613"/>
      <c r="L229" s="613"/>
      <c r="M229" s="634"/>
      <c r="N229" s="77"/>
      <c r="O229" s="655" t="s">
        <v>255</v>
      </c>
      <c r="P229" s="656"/>
      <c r="Q229" s="656"/>
      <c r="R229" s="656"/>
      <c r="S229" s="656"/>
    </row>
    <row r="230" spans="1:26" ht="19.5" customHeight="1" x14ac:dyDescent="0.2">
      <c r="A230" s="372"/>
      <c r="B230" s="373"/>
      <c r="D230" s="80"/>
      <c r="E230" s="80"/>
      <c r="F230" s="80"/>
      <c r="G230" s="76"/>
      <c r="H230" s="635"/>
      <c r="I230" s="613"/>
      <c r="J230" s="613"/>
      <c r="K230" s="613"/>
      <c r="L230" s="613"/>
      <c r="M230" s="634"/>
      <c r="N230" s="77"/>
      <c r="O230" s="656"/>
      <c r="P230" s="613"/>
      <c r="Q230" s="613"/>
      <c r="R230" s="613"/>
      <c r="S230" s="656"/>
    </row>
    <row r="231" spans="1:26" ht="19.5" customHeight="1" x14ac:dyDescent="0.2">
      <c r="A231" s="372"/>
      <c r="B231" s="373"/>
      <c r="D231" s="80"/>
      <c r="E231" s="80"/>
      <c r="F231" s="80"/>
      <c r="G231" s="76"/>
      <c r="H231" s="374"/>
      <c r="I231" s="15"/>
      <c r="J231" s="68"/>
      <c r="K231" s="15"/>
      <c r="L231" s="15"/>
      <c r="M231" s="75"/>
      <c r="N231" s="77"/>
      <c r="O231" s="656"/>
      <c r="P231" s="656"/>
      <c r="Q231" s="656"/>
      <c r="R231" s="656"/>
      <c r="S231" s="656"/>
    </row>
    <row r="232" spans="1:26" ht="19.5" customHeight="1" x14ac:dyDescent="0.2">
      <c r="A232" s="372"/>
      <c r="B232" s="375"/>
      <c r="C232" s="76"/>
      <c r="D232" s="80"/>
      <c r="E232" s="80"/>
      <c r="F232" s="80"/>
      <c r="G232" s="76"/>
      <c r="H232" s="374"/>
      <c r="I232" s="15"/>
      <c r="J232" s="68"/>
      <c r="K232" s="15"/>
      <c r="L232" s="15"/>
      <c r="M232" s="75"/>
      <c r="N232" s="77"/>
    </row>
    <row r="233" spans="1:26" ht="19.5" customHeight="1" x14ac:dyDescent="0.2">
      <c r="A233" s="372"/>
      <c r="B233" s="375"/>
      <c r="C233" s="76"/>
      <c r="D233" s="80"/>
      <c r="E233" s="80"/>
      <c r="F233" s="80"/>
      <c r="G233" s="76"/>
      <c r="H233" s="657" t="str">
        <f>IF('LAMPIRAN II DONE'!$C$11=0,"",'LAMPIRAN II DONE'!$C$11)</f>
        <v/>
      </c>
      <c r="I233" s="613"/>
      <c r="J233" s="613"/>
      <c r="K233" s="613"/>
      <c r="L233" s="613"/>
      <c r="M233" s="634"/>
      <c r="N233" s="77"/>
      <c r="O233" s="655" t="s">
        <v>256</v>
      </c>
      <c r="P233" s="656"/>
      <c r="Q233" s="656"/>
      <c r="R233" s="656"/>
      <c r="S233" s="656"/>
    </row>
    <row r="234" spans="1:26" ht="19.5" customHeight="1" x14ac:dyDescent="0.2">
      <c r="A234" s="372"/>
      <c r="B234" s="375"/>
      <c r="C234" s="76"/>
      <c r="D234" s="80"/>
      <c r="E234" s="80"/>
      <c r="F234" s="80"/>
      <c r="G234" s="76"/>
      <c r="H234" s="658" t="str">
        <f>"NIK"&amp;". "&amp;IF('LAMPIRAN II DONE'!C12=0,"",'LAMPIRAN II DONE'!C12)</f>
        <v xml:space="preserve">NIK. </v>
      </c>
      <c r="I234" s="613"/>
      <c r="J234" s="613"/>
      <c r="K234" s="613"/>
      <c r="L234" s="613"/>
      <c r="M234" s="634"/>
      <c r="N234" s="77"/>
      <c r="O234" s="656"/>
      <c r="P234" s="656"/>
      <c r="Q234" s="656"/>
      <c r="R234" s="656"/>
      <c r="S234" s="656"/>
    </row>
    <row r="235" spans="1:26" ht="19.5" customHeight="1" x14ac:dyDescent="0.2">
      <c r="A235" s="376"/>
      <c r="B235" s="377"/>
      <c r="C235" s="81"/>
      <c r="D235" s="82"/>
      <c r="E235" s="82"/>
      <c r="F235" s="82"/>
      <c r="G235" s="81"/>
      <c r="H235" s="377"/>
      <c r="I235" s="83"/>
      <c r="J235" s="84"/>
      <c r="K235" s="83"/>
      <c r="L235" s="83"/>
      <c r="M235" s="85"/>
      <c r="N235" s="77"/>
    </row>
    <row r="236" spans="1:26" ht="30" customHeight="1" x14ac:dyDescent="0.25">
      <c r="A236" s="378" t="s">
        <v>187</v>
      </c>
      <c r="B236" s="379" t="s">
        <v>257</v>
      </c>
      <c r="C236" s="380"/>
      <c r="D236" s="86"/>
      <c r="E236" s="86"/>
      <c r="F236" s="86"/>
      <c r="G236" s="87"/>
      <c r="H236" s="87"/>
      <c r="I236" s="88"/>
      <c r="J236" s="89"/>
      <c r="K236" s="88"/>
      <c r="L236" s="88"/>
      <c r="M236" s="90"/>
      <c r="N236" s="91"/>
      <c r="O236" s="92"/>
      <c r="P236" s="92"/>
      <c r="Q236" s="92"/>
      <c r="R236" s="92"/>
      <c r="S236" s="92"/>
      <c r="T236" s="92"/>
      <c r="U236" s="92"/>
      <c r="V236" s="92"/>
      <c r="W236" s="92"/>
      <c r="X236" s="92"/>
      <c r="Y236" s="92"/>
      <c r="Z236" s="92"/>
    </row>
    <row r="237" spans="1:26" ht="19.5" customHeight="1" x14ac:dyDescent="0.2">
      <c r="A237" s="372"/>
      <c r="B237" s="370"/>
      <c r="C237" s="79"/>
      <c r="D237" s="80"/>
      <c r="E237" s="80"/>
      <c r="F237" s="80"/>
      <c r="G237" s="76"/>
      <c r="H237" s="375"/>
      <c r="I237" s="77"/>
      <c r="J237" s="65"/>
      <c r="K237" s="77"/>
      <c r="L237" s="77"/>
      <c r="M237" s="78"/>
      <c r="N237" s="77"/>
    </row>
    <row r="238" spans="1:26" ht="19.5" customHeight="1" x14ac:dyDescent="0.2">
      <c r="A238" s="372"/>
      <c r="B238" s="370"/>
      <c r="C238" s="79"/>
      <c r="D238" s="80"/>
      <c r="E238" s="80"/>
      <c r="F238" s="80"/>
      <c r="G238" s="76"/>
      <c r="H238" s="375"/>
      <c r="I238" s="77"/>
      <c r="J238" s="65"/>
      <c r="K238" s="77"/>
      <c r="L238" s="77"/>
      <c r="M238" s="78"/>
      <c r="N238" s="77"/>
    </row>
    <row r="239" spans="1:26" ht="19.5" customHeight="1" x14ac:dyDescent="0.2">
      <c r="A239" s="372"/>
      <c r="B239" s="370"/>
      <c r="C239" s="79"/>
      <c r="D239" s="80"/>
      <c r="E239" s="80"/>
      <c r="F239" s="80"/>
      <c r="G239" s="76"/>
      <c r="H239" s="375"/>
      <c r="I239" s="77"/>
      <c r="J239" s="65"/>
      <c r="K239" s="77"/>
      <c r="L239" s="77"/>
      <c r="M239" s="78"/>
      <c r="N239" s="77"/>
      <c r="O239" s="15"/>
      <c r="P239" s="15"/>
      <c r="Q239" s="15"/>
      <c r="R239" s="15"/>
      <c r="S239" s="15"/>
      <c r="T239" s="15"/>
      <c r="U239" s="15"/>
      <c r="V239" s="15"/>
      <c r="W239" s="15"/>
      <c r="X239" s="15"/>
      <c r="Y239" s="15"/>
      <c r="Z239" s="15"/>
    </row>
    <row r="240" spans="1:26" ht="19.5" customHeight="1" x14ac:dyDescent="0.2">
      <c r="A240" s="372"/>
      <c r="B240" s="370"/>
      <c r="C240" s="79"/>
      <c r="D240" s="80"/>
      <c r="E240" s="80"/>
      <c r="F240" s="80"/>
      <c r="G240" s="76"/>
      <c r="H240" s="375"/>
      <c r="I240" s="77"/>
      <c r="J240" s="65"/>
      <c r="K240" s="77"/>
      <c r="L240" s="77"/>
      <c r="M240" s="78"/>
      <c r="N240" s="77"/>
    </row>
    <row r="241" spans="1:26" ht="19.5" customHeight="1" x14ac:dyDescent="0.2">
      <c r="A241" s="372"/>
      <c r="B241" s="375"/>
      <c r="C241" s="76"/>
      <c r="D241" s="80"/>
      <c r="E241" s="80"/>
      <c r="F241" s="80"/>
      <c r="G241" s="76"/>
      <c r="H241" s="374"/>
      <c r="I241" s="15"/>
      <c r="J241" s="68"/>
      <c r="K241" s="15"/>
      <c r="L241" s="15"/>
      <c r="M241" s="75"/>
      <c r="N241" s="77"/>
    </row>
    <row r="242" spans="1:26" ht="19.5" customHeight="1" x14ac:dyDescent="0.25">
      <c r="A242" s="372"/>
      <c r="B242" s="375"/>
      <c r="C242" s="76"/>
      <c r="D242" s="80"/>
      <c r="E242" s="80"/>
      <c r="F242" s="80"/>
      <c r="G242" s="76"/>
      <c r="H242" s="657" t="s">
        <v>258</v>
      </c>
      <c r="I242" s="613"/>
      <c r="J242" s="613"/>
      <c r="K242" s="613"/>
      <c r="L242" s="613"/>
      <c r="M242" s="634"/>
      <c r="N242" s="77"/>
      <c r="P242" s="381" t="s">
        <v>259</v>
      </c>
      <c r="Q242" s="655" t="s">
        <v>260</v>
      </c>
      <c r="R242" s="656"/>
      <c r="S242" s="656"/>
      <c r="T242" s="656"/>
      <c r="U242" s="656"/>
      <c r="V242" s="656"/>
      <c r="W242" s="656"/>
      <c r="X242" s="656"/>
      <c r="Y242" s="656"/>
    </row>
    <row r="243" spans="1:26" ht="19.5" customHeight="1" x14ac:dyDescent="0.25">
      <c r="A243" s="372"/>
      <c r="B243" s="375"/>
      <c r="C243" s="76"/>
      <c r="D243" s="80"/>
      <c r="E243" s="80"/>
      <c r="F243" s="80"/>
      <c r="G243" s="76"/>
      <c r="H243" s="374"/>
      <c r="I243" s="68"/>
      <c r="J243" s="68"/>
      <c r="K243" s="68"/>
      <c r="L243" s="68"/>
      <c r="M243" s="75"/>
      <c r="N243" s="77"/>
      <c r="P243" s="382"/>
      <c r="Q243" s="656"/>
      <c r="R243" s="613"/>
      <c r="S243" s="613"/>
      <c r="T243" s="613"/>
      <c r="U243" s="613"/>
      <c r="V243" s="613"/>
      <c r="W243" s="613"/>
      <c r="X243" s="613"/>
      <c r="Y243" s="656"/>
    </row>
    <row r="244" spans="1:26" ht="19.5" customHeight="1" x14ac:dyDescent="0.25">
      <c r="A244" s="372"/>
      <c r="B244" s="375"/>
      <c r="C244" s="76"/>
      <c r="D244" s="80"/>
      <c r="E244" s="80"/>
      <c r="F244" s="80"/>
      <c r="G244" s="76"/>
      <c r="H244" s="374"/>
      <c r="I244" s="68"/>
      <c r="J244" s="68"/>
      <c r="K244" s="68"/>
      <c r="L244" s="68"/>
      <c r="M244" s="75"/>
      <c r="N244" s="77"/>
      <c r="P244" s="382"/>
      <c r="Q244" s="656"/>
      <c r="R244" s="656"/>
      <c r="S244" s="656"/>
      <c r="T244" s="656"/>
      <c r="U244" s="656"/>
      <c r="V244" s="656"/>
      <c r="W244" s="656"/>
      <c r="X244" s="656"/>
      <c r="Y244" s="656"/>
    </row>
    <row r="245" spans="1:26" ht="19.5" customHeight="1" x14ac:dyDescent="0.25">
      <c r="A245" s="372"/>
      <c r="B245" s="375"/>
      <c r="C245" s="76"/>
      <c r="D245" s="80"/>
      <c r="E245" s="80"/>
      <c r="F245" s="80"/>
      <c r="G245" s="76"/>
      <c r="H245" s="374"/>
      <c r="I245" s="15"/>
      <c r="J245" s="68"/>
      <c r="K245" s="15"/>
      <c r="L245" s="15"/>
      <c r="M245" s="75"/>
      <c r="N245" s="77"/>
      <c r="P245" s="382"/>
      <c r="Q245" s="655" t="s">
        <v>261</v>
      </c>
      <c r="R245" s="656"/>
      <c r="S245" s="656"/>
      <c r="T245" s="656"/>
      <c r="U245" s="656"/>
      <c r="V245" s="656"/>
      <c r="W245" s="656"/>
      <c r="X245" s="656"/>
      <c r="Y245" s="656"/>
    </row>
    <row r="246" spans="1:26" ht="19.5" customHeight="1" x14ac:dyDescent="0.25">
      <c r="A246" s="372"/>
      <c r="B246" s="375"/>
      <c r="C246" s="76"/>
      <c r="D246" s="80"/>
      <c r="E246" s="80"/>
      <c r="F246" s="80"/>
      <c r="G246" s="76"/>
      <c r="H246" s="657" t="s">
        <v>262</v>
      </c>
      <c r="I246" s="613"/>
      <c r="J246" s="613"/>
      <c r="K246" s="613"/>
      <c r="L246" s="613"/>
      <c r="M246" s="634"/>
      <c r="N246" s="77"/>
      <c r="P246" s="382"/>
      <c r="Q246" s="656"/>
      <c r="R246" s="613"/>
      <c r="S246" s="613"/>
      <c r="T246" s="613"/>
      <c r="U246" s="613"/>
      <c r="V246" s="613"/>
      <c r="W246" s="613"/>
      <c r="X246" s="613"/>
      <c r="Y246" s="656"/>
    </row>
    <row r="247" spans="1:26" ht="19.5" customHeight="1" x14ac:dyDescent="0.25">
      <c r="A247" s="372"/>
      <c r="B247" s="375"/>
      <c r="C247" s="76"/>
      <c r="D247" s="80"/>
      <c r="E247" s="80"/>
      <c r="F247" s="80"/>
      <c r="G247" s="76"/>
      <c r="H247" s="658" t="s">
        <v>263</v>
      </c>
      <c r="I247" s="613"/>
      <c r="J247" s="613"/>
      <c r="K247" s="613"/>
      <c r="L247" s="613"/>
      <c r="M247" s="634"/>
      <c r="N247" s="77"/>
      <c r="P247" s="382"/>
      <c r="Q247" s="656"/>
      <c r="R247" s="656"/>
      <c r="S247" s="656"/>
      <c r="T247" s="656"/>
      <c r="U247" s="656"/>
      <c r="V247" s="656"/>
      <c r="W247" s="656"/>
      <c r="X247" s="656"/>
      <c r="Y247" s="656"/>
    </row>
    <row r="248" spans="1:26" ht="19.5" customHeight="1" x14ac:dyDescent="0.2">
      <c r="A248" s="376"/>
      <c r="B248" s="377"/>
      <c r="C248" s="81"/>
      <c r="D248" s="82"/>
      <c r="E248" s="82"/>
      <c r="F248" s="82"/>
      <c r="G248" s="81"/>
      <c r="H248" s="377"/>
      <c r="I248" s="83"/>
      <c r="J248" s="84"/>
      <c r="K248" s="93"/>
      <c r="L248" s="83"/>
      <c r="M248" s="85"/>
      <c r="N248" s="77"/>
    </row>
    <row r="249" spans="1:26" ht="30" customHeight="1" x14ac:dyDescent="0.25">
      <c r="A249" s="71" t="s">
        <v>205</v>
      </c>
      <c r="B249" s="364" t="s">
        <v>264</v>
      </c>
      <c r="C249" s="383"/>
      <c r="D249" s="94"/>
      <c r="E249" s="94"/>
      <c r="F249" s="94"/>
      <c r="G249" s="384"/>
      <c r="H249" s="384"/>
      <c r="I249" s="385"/>
      <c r="J249" s="386"/>
      <c r="K249" s="385"/>
      <c r="L249" s="385"/>
      <c r="M249" s="387"/>
      <c r="N249" s="91"/>
      <c r="O249" s="92"/>
      <c r="P249" s="92"/>
      <c r="Q249" s="92"/>
      <c r="R249" s="92"/>
      <c r="S249" s="92"/>
      <c r="T249" s="92"/>
      <c r="U249" s="92"/>
      <c r="V249" s="92"/>
      <c r="W249" s="92"/>
      <c r="X249" s="92"/>
      <c r="Y249" s="92"/>
      <c r="Z249" s="92"/>
    </row>
    <row r="250" spans="1:26" ht="19.5" customHeight="1" x14ac:dyDescent="0.2">
      <c r="A250" s="372"/>
      <c r="B250" s="370"/>
      <c r="C250" s="647"/>
      <c r="D250" s="645"/>
      <c r="E250" s="645"/>
      <c r="F250" s="645"/>
      <c r="G250" s="76"/>
      <c r="H250" s="375"/>
      <c r="I250" s="77"/>
      <c r="J250" s="65"/>
      <c r="K250" s="77"/>
      <c r="L250" s="77"/>
      <c r="M250" s="78"/>
      <c r="N250" s="77"/>
    </row>
    <row r="251" spans="1:26" ht="19.5" customHeight="1" x14ac:dyDescent="0.2">
      <c r="A251" s="372"/>
      <c r="B251" s="370"/>
      <c r="C251" s="649"/>
      <c r="D251" s="613"/>
      <c r="E251" s="613"/>
      <c r="F251" s="613"/>
      <c r="G251" s="76"/>
      <c r="H251" s="375"/>
      <c r="I251" s="648" t="s">
        <v>265</v>
      </c>
      <c r="J251" s="613"/>
      <c r="K251" s="613"/>
      <c r="L251" s="613"/>
      <c r="M251" s="78"/>
      <c r="N251" s="77"/>
    </row>
    <row r="252" spans="1:26" ht="19.5" customHeight="1" x14ac:dyDescent="0.2">
      <c r="A252" s="372"/>
      <c r="B252" s="370"/>
      <c r="C252" s="649"/>
      <c r="D252" s="613"/>
      <c r="E252" s="613"/>
      <c r="F252" s="613"/>
      <c r="G252" s="76"/>
      <c r="H252" s="375"/>
      <c r="I252" s="15"/>
      <c r="J252" s="68"/>
      <c r="K252" s="15"/>
      <c r="L252" s="15"/>
      <c r="M252" s="78"/>
      <c r="N252" s="77"/>
    </row>
    <row r="253" spans="1:26" ht="19.5" customHeight="1" x14ac:dyDescent="0.2">
      <c r="A253" s="372"/>
      <c r="B253" s="370"/>
      <c r="C253" s="79"/>
      <c r="D253" s="77"/>
      <c r="E253" s="77"/>
      <c r="F253" s="77"/>
      <c r="G253" s="77"/>
      <c r="H253" s="388"/>
      <c r="I253" s="652"/>
      <c r="J253" s="613"/>
      <c r="K253" s="613"/>
      <c r="L253" s="613"/>
      <c r="M253" s="78"/>
      <c r="N253" s="77"/>
    </row>
    <row r="254" spans="1:26" ht="19.5" customHeight="1" x14ac:dyDescent="0.2">
      <c r="A254" s="372"/>
      <c r="B254" s="77"/>
      <c r="C254" s="77"/>
      <c r="D254" s="77"/>
      <c r="E254" s="77"/>
      <c r="F254" s="77"/>
      <c r="G254" s="77"/>
      <c r="H254" s="388"/>
      <c r="I254" s="653"/>
      <c r="J254" s="637"/>
      <c r="K254" s="637"/>
      <c r="L254" s="637"/>
      <c r="M254" s="78"/>
      <c r="N254" s="77"/>
    </row>
    <row r="255" spans="1:26" ht="19.5" customHeight="1" x14ac:dyDescent="0.2">
      <c r="A255" s="372"/>
      <c r="B255" s="375"/>
      <c r="C255" s="76"/>
      <c r="D255" s="80"/>
      <c r="E255" s="80"/>
      <c r="F255" s="80"/>
      <c r="G255" s="76"/>
      <c r="H255" s="375"/>
      <c r="I255" s="15" t="s">
        <v>266</v>
      </c>
      <c r="J255" s="68"/>
      <c r="K255" s="15"/>
      <c r="L255" s="15"/>
      <c r="M255" s="78"/>
      <c r="N255" s="77"/>
    </row>
    <row r="256" spans="1:26" ht="19.5" customHeight="1" x14ac:dyDescent="0.2">
      <c r="A256" s="372"/>
      <c r="B256" s="375"/>
      <c r="C256" s="76"/>
      <c r="D256" s="80"/>
      <c r="E256" s="80"/>
      <c r="F256" s="80"/>
      <c r="G256" s="76"/>
      <c r="H256" s="375"/>
      <c r="I256" s="15"/>
      <c r="J256" s="15"/>
      <c r="K256" s="15"/>
      <c r="L256" s="15"/>
      <c r="M256" s="78"/>
      <c r="N256" s="77"/>
    </row>
    <row r="257" spans="1:26" ht="19.5" customHeight="1" x14ac:dyDescent="0.2">
      <c r="A257" s="372"/>
      <c r="B257" s="375"/>
      <c r="C257" s="76"/>
      <c r="D257" s="80"/>
      <c r="E257" s="80"/>
      <c r="F257" s="80"/>
      <c r="G257" s="76"/>
      <c r="H257" s="375"/>
      <c r="I257" s="648" t="s">
        <v>267</v>
      </c>
      <c r="J257" s="613"/>
      <c r="K257" s="613"/>
      <c r="L257" s="613"/>
      <c r="M257" s="78"/>
      <c r="N257" s="77"/>
    </row>
    <row r="258" spans="1:26" ht="19.5" customHeight="1" x14ac:dyDescent="0.2">
      <c r="A258" s="372"/>
      <c r="B258" s="375"/>
      <c r="C258" s="76"/>
      <c r="D258" s="80"/>
      <c r="E258" s="80"/>
      <c r="F258" s="80"/>
      <c r="G258" s="76"/>
      <c r="H258" s="375"/>
      <c r="I258" s="652"/>
      <c r="J258" s="613"/>
      <c r="K258" s="613"/>
      <c r="L258" s="613"/>
      <c r="M258" s="78"/>
      <c r="N258" s="77"/>
    </row>
    <row r="259" spans="1:26" ht="19.5" customHeight="1" x14ac:dyDescent="0.2">
      <c r="A259" s="372"/>
      <c r="B259" s="375"/>
      <c r="C259" s="76"/>
      <c r="D259" s="80"/>
      <c r="E259" s="80"/>
      <c r="F259" s="80"/>
      <c r="G259" s="76"/>
      <c r="H259" s="375"/>
      <c r="I259" s="15"/>
      <c r="J259" s="68"/>
      <c r="K259" s="15"/>
      <c r="L259" s="15"/>
      <c r="M259" s="78"/>
      <c r="N259" s="77"/>
    </row>
    <row r="260" spans="1:26" ht="21" customHeight="1" x14ac:dyDescent="0.2">
      <c r="A260" s="372"/>
      <c r="B260" s="375"/>
      <c r="C260" s="76"/>
      <c r="D260" s="80"/>
      <c r="E260" s="80"/>
      <c r="F260" s="80"/>
      <c r="G260" s="76"/>
      <c r="H260" s="375"/>
      <c r="I260" s="653"/>
      <c r="J260" s="637"/>
      <c r="K260" s="637"/>
      <c r="L260" s="637"/>
      <c r="M260" s="78"/>
      <c r="N260" s="77"/>
    </row>
    <row r="261" spans="1:26" ht="19.5" customHeight="1" x14ac:dyDescent="0.2">
      <c r="A261" s="372"/>
      <c r="B261" s="375"/>
      <c r="C261" s="76"/>
      <c r="D261" s="80"/>
      <c r="E261" s="80"/>
      <c r="F261" s="80"/>
      <c r="G261" s="76"/>
      <c r="H261" s="375"/>
      <c r="I261" s="15" t="s">
        <v>266</v>
      </c>
      <c r="J261" s="68"/>
      <c r="K261" s="15"/>
      <c r="L261" s="15"/>
      <c r="M261" s="78"/>
      <c r="N261" s="77"/>
    </row>
    <row r="262" spans="1:26" ht="19.5" customHeight="1" x14ac:dyDescent="0.2">
      <c r="A262" s="372"/>
      <c r="B262" s="375"/>
      <c r="C262" s="76"/>
      <c r="D262" s="80"/>
      <c r="E262" s="80"/>
      <c r="F262" s="80"/>
      <c r="G262" s="76"/>
      <c r="H262" s="375"/>
      <c r="M262" s="78"/>
      <c r="N262" s="77"/>
    </row>
    <row r="263" spans="1:26" ht="19.5" customHeight="1" x14ac:dyDescent="0.2">
      <c r="A263" s="376"/>
      <c r="B263" s="377"/>
      <c r="C263" s="81"/>
      <c r="D263" s="82"/>
      <c r="E263" s="82"/>
      <c r="F263" s="82"/>
      <c r="G263" s="81"/>
      <c r="H263" s="377"/>
      <c r="I263" s="93"/>
      <c r="J263" s="93"/>
      <c r="K263" s="93"/>
      <c r="L263" s="93"/>
      <c r="M263" s="85"/>
      <c r="N263" s="77"/>
    </row>
    <row r="264" spans="1:26" ht="30" customHeight="1" x14ac:dyDescent="0.25">
      <c r="A264" s="378" t="s">
        <v>268</v>
      </c>
      <c r="B264" s="379" t="s">
        <v>269</v>
      </c>
      <c r="C264" s="380"/>
      <c r="D264" s="86"/>
      <c r="E264" s="86"/>
      <c r="F264" s="86"/>
      <c r="G264" s="87"/>
      <c r="H264" s="87"/>
      <c r="I264" s="88"/>
      <c r="J264" s="89"/>
      <c r="K264" s="88"/>
      <c r="L264" s="88"/>
      <c r="M264" s="90"/>
      <c r="N264" s="91"/>
      <c r="O264" s="92"/>
      <c r="P264" s="92"/>
      <c r="Q264" s="92"/>
      <c r="R264" s="92"/>
      <c r="S264" s="92"/>
      <c r="T264" s="92"/>
      <c r="U264" s="92"/>
      <c r="V264" s="92"/>
      <c r="W264" s="92"/>
      <c r="X264" s="92"/>
      <c r="Y264" s="92"/>
      <c r="Z264" s="92"/>
    </row>
    <row r="265" spans="1:26" ht="18" customHeight="1" x14ac:dyDescent="0.2">
      <c r="A265" s="372"/>
      <c r="B265" s="370"/>
      <c r="C265" s="647"/>
      <c r="D265" s="645"/>
      <c r="E265" s="645"/>
      <c r="F265" s="645"/>
      <c r="G265" s="76"/>
      <c r="H265" s="375"/>
      <c r="I265" s="77"/>
      <c r="J265" s="65"/>
      <c r="K265" s="77"/>
      <c r="L265" s="77"/>
      <c r="M265" s="78"/>
      <c r="N265" s="77"/>
    </row>
    <row r="266" spans="1:26" ht="18" customHeight="1" x14ac:dyDescent="0.2">
      <c r="A266" s="372"/>
      <c r="B266" s="370"/>
      <c r="C266" s="649"/>
      <c r="D266" s="613"/>
      <c r="E266" s="613"/>
      <c r="F266" s="613"/>
      <c r="G266" s="76"/>
      <c r="H266" s="375"/>
      <c r="I266" s="77"/>
      <c r="J266" s="65"/>
      <c r="K266" s="77"/>
      <c r="L266" s="77"/>
      <c r="M266" s="78"/>
      <c r="N266" s="77"/>
    </row>
    <row r="267" spans="1:26" ht="18" customHeight="1" x14ac:dyDescent="0.2">
      <c r="A267" s="372"/>
      <c r="B267" s="370"/>
      <c r="C267" s="649"/>
      <c r="D267" s="613"/>
      <c r="E267" s="613"/>
      <c r="F267" s="613"/>
      <c r="G267" s="76"/>
      <c r="H267" s="375"/>
      <c r="I267" s="77"/>
      <c r="J267" s="65"/>
      <c r="K267" s="77"/>
      <c r="L267" s="77"/>
      <c r="M267" s="78"/>
      <c r="N267" s="77"/>
    </row>
    <row r="268" spans="1:26" ht="18" customHeight="1" x14ac:dyDescent="0.2">
      <c r="A268" s="372"/>
      <c r="B268" s="370"/>
      <c r="C268" s="79"/>
      <c r="D268" s="80"/>
      <c r="E268" s="80"/>
      <c r="F268" s="80"/>
      <c r="G268" s="76"/>
      <c r="H268" s="375"/>
      <c r="I268" s="77"/>
      <c r="J268" s="65"/>
      <c r="K268" s="77"/>
      <c r="L268" s="77"/>
      <c r="M268" s="78"/>
      <c r="N268" s="77"/>
    </row>
    <row r="269" spans="1:26" ht="18" customHeight="1" x14ac:dyDescent="0.2">
      <c r="A269" s="372"/>
      <c r="B269" s="375"/>
      <c r="C269" s="76"/>
      <c r="D269" s="80"/>
      <c r="E269" s="80"/>
      <c r="F269" s="80"/>
      <c r="G269" s="76"/>
      <c r="H269" s="375"/>
      <c r="I269" s="650" t="s">
        <v>270</v>
      </c>
      <c r="J269" s="613"/>
      <c r="K269" s="613"/>
      <c r="L269" s="613"/>
      <c r="M269" s="78"/>
      <c r="N269" s="77"/>
    </row>
    <row r="270" spans="1:26" ht="18" customHeight="1" x14ac:dyDescent="0.2">
      <c r="A270" s="372"/>
      <c r="B270" s="375"/>
      <c r="C270" s="76"/>
      <c r="D270" s="80"/>
      <c r="E270" s="80"/>
      <c r="F270" s="80"/>
      <c r="G270" s="76"/>
      <c r="H270" s="375"/>
      <c r="I270" s="65"/>
      <c r="J270" s="65"/>
      <c r="K270" s="65"/>
      <c r="M270" s="95"/>
      <c r="N270" s="77"/>
    </row>
    <row r="271" spans="1:26" ht="18" customHeight="1" x14ac:dyDescent="0.2">
      <c r="A271" s="372"/>
      <c r="B271" s="375"/>
      <c r="C271" s="76"/>
      <c r="D271" s="80"/>
      <c r="E271" s="80"/>
      <c r="F271" s="80"/>
      <c r="G271" s="76"/>
      <c r="H271" s="375"/>
      <c r="I271" s="77"/>
      <c r="J271" s="65"/>
      <c r="K271" s="77"/>
      <c r="M271" s="78"/>
      <c r="N271" s="77"/>
    </row>
    <row r="272" spans="1:26" ht="18" customHeight="1" x14ac:dyDescent="0.2">
      <c r="A272" s="372"/>
      <c r="B272" s="375"/>
      <c r="C272" s="76"/>
      <c r="D272" s="80"/>
      <c r="E272" s="80"/>
      <c r="F272" s="80"/>
      <c r="G272" s="76"/>
      <c r="H272" s="375"/>
      <c r="I272" s="651"/>
      <c r="J272" s="637"/>
      <c r="K272" s="637"/>
      <c r="L272" s="637"/>
      <c r="M272" s="78"/>
      <c r="N272" s="77"/>
    </row>
    <row r="273" spans="1:14" ht="18" customHeight="1" x14ac:dyDescent="0.2">
      <c r="A273" s="372"/>
      <c r="B273" s="375"/>
      <c r="C273" s="76"/>
      <c r="D273" s="80"/>
      <c r="E273" s="80"/>
      <c r="F273" s="80"/>
      <c r="G273" s="76"/>
      <c r="H273" s="375"/>
      <c r="I273" s="15" t="s">
        <v>266</v>
      </c>
      <c r="J273" s="65"/>
      <c r="M273" s="78"/>
      <c r="N273" s="77"/>
    </row>
    <row r="274" spans="1:14" ht="18" customHeight="1" x14ac:dyDescent="0.2">
      <c r="A274" s="372"/>
      <c r="B274" s="76"/>
      <c r="C274" s="76"/>
      <c r="D274" s="80"/>
      <c r="E274" s="80"/>
      <c r="F274" s="80"/>
      <c r="G274" s="76"/>
      <c r="H274" s="375"/>
      <c r="I274" s="77"/>
      <c r="J274" s="65"/>
      <c r="M274" s="78"/>
      <c r="N274" s="77"/>
    </row>
    <row r="275" spans="1:14" ht="18" customHeight="1" x14ac:dyDescent="0.2">
      <c r="A275" s="372"/>
      <c r="B275" s="76"/>
      <c r="C275" s="76"/>
      <c r="D275" s="80"/>
      <c r="E275" s="80"/>
      <c r="F275" s="80"/>
      <c r="G275" s="76"/>
      <c r="H275" s="375"/>
      <c r="I275" s="77"/>
      <c r="J275" s="65"/>
      <c r="M275" s="78"/>
      <c r="N275" s="77"/>
    </row>
    <row r="276" spans="1:14" ht="19.5" customHeight="1" x14ac:dyDescent="0.2">
      <c r="A276" s="376"/>
      <c r="B276" s="377"/>
      <c r="C276" s="81"/>
      <c r="D276" s="82"/>
      <c r="E276" s="82"/>
      <c r="F276" s="82"/>
      <c r="G276" s="81"/>
      <c r="H276" s="377"/>
      <c r="I276" s="83"/>
      <c r="J276" s="84"/>
      <c r="K276" s="93"/>
      <c r="L276" s="83"/>
      <c r="M276" s="85"/>
      <c r="N276" s="77"/>
    </row>
    <row r="277" spans="1:14" ht="15.75" customHeight="1" x14ac:dyDescent="0.25">
      <c r="A277" s="1"/>
      <c r="B277" s="1"/>
      <c r="C277" s="1"/>
    </row>
    <row r="278" spans="1:14" ht="15.75" customHeight="1" x14ac:dyDescent="0.25">
      <c r="A278" s="1"/>
      <c r="B278" s="1"/>
      <c r="C278" s="1"/>
    </row>
    <row r="279" spans="1:14" ht="15.75" customHeight="1" x14ac:dyDescent="0.25">
      <c r="A279" s="1"/>
      <c r="B279" s="1"/>
      <c r="C279" s="1"/>
    </row>
    <row r="280" spans="1:14" ht="15.75" customHeight="1" x14ac:dyDescent="0.25">
      <c r="A280" s="1"/>
      <c r="B280" s="1"/>
      <c r="C280" s="1"/>
    </row>
    <row r="281" spans="1:14" ht="15.75" customHeight="1" x14ac:dyDescent="0.25">
      <c r="A281" s="1"/>
      <c r="B281" s="1"/>
      <c r="C281" s="1"/>
    </row>
    <row r="282" spans="1:14" ht="15.75" customHeight="1" x14ac:dyDescent="0.25">
      <c r="A282" s="1"/>
      <c r="B282" s="1"/>
      <c r="C282" s="1"/>
    </row>
    <row r="283" spans="1:14" ht="15.75" customHeight="1" x14ac:dyDescent="0.25">
      <c r="A283" s="1"/>
      <c r="B283" s="1"/>
      <c r="C283" s="1"/>
    </row>
    <row r="284" spans="1:14" ht="15.75" customHeight="1" x14ac:dyDescent="0.25">
      <c r="A284" s="1"/>
      <c r="B284" s="1"/>
      <c r="C284" s="1"/>
    </row>
    <row r="285" spans="1:14" ht="15.75" customHeight="1" x14ac:dyDescent="0.25">
      <c r="A285" s="1"/>
      <c r="B285" s="1"/>
      <c r="C285" s="1"/>
    </row>
    <row r="286" spans="1:14" ht="15.75" customHeight="1" x14ac:dyDescent="0.25">
      <c r="A286" s="1"/>
      <c r="B286" s="1"/>
      <c r="C286" s="1"/>
    </row>
    <row r="287" spans="1:14" ht="15.75" customHeight="1" x14ac:dyDescent="0.25">
      <c r="A287" s="1"/>
      <c r="B287" s="1"/>
      <c r="C287" s="1"/>
    </row>
    <row r="288" spans="1:14"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252">
    <mergeCell ref="H6:M6"/>
    <mergeCell ref="A7:M7"/>
    <mergeCell ref="A8:M8"/>
    <mergeCell ref="B14:M14"/>
    <mergeCell ref="B15:E15"/>
    <mergeCell ref="F15:M15"/>
    <mergeCell ref="F16:M16"/>
    <mergeCell ref="B16:E16"/>
    <mergeCell ref="B17:E17"/>
    <mergeCell ref="F17:M17"/>
    <mergeCell ref="F18:M18"/>
    <mergeCell ref="F19:M19"/>
    <mergeCell ref="F20:M20"/>
    <mergeCell ref="F21:H21"/>
    <mergeCell ref="I21:M21"/>
    <mergeCell ref="F22:M22"/>
    <mergeCell ref="C47:G47"/>
    <mergeCell ref="D48:G48"/>
    <mergeCell ref="B18:E18"/>
    <mergeCell ref="B19:E19"/>
    <mergeCell ref="B20:E20"/>
    <mergeCell ref="B21:E21"/>
    <mergeCell ref="B22:E22"/>
    <mergeCell ref="F23:M23"/>
    <mergeCell ref="F24:M24"/>
    <mergeCell ref="F25:M25"/>
    <mergeCell ref="B26:M26"/>
    <mergeCell ref="B27:M27"/>
    <mergeCell ref="C33:G33"/>
    <mergeCell ref="D34:G34"/>
    <mergeCell ref="D36:G36"/>
    <mergeCell ref="C37:G37"/>
    <mergeCell ref="B39:G39"/>
    <mergeCell ref="B23:E23"/>
    <mergeCell ref="B24:E24"/>
    <mergeCell ref="B25:E25"/>
    <mergeCell ref="A27:A30"/>
    <mergeCell ref="B28:G30"/>
    <mergeCell ref="B31:G31"/>
    <mergeCell ref="B32:G32"/>
    <mergeCell ref="D41:G41"/>
    <mergeCell ref="B42:M42"/>
    <mergeCell ref="H28:M28"/>
    <mergeCell ref="H29:J29"/>
    <mergeCell ref="K29:M29"/>
    <mergeCell ref="C40:G40"/>
    <mergeCell ref="A42:A45"/>
    <mergeCell ref="B43:G45"/>
    <mergeCell ref="H43:M43"/>
    <mergeCell ref="H44:J44"/>
    <mergeCell ref="K44:M44"/>
    <mergeCell ref="B46:G46"/>
    <mergeCell ref="E58:G58"/>
    <mergeCell ref="E59:G59"/>
    <mergeCell ref="E60:G60"/>
    <mergeCell ref="E61:G61"/>
    <mergeCell ref="C62:G62"/>
    <mergeCell ref="D63:G63"/>
    <mergeCell ref="D64:G64"/>
    <mergeCell ref="C65:G65"/>
    <mergeCell ref="D52:G52"/>
    <mergeCell ref="E53:G53"/>
    <mergeCell ref="E54:G54"/>
    <mergeCell ref="E55:G55"/>
    <mergeCell ref="E56:G56"/>
    <mergeCell ref="D57:G57"/>
    <mergeCell ref="C49:G49"/>
    <mergeCell ref="D50:G50"/>
    <mergeCell ref="C51:G51"/>
    <mergeCell ref="D66:G66"/>
    <mergeCell ref="C67:G67"/>
    <mergeCell ref="D68:G68"/>
    <mergeCell ref="C69:G69"/>
    <mergeCell ref="D70:G70"/>
    <mergeCell ref="D71:G71"/>
    <mergeCell ref="C72:G72"/>
    <mergeCell ref="D73:G73"/>
    <mergeCell ref="C74:G74"/>
    <mergeCell ref="D75:G75"/>
    <mergeCell ref="D76:G76"/>
    <mergeCell ref="D77:G77"/>
    <mergeCell ref="D78:G78"/>
    <mergeCell ref="D79:G79"/>
    <mergeCell ref="D80:G80"/>
    <mergeCell ref="D81:G81"/>
    <mergeCell ref="D82:G82"/>
    <mergeCell ref="C83:G83"/>
    <mergeCell ref="D84:G84"/>
    <mergeCell ref="D85:G85"/>
    <mergeCell ref="C86:G86"/>
    <mergeCell ref="D87:G87"/>
    <mergeCell ref="D88:G88"/>
    <mergeCell ref="A89:A92"/>
    <mergeCell ref="B89:M89"/>
    <mergeCell ref="H90:M90"/>
    <mergeCell ref="H91:J91"/>
    <mergeCell ref="K91:M91"/>
    <mergeCell ref="B90:G92"/>
    <mergeCell ref="B93:G93"/>
    <mergeCell ref="C94:G94"/>
    <mergeCell ref="D95:G95"/>
    <mergeCell ref="D96:G96"/>
    <mergeCell ref="D97:G97"/>
    <mergeCell ref="D98:G98"/>
    <mergeCell ref="D99:G99"/>
    <mergeCell ref="D100:G100"/>
    <mergeCell ref="D101:G101"/>
    <mergeCell ref="B102:G102"/>
    <mergeCell ref="C103:G103"/>
    <mergeCell ref="D104:G104"/>
    <mergeCell ref="E105:G105"/>
    <mergeCell ref="F106:G106"/>
    <mergeCell ref="F107:G107"/>
    <mergeCell ref="F108:G108"/>
    <mergeCell ref="E109:G109"/>
    <mergeCell ref="F110:G110"/>
    <mergeCell ref="F111:G111"/>
    <mergeCell ref="F112:G112"/>
    <mergeCell ref="E113:G113"/>
    <mergeCell ref="F114:G114"/>
    <mergeCell ref="F117:G117"/>
    <mergeCell ref="E120:G120"/>
    <mergeCell ref="D121:G121"/>
    <mergeCell ref="C122:G122"/>
    <mergeCell ref="D123:G123"/>
    <mergeCell ref="C124:G124"/>
    <mergeCell ref="D125:G125"/>
    <mergeCell ref="C126:G126"/>
    <mergeCell ref="D127:G127"/>
    <mergeCell ref="D128:G128"/>
    <mergeCell ref="C129:G129"/>
    <mergeCell ref="D130:G130"/>
    <mergeCell ref="D131:G131"/>
    <mergeCell ref="D132:G132"/>
    <mergeCell ref="B133:G133"/>
    <mergeCell ref="C134:G134"/>
    <mergeCell ref="D135:G135"/>
    <mergeCell ref="C136:G136"/>
    <mergeCell ref="D137:G137"/>
    <mergeCell ref="C138:G138"/>
    <mergeCell ref="A139:A142"/>
    <mergeCell ref="B139:M139"/>
    <mergeCell ref="B140:G142"/>
    <mergeCell ref="H140:M140"/>
    <mergeCell ref="H141:J141"/>
    <mergeCell ref="K141:M141"/>
    <mergeCell ref="B143:G143"/>
    <mergeCell ref="D144:G144"/>
    <mergeCell ref="E145:G145"/>
    <mergeCell ref="F146:G146"/>
    <mergeCell ref="F147:G147"/>
    <mergeCell ref="F148:G148"/>
    <mergeCell ref="E149:G149"/>
    <mergeCell ref="F150:G150"/>
    <mergeCell ref="F151:G151"/>
    <mergeCell ref="F152:G152"/>
    <mergeCell ref="D153:G153"/>
    <mergeCell ref="C154:G154"/>
    <mergeCell ref="D155:G155"/>
    <mergeCell ref="D156:G156"/>
    <mergeCell ref="B200:G200"/>
    <mergeCell ref="C201:G201"/>
    <mergeCell ref="D202:G202"/>
    <mergeCell ref="E203:G203"/>
    <mergeCell ref="D157:G157"/>
    <mergeCell ref="C158:G158"/>
    <mergeCell ref="D159:G159"/>
    <mergeCell ref="B160:G160"/>
    <mergeCell ref="B161:G161"/>
    <mergeCell ref="C162:G162"/>
    <mergeCell ref="D163:G163"/>
    <mergeCell ref="D164:G164"/>
    <mergeCell ref="C165:G165"/>
    <mergeCell ref="D166:G166"/>
    <mergeCell ref="E167:G167"/>
    <mergeCell ref="E168:G168"/>
    <mergeCell ref="D169:G169"/>
    <mergeCell ref="E170:G170"/>
    <mergeCell ref="E171:G171"/>
    <mergeCell ref="E204:G204"/>
    <mergeCell ref="E205:G205"/>
    <mergeCell ref="D206:G206"/>
    <mergeCell ref="E207:G207"/>
    <mergeCell ref="E208:G208"/>
    <mergeCell ref="E209:G209"/>
    <mergeCell ref="C210:G210"/>
    <mergeCell ref="D211:G211"/>
    <mergeCell ref="D212:G212"/>
    <mergeCell ref="D213:G213"/>
    <mergeCell ref="C214:G214"/>
    <mergeCell ref="C218:G218"/>
    <mergeCell ref="D219:G219"/>
    <mergeCell ref="A220:G220"/>
    <mergeCell ref="A221:G221"/>
    <mergeCell ref="C224:G224"/>
    <mergeCell ref="C225:G225"/>
    <mergeCell ref="C226:G226"/>
    <mergeCell ref="C227:G227"/>
    <mergeCell ref="H229:M230"/>
    <mergeCell ref="O229:S231"/>
    <mergeCell ref="H233:M233"/>
    <mergeCell ref="O233:S234"/>
    <mergeCell ref="H234:M234"/>
    <mergeCell ref="H242:M242"/>
    <mergeCell ref="Q242:Y244"/>
    <mergeCell ref="Q245:Y247"/>
    <mergeCell ref="H246:M246"/>
    <mergeCell ref="H247:M247"/>
    <mergeCell ref="C250:F250"/>
    <mergeCell ref="I251:L251"/>
    <mergeCell ref="C265:F265"/>
    <mergeCell ref="C266:F266"/>
    <mergeCell ref="C267:F267"/>
    <mergeCell ref="I269:L269"/>
    <mergeCell ref="I272:L272"/>
    <mergeCell ref="C251:F251"/>
    <mergeCell ref="C252:F252"/>
    <mergeCell ref="I253:L253"/>
    <mergeCell ref="I254:L254"/>
    <mergeCell ref="I257:L257"/>
    <mergeCell ref="I258:L258"/>
    <mergeCell ref="I260:L260"/>
    <mergeCell ref="C172:G172"/>
    <mergeCell ref="D173:G173"/>
    <mergeCell ref="E174:G174"/>
    <mergeCell ref="E175:G175"/>
    <mergeCell ref="E176:G176"/>
    <mergeCell ref="D177:G177"/>
    <mergeCell ref="E178:G178"/>
    <mergeCell ref="E179:G179"/>
    <mergeCell ref="E180:G180"/>
    <mergeCell ref="C181:G181"/>
    <mergeCell ref="D182:G182"/>
    <mergeCell ref="C183:G183"/>
    <mergeCell ref="D184:G184"/>
    <mergeCell ref="D185:G185"/>
    <mergeCell ref="C186:G186"/>
    <mergeCell ref="D187:G187"/>
    <mergeCell ref="D188:G188"/>
    <mergeCell ref="C189:G189"/>
    <mergeCell ref="A196:A199"/>
    <mergeCell ref="B196:M196"/>
    <mergeCell ref="B197:G199"/>
    <mergeCell ref="D190:G190"/>
    <mergeCell ref="E191:G191"/>
    <mergeCell ref="H197:M197"/>
    <mergeCell ref="H198:J198"/>
    <mergeCell ref="K198:M198"/>
    <mergeCell ref="E192:G192"/>
    <mergeCell ref="D193:G193"/>
    <mergeCell ref="E194:G194"/>
    <mergeCell ref="E195:G195"/>
  </mergeCells>
  <conditionalFormatting sqref="D10:D12">
    <cfRule type="expression" dxfId="373" priority="1">
      <formula>$D10="-"</formula>
    </cfRule>
  </conditionalFormatting>
  <conditionalFormatting sqref="F15:F18">
    <cfRule type="expression" dxfId="372" priority="2">
      <formula>F15=""</formula>
    </cfRule>
  </conditionalFormatting>
  <conditionalFormatting sqref="F19:F20">
    <cfRule type="expression" dxfId="371" priority="3">
      <formula>F19=""</formula>
    </cfRule>
  </conditionalFormatting>
  <conditionalFormatting sqref="F22">
    <cfRule type="expression" dxfId="370" priority="4">
      <formula>$F22=""</formula>
    </cfRule>
  </conditionalFormatting>
  <conditionalFormatting sqref="F23:F24">
    <cfRule type="expression" dxfId="369" priority="5">
      <formula>F23=""</formula>
    </cfRule>
  </conditionalFormatting>
  <conditionalFormatting sqref="F25">
    <cfRule type="expression" dxfId="368" priority="6">
      <formula>$F$25=""</formula>
    </cfRule>
  </conditionalFormatting>
  <conditionalFormatting sqref="F21:H21">
    <cfRule type="expression" dxfId="367" priority="7">
      <formula>F21=""</formula>
    </cfRule>
  </conditionalFormatting>
  <conditionalFormatting sqref="H229:M230">
    <cfRule type="expression" dxfId="366" priority="8">
      <formula>$F$22=""</formula>
    </cfRule>
  </conditionalFormatting>
  <conditionalFormatting sqref="H233:M233">
    <cfRule type="expression" dxfId="365" priority="9">
      <formula>$H$233=""</formula>
    </cfRule>
  </conditionalFormatting>
  <conditionalFormatting sqref="H234:M234">
    <cfRule type="expression" dxfId="364" priority="10">
      <formula>$H$234=""</formula>
    </cfRule>
  </conditionalFormatting>
  <conditionalFormatting sqref="I11 I13">
    <cfRule type="expression" dxfId="363" priority="11">
      <formula>$I11=""</formula>
    </cfRule>
  </conditionalFormatting>
  <conditionalFormatting sqref="I21">
    <cfRule type="expression" dxfId="362" priority="12">
      <formula>I21=""</formula>
    </cfRule>
  </conditionalFormatting>
  <conditionalFormatting sqref="K11 K13">
    <cfRule type="expression" dxfId="361" priority="13">
      <formula>$K11=""</formula>
    </cfRule>
  </conditionalFormatting>
  <dataValidations count="3">
    <dataValidation type="list" allowBlank="1" showErrorMessage="1" sqref="F21" xr:uid="{00000000-0002-0000-0000-000002000000}">
      <formula1>"Tenaga Pengajar,Asisten Ahli,Lektor,Lektor Kepala"</formula1>
    </dataValidation>
    <dataValidation type="list" allowBlank="1" showErrorMessage="1" sqref="F20" xr:uid="{00000000-0002-0000-0000-000003000000}">
      <formula1>"Magister (S2),Doktor (S3)"</formula1>
    </dataValidation>
    <dataValidation type="list" allowBlank="1" showErrorMessage="1" sqref="F19" xr:uid="{00000000-0002-0000-0000-000005000000}">
      <formula1>"Laki-laki,Perempuan"</formula1>
    </dataValidation>
  </dataValidations>
  <pageMargins left="0.7" right="0.7" top="0.52" bottom="0.49" header="0" footer="0"/>
  <pageSetup paperSize="9" scale="9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List!$H$2:$H$14</xm:f>
          </x14:formula1>
          <xm:sqref>I11 I13</xm:sqref>
        </x14:dataValidation>
        <x14:dataValidation type="list" allowBlank="1" showErrorMessage="1" xr:uid="{00000000-0002-0000-0000-000001000000}">
          <x14:formula1>
            <xm:f>List!$J$2:$J$100</xm:f>
          </x14:formula1>
          <xm:sqref>K13 K11</xm:sqref>
        </x14:dataValidation>
        <x14:dataValidation type="list" allowBlank="1" showErrorMessage="1" xr:uid="{00000000-0002-0000-0000-000004000000}">
          <x14:formula1>
            <xm:f>List!$C$2:$C$100</xm:f>
          </x14:formula1>
          <xm:sqref>F22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41"/>
  <sheetViews>
    <sheetView showGridLines="0" tabSelected="1" topLeftCell="A28" zoomScale="114" zoomScaleNormal="150" workbookViewId="0">
      <selection activeCell="D39" sqref="D39"/>
    </sheetView>
  </sheetViews>
  <sheetFormatPr defaultColWidth="12.625" defaultRowHeight="15" customHeight="1" x14ac:dyDescent="0.2"/>
  <cols>
    <col min="1" max="1" width="4.625" customWidth="1"/>
    <col min="2" max="2" width="34.625" customWidth="1"/>
    <col min="3" max="3" width="12.625" customWidth="1"/>
    <col min="4" max="6" width="9.125" customWidth="1"/>
    <col min="7" max="7" width="13.5" customWidth="1"/>
    <col min="8" max="8" width="28.625" customWidth="1"/>
    <col min="9" max="9" width="26.375" customWidth="1"/>
    <col min="10" max="10" width="18" customWidth="1"/>
    <col min="11" max="11" width="11" customWidth="1"/>
    <col min="12" max="12" width="7.625" customWidth="1"/>
    <col min="13" max="13" width="10.5" customWidth="1"/>
    <col min="14" max="14" width="9.625" customWidth="1"/>
    <col min="15" max="15" width="10.125" customWidth="1"/>
    <col min="16" max="20" width="7.625" customWidth="1"/>
    <col min="21" max="21" width="8" hidden="1" customWidth="1"/>
    <col min="22" max="26" width="7.625" customWidth="1"/>
  </cols>
  <sheetData>
    <row r="1" spans="1:26" x14ac:dyDescent="0.25">
      <c r="B1" s="2"/>
      <c r="C1" s="2"/>
      <c r="D1" s="2"/>
      <c r="E1" s="2"/>
      <c r="G1" s="2" t="s">
        <v>271</v>
      </c>
      <c r="H1" s="2"/>
      <c r="U1" s="2" t="s">
        <v>272</v>
      </c>
    </row>
    <row r="2" spans="1:26" x14ac:dyDescent="0.25">
      <c r="B2" s="2"/>
      <c r="C2" s="2"/>
      <c r="D2" s="2"/>
      <c r="E2" s="2"/>
      <c r="G2" s="2" t="s">
        <v>1</v>
      </c>
      <c r="H2" s="2"/>
      <c r="U2" s="2" t="s">
        <v>273</v>
      </c>
    </row>
    <row r="3" spans="1:26" x14ac:dyDescent="0.25">
      <c r="B3" s="2"/>
      <c r="C3" s="2"/>
      <c r="D3" s="2"/>
      <c r="E3" s="2"/>
      <c r="G3" s="2" t="s">
        <v>2</v>
      </c>
      <c r="H3" s="2"/>
      <c r="U3" s="2" t="s">
        <v>274</v>
      </c>
    </row>
    <row r="4" spans="1:26" x14ac:dyDescent="0.25">
      <c r="B4" s="2"/>
      <c r="C4" s="2"/>
      <c r="D4" s="2"/>
      <c r="E4" s="2"/>
      <c r="G4" s="2" t="s">
        <v>3</v>
      </c>
      <c r="H4" s="2"/>
      <c r="U4" s="2" t="s">
        <v>275</v>
      </c>
    </row>
    <row r="5" spans="1:26" x14ac:dyDescent="0.25">
      <c r="B5" s="2"/>
      <c r="C5" s="2"/>
      <c r="D5" s="2"/>
      <c r="E5" s="2"/>
      <c r="G5" s="2" t="s">
        <v>4</v>
      </c>
      <c r="H5" s="2"/>
      <c r="U5" s="2" t="s">
        <v>276</v>
      </c>
    </row>
    <row r="6" spans="1:26" ht="170.25" customHeight="1" x14ac:dyDescent="0.25">
      <c r="B6" s="2"/>
      <c r="C6" s="2"/>
      <c r="D6" s="2"/>
      <c r="E6" s="2"/>
      <c r="G6" s="627" t="s">
        <v>5</v>
      </c>
      <c r="H6" s="613"/>
      <c r="U6" s="2" t="s">
        <v>277</v>
      </c>
    </row>
    <row r="7" spans="1:26" x14ac:dyDescent="0.25">
      <c r="U7" s="2" t="s">
        <v>278</v>
      </c>
    </row>
    <row r="8" spans="1:26" ht="15.75" customHeight="1" x14ac:dyDescent="0.25">
      <c r="A8" s="628" t="s">
        <v>279</v>
      </c>
      <c r="B8" s="613"/>
      <c r="C8" s="613"/>
      <c r="D8" s="613"/>
      <c r="E8" s="613"/>
      <c r="F8" s="613"/>
      <c r="G8" s="613"/>
      <c r="H8" s="613"/>
      <c r="I8" s="4"/>
      <c r="J8" s="4"/>
      <c r="K8" s="4"/>
      <c r="L8" s="4"/>
      <c r="M8" s="4"/>
      <c r="N8" s="4"/>
      <c r="O8" s="4"/>
      <c r="P8" s="4"/>
      <c r="Q8" s="4"/>
      <c r="R8" s="4"/>
      <c r="S8" s="4"/>
      <c r="T8" s="4"/>
      <c r="U8" s="2" t="s">
        <v>280</v>
      </c>
      <c r="V8" s="4"/>
      <c r="W8" s="4"/>
      <c r="X8" s="4"/>
      <c r="Y8" s="4"/>
      <c r="Z8" s="4"/>
    </row>
    <row r="9" spans="1:26" ht="15.75" customHeight="1" x14ac:dyDescent="0.25">
      <c r="A9" s="628" t="s">
        <v>281</v>
      </c>
      <c r="B9" s="613"/>
      <c r="C9" s="613"/>
      <c r="D9" s="613"/>
      <c r="E9" s="613"/>
      <c r="F9" s="613"/>
      <c r="G9" s="613"/>
      <c r="H9" s="613"/>
      <c r="I9" s="4"/>
      <c r="J9" s="4"/>
      <c r="K9" s="4"/>
      <c r="L9" s="4"/>
      <c r="M9" s="4"/>
      <c r="N9" s="4"/>
      <c r="O9" s="4"/>
      <c r="P9" s="4"/>
      <c r="Q9" s="4"/>
      <c r="R9" s="4"/>
      <c r="S9" s="4"/>
      <c r="T9" s="4"/>
      <c r="U9" s="4"/>
      <c r="V9" s="4"/>
      <c r="W9" s="4"/>
      <c r="X9" s="4"/>
      <c r="Y9" s="4"/>
      <c r="Z9" s="4"/>
    </row>
    <row r="10" spans="1:26" ht="17.25" customHeight="1" x14ac:dyDescent="0.25">
      <c r="A10" s="626" t="s">
        <v>282</v>
      </c>
      <c r="B10" s="615"/>
      <c r="C10" s="615"/>
      <c r="D10" s="615"/>
      <c r="E10" s="615"/>
      <c r="F10" s="615"/>
      <c r="G10" s="615"/>
      <c r="H10" s="616"/>
      <c r="I10" s="4"/>
      <c r="J10" s="4"/>
      <c r="K10" s="4"/>
      <c r="L10" s="4"/>
      <c r="M10" s="4"/>
      <c r="N10" s="4"/>
      <c r="O10" s="4"/>
      <c r="P10" s="4"/>
      <c r="Q10" s="4"/>
      <c r="R10" s="4"/>
      <c r="S10" s="4"/>
      <c r="T10" s="4"/>
      <c r="U10" s="4"/>
      <c r="V10" s="4"/>
      <c r="W10" s="4"/>
      <c r="X10" s="4"/>
      <c r="Y10" s="4"/>
      <c r="Z10" s="4"/>
    </row>
    <row r="11" spans="1:26" ht="15" customHeight="1" x14ac:dyDescent="0.25">
      <c r="A11" s="96">
        <v>1</v>
      </c>
      <c r="B11" s="97" t="s">
        <v>19</v>
      </c>
      <c r="C11" s="624"/>
      <c r="D11" s="615"/>
      <c r="E11" s="615"/>
      <c r="F11" s="615"/>
      <c r="G11" s="615"/>
      <c r="H11" s="616"/>
      <c r="I11" s="4"/>
      <c r="J11" s="4"/>
      <c r="K11" s="4"/>
      <c r="L11" s="4"/>
      <c r="M11" s="4"/>
      <c r="N11" s="4"/>
      <c r="O11" s="4"/>
      <c r="P11" s="4"/>
      <c r="Q11" s="4"/>
      <c r="R11" s="4"/>
      <c r="S11" s="4"/>
      <c r="T11" s="4"/>
      <c r="U11" s="4"/>
      <c r="V11" s="4"/>
      <c r="W11" s="4"/>
      <c r="X11" s="4"/>
      <c r="Y11" s="4"/>
      <c r="Z11" s="4"/>
    </row>
    <row r="12" spans="1:26" x14ac:dyDescent="0.25">
      <c r="A12" s="96">
        <v>2</v>
      </c>
      <c r="B12" s="97" t="s">
        <v>283</v>
      </c>
      <c r="C12" s="624"/>
      <c r="D12" s="615"/>
      <c r="E12" s="615"/>
      <c r="F12" s="615"/>
      <c r="G12" s="615"/>
      <c r="H12" s="616"/>
      <c r="I12" s="4"/>
      <c r="J12" s="4"/>
      <c r="K12" s="4"/>
      <c r="L12" s="4"/>
      <c r="M12" s="4"/>
      <c r="N12" s="4"/>
      <c r="O12" s="4"/>
      <c r="P12" s="4"/>
      <c r="Q12" s="4"/>
      <c r="R12" s="4"/>
      <c r="S12" s="4"/>
      <c r="T12" s="4"/>
      <c r="U12" s="4"/>
      <c r="V12" s="4"/>
      <c r="W12" s="4"/>
      <c r="X12" s="4"/>
      <c r="Y12" s="4"/>
      <c r="Z12" s="4"/>
    </row>
    <row r="13" spans="1:26" ht="15" customHeight="1" x14ac:dyDescent="0.25">
      <c r="A13" s="96">
        <v>3</v>
      </c>
      <c r="B13" s="98" t="s">
        <v>284</v>
      </c>
      <c r="C13" s="624"/>
      <c r="D13" s="615"/>
      <c r="E13" s="615"/>
      <c r="F13" s="615"/>
      <c r="G13" s="615"/>
      <c r="H13" s="616"/>
      <c r="I13" s="4"/>
      <c r="J13" s="4"/>
      <c r="K13" s="4"/>
      <c r="L13" s="4"/>
      <c r="M13" s="4"/>
      <c r="N13" s="4"/>
      <c r="O13" s="4"/>
      <c r="P13" s="4"/>
      <c r="Q13" s="4"/>
      <c r="R13" s="4"/>
      <c r="S13" s="4"/>
      <c r="T13" s="4"/>
      <c r="U13" s="4"/>
      <c r="V13" s="4"/>
      <c r="W13" s="4"/>
      <c r="X13" s="4"/>
      <c r="Y13" s="4"/>
      <c r="Z13" s="4"/>
    </row>
    <row r="14" spans="1:26" x14ac:dyDescent="0.25">
      <c r="A14" s="96">
        <v>4</v>
      </c>
      <c r="B14" s="98" t="s">
        <v>285</v>
      </c>
      <c r="C14" s="625"/>
      <c r="D14" s="615"/>
      <c r="E14" s="615"/>
      <c r="F14" s="615"/>
      <c r="G14" s="615"/>
      <c r="H14" s="616"/>
      <c r="I14" s="4"/>
      <c r="J14" s="4"/>
      <c r="K14" s="4"/>
      <c r="L14" s="4"/>
      <c r="M14" s="4"/>
      <c r="N14" s="4"/>
      <c r="O14" s="4"/>
      <c r="P14" s="4"/>
      <c r="Q14" s="4"/>
      <c r="R14" s="4"/>
      <c r="S14" s="4"/>
      <c r="T14" s="4"/>
      <c r="U14" s="4"/>
      <c r="V14" s="4"/>
      <c r="W14" s="4"/>
      <c r="X14" s="4"/>
      <c r="Y14" s="4"/>
      <c r="Z14" s="4"/>
    </row>
    <row r="15" spans="1:26" ht="15" customHeight="1" x14ac:dyDescent="0.25">
      <c r="A15" s="96">
        <v>5</v>
      </c>
      <c r="B15" s="98" t="s">
        <v>286</v>
      </c>
      <c r="C15" s="624"/>
      <c r="D15" s="615"/>
      <c r="E15" s="615"/>
      <c r="F15" s="615"/>
      <c r="G15" s="615"/>
      <c r="H15" s="616"/>
      <c r="I15" s="4"/>
      <c r="J15" s="4"/>
      <c r="K15" s="4"/>
      <c r="L15" s="4"/>
      <c r="M15" s="4"/>
      <c r="N15" s="4"/>
      <c r="O15" s="4"/>
      <c r="P15" s="4"/>
      <c r="Q15" s="4"/>
      <c r="R15" s="4"/>
      <c r="S15" s="4"/>
      <c r="T15" s="4"/>
      <c r="U15" s="4"/>
      <c r="V15" s="4"/>
      <c r="W15" s="4"/>
      <c r="X15" s="4"/>
      <c r="Y15" s="4"/>
      <c r="Z15" s="4"/>
    </row>
    <row r="16" spans="1:26" ht="16.5" customHeight="1" x14ac:dyDescent="0.25">
      <c r="A16" s="626" t="s">
        <v>287</v>
      </c>
      <c r="B16" s="615"/>
      <c r="C16" s="615"/>
      <c r="D16" s="615"/>
      <c r="E16" s="615"/>
      <c r="F16" s="615"/>
      <c r="G16" s="615"/>
      <c r="H16" s="616"/>
      <c r="I16" s="4"/>
      <c r="J16" s="7"/>
      <c r="K16" s="4"/>
      <c r="L16" s="4"/>
      <c r="M16" s="4"/>
      <c r="N16" s="4"/>
      <c r="O16" s="4"/>
      <c r="P16" s="4"/>
      <c r="Q16" s="4"/>
      <c r="R16" s="4"/>
      <c r="S16" s="4"/>
      <c r="T16" s="4"/>
      <c r="U16" s="4"/>
      <c r="V16" s="4"/>
      <c r="W16" s="4"/>
      <c r="X16" s="4"/>
      <c r="Y16" s="4"/>
      <c r="Z16" s="4"/>
    </row>
    <row r="17" spans="1:26" ht="15" customHeight="1" x14ac:dyDescent="0.25">
      <c r="A17" s="96">
        <v>1</v>
      </c>
      <c r="B17" s="97" t="s">
        <v>19</v>
      </c>
      <c r="C17" s="624" t="str">
        <f>IF('LAMPIRAN I DONE'!F15&lt;&gt;"",'LAMPIRAN I DONE'!F15,"")</f>
        <v>Dahliar Ananda</v>
      </c>
      <c r="D17" s="615"/>
      <c r="E17" s="615"/>
      <c r="F17" s="615"/>
      <c r="G17" s="615"/>
      <c r="H17" s="616"/>
      <c r="I17" s="4"/>
      <c r="J17" s="2"/>
      <c r="K17" s="4"/>
      <c r="L17" s="4"/>
      <c r="M17" s="4"/>
      <c r="N17" s="4"/>
      <c r="O17" s="4"/>
      <c r="P17" s="4"/>
      <c r="Q17" s="4"/>
      <c r="R17" s="4"/>
      <c r="S17" s="4"/>
      <c r="T17" s="4"/>
      <c r="U17" s="4"/>
      <c r="V17" s="4"/>
      <c r="W17" s="4"/>
      <c r="X17" s="4"/>
      <c r="Y17" s="4"/>
      <c r="Z17" s="4"/>
    </row>
    <row r="18" spans="1:26" ht="15" customHeight="1" x14ac:dyDescent="0.25">
      <c r="A18" s="96">
        <v>2</v>
      </c>
      <c r="B18" s="97" t="s">
        <v>283</v>
      </c>
      <c r="C18" s="624" t="str">
        <f>IF('LAMPIRAN I DONE'!F16&lt;&gt;"",'LAMPIRAN I DONE'!F16,"")</f>
        <v>0402058203 / 09820030</v>
      </c>
      <c r="D18" s="615"/>
      <c r="E18" s="615"/>
      <c r="F18" s="615"/>
      <c r="G18" s="615"/>
      <c r="H18" s="616"/>
      <c r="I18" s="4"/>
      <c r="J18" s="4"/>
      <c r="K18" s="4"/>
      <c r="L18" s="4"/>
      <c r="M18" s="4"/>
      <c r="N18" s="4"/>
      <c r="O18" s="4"/>
      <c r="P18" s="4"/>
      <c r="Q18" s="4"/>
      <c r="R18" s="4"/>
      <c r="S18" s="4"/>
      <c r="T18" s="4"/>
      <c r="U18" s="4"/>
      <c r="V18" s="4"/>
      <c r="W18" s="4"/>
      <c r="X18" s="4"/>
      <c r="Y18" s="4"/>
      <c r="Z18" s="4"/>
    </row>
    <row r="19" spans="1:26" x14ac:dyDescent="0.25">
      <c r="A19" s="96">
        <v>3</v>
      </c>
      <c r="B19" s="97" t="s">
        <v>284</v>
      </c>
      <c r="C19" s="624" t="s">
        <v>26</v>
      </c>
      <c r="D19" s="615"/>
      <c r="E19" s="615"/>
      <c r="F19" s="615"/>
      <c r="G19" s="615"/>
      <c r="H19" s="616"/>
      <c r="I19" s="2" t="s">
        <v>13</v>
      </c>
      <c r="K19" s="4"/>
      <c r="L19" s="4"/>
      <c r="M19" s="4"/>
      <c r="N19" s="4"/>
      <c r="O19" s="4"/>
      <c r="P19" s="4"/>
      <c r="Q19" s="4"/>
      <c r="R19" s="4"/>
      <c r="S19" s="4"/>
      <c r="T19" s="4"/>
      <c r="U19" s="4"/>
      <c r="V19" s="4"/>
      <c r="W19" s="4"/>
      <c r="X19" s="4"/>
      <c r="Y19" s="4"/>
      <c r="Z19" s="4"/>
    </row>
    <row r="20" spans="1:26" x14ac:dyDescent="0.25">
      <c r="A20" s="96">
        <v>4</v>
      </c>
      <c r="B20" s="97" t="s">
        <v>288</v>
      </c>
      <c r="C20" s="624" t="str">
        <f>IF('LAMPIRAN I DONE'!F21&lt;&gt;"",'LAMPIRAN I DONE'!F21,"")</f>
        <v>Lektor</v>
      </c>
      <c r="D20" s="615"/>
      <c r="E20" s="615"/>
      <c r="F20" s="615"/>
      <c r="G20" s="615"/>
      <c r="H20" s="616"/>
      <c r="I20" s="315"/>
      <c r="J20" s="315" t="s">
        <v>289</v>
      </c>
      <c r="K20" s="390"/>
      <c r="L20" s="390"/>
      <c r="M20" s="390"/>
      <c r="N20" s="390"/>
      <c r="O20" s="390"/>
      <c r="P20" s="390"/>
      <c r="Q20" s="4"/>
      <c r="R20" s="4"/>
      <c r="S20" s="4"/>
      <c r="T20" s="4"/>
      <c r="U20" s="4"/>
      <c r="V20" s="4"/>
      <c r="W20" s="4"/>
      <c r="X20" s="4"/>
      <c r="Y20" s="4"/>
      <c r="Z20" s="4"/>
    </row>
    <row r="21" spans="1:26" ht="15" customHeight="1" x14ac:dyDescent="0.25">
      <c r="A21" s="96">
        <v>5</v>
      </c>
      <c r="B21" s="97" t="s">
        <v>286</v>
      </c>
      <c r="C21" s="624" t="str">
        <f>IF('LAMPIRAN I DONE'!F25&lt;&gt;"",'LAMPIRAN I DONE'!F25,"")</f>
        <v>S1 Rekayasa Perangkat Lunak Kampus Surabaya Fakultas Informatika di Universitas Telkom pada LLDIKTI Wilayah IV Jawa Barat dan Banten</v>
      </c>
      <c r="D21" s="615"/>
      <c r="E21" s="615"/>
      <c r="F21" s="615"/>
      <c r="G21" s="615"/>
      <c r="H21" s="616"/>
      <c r="I21" s="317"/>
      <c r="J21" s="317" t="s">
        <v>18</v>
      </c>
      <c r="K21" s="391"/>
      <c r="L21" s="391"/>
      <c r="M21" s="391"/>
      <c r="N21" s="391"/>
      <c r="O21" s="391"/>
      <c r="P21" s="391"/>
      <c r="Q21" s="4"/>
      <c r="R21" s="4"/>
      <c r="S21" s="4"/>
      <c r="T21" s="4"/>
      <c r="U21" s="4"/>
      <c r="V21" s="4"/>
      <c r="W21" s="4"/>
      <c r="X21" s="4"/>
      <c r="Y21" s="4"/>
      <c r="Z21" s="4"/>
    </row>
    <row r="22" spans="1:26" ht="15.75" customHeight="1" x14ac:dyDescent="0.25">
      <c r="A22" s="622" t="s">
        <v>290</v>
      </c>
      <c r="B22" s="615"/>
      <c r="C22" s="615"/>
      <c r="D22" s="615"/>
      <c r="E22" s="615"/>
      <c r="F22" s="615"/>
      <c r="G22" s="615"/>
      <c r="H22" s="616"/>
      <c r="I22" s="319"/>
      <c r="J22" s="320" t="s">
        <v>291</v>
      </c>
      <c r="K22" s="319"/>
      <c r="L22" s="319"/>
      <c r="M22" s="319"/>
      <c r="N22" s="319"/>
      <c r="O22" s="319"/>
      <c r="P22" s="319"/>
      <c r="Q22" s="4"/>
      <c r="R22" s="4"/>
      <c r="S22" s="4"/>
      <c r="T22" s="4"/>
      <c r="U22" s="4"/>
      <c r="V22" s="4"/>
      <c r="W22" s="4"/>
      <c r="X22" s="4"/>
      <c r="Y22" s="4"/>
      <c r="Z22" s="4"/>
    </row>
    <row r="23" spans="1:26" ht="43.5" customHeight="1" x14ac:dyDescent="0.25">
      <c r="A23" s="99" t="s">
        <v>45</v>
      </c>
      <c r="B23" s="393" t="s">
        <v>292</v>
      </c>
      <c r="C23" s="99" t="s">
        <v>293</v>
      </c>
      <c r="D23" s="99" t="s">
        <v>294</v>
      </c>
      <c r="E23" s="99" t="s">
        <v>295</v>
      </c>
      <c r="F23" s="99" t="s">
        <v>296</v>
      </c>
      <c r="G23" s="99" t="s">
        <v>297</v>
      </c>
      <c r="H23" s="99" t="s">
        <v>298</v>
      </c>
      <c r="I23" s="4"/>
      <c r="J23" s="623" t="s">
        <v>299</v>
      </c>
      <c r="K23" s="613"/>
      <c r="L23" s="4"/>
      <c r="M23" s="4"/>
      <c r="N23" s="4"/>
      <c r="O23" s="4"/>
      <c r="P23" s="4"/>
      <c r="Q23" s="4"/>
      <c r="R23" s="4"/>
      <c r="S23" s="4"/>
      <c r="T23" s="4"/>
      <c r="U23" s="4"/>
      <c r="V23" s="4"/>
      <c r="W23" s="4"/>
      <c r="X23" s="4"/>
      <c r="Y23" s="4"/>
      <c r="Z23" s="4"/>
    </row>
    <row r="24" spans="1:26" ht="12" customHeight="1" x14ac:dyDescent="0.25">
      <c r="A24" s="100">
        <v>1</v>
      </c>
      <c r="B24" s="100">
        <v>2</v>
      </c>
      <c r="C24" s="100">
        <v>3</v>
      </c>
      <c r="D24" s="100">
        <v>4</v>
      </c>
      <c r="E24" s="100"/>
      <c r="F24" s="100"/>
      <c r="G24" s="100">
        <v>5</v>
      </c>
      <c r="H24" s="100">
        <v>6</v>
      </c>
      <c r="I24" s="4"/>
      <c r="J24" s="4"/>
      <c r="K24" s="4"/>
      <c r="L24" s="4"/>
      <c r="M24" s="4"/>
      <c r="N24" s="4"/>
      <c r="O24" s="4"/>
      <c r="P24" s="4"/>
      <c r="Q24" s="4"/>
      <c r="R24" s="4"/>
      <c r="S24" s="4"/>
      <c r="T24" s="4"/>
      <c r="U24" s="4"/>
      <c r="V24" s="4"/>
      <c r="W24" s="4"/>
      <c r="X24" s="4"/>
      <c r="Y24" s="4"/>
      <c r="Z24" s="4"/>
    </row>
    <row r="25" spans="1:26" ht="15" customHeight="1" x14ac:dyDescent="0.25">
      <c r="A25" s="99" t="s">
        <v>54</v>
      </c>
      <c r="B25" s="101" t="s">
        <v>300</v>
      </c>
      <c r="C25" s="394"/>
      <c r="D25" s="394"/>
      <c r="E25" s="394"/>
      <c r="F25" s="394"/>
      <c r="G25" s="394"/>
      <c r="H25" s="395"/>
      <c r="I25" s="102"/>
      <c r="J25" s="102"/>
      <c r="K25" s="103"/>
      <c r="L25" s="103"/>
      <c r="M25" s="103"/>
      <c r="N25" s="4"/>
      <c r="O25" s="4"/>
      <c r="P25" s="4"/>
      <c r="Q25" s="4"/>
      <c r="R25" s="4"/>
      <c r="S25" s="4"/>
      <c r="T25" s="4"/>
      <c r="U25" s="4"/>
      <c r="V25" s="4"/>
      <c r="W25" s="4"/>
      <c r="X25" s="4"/>
      <c r="Y25" s="4"/>
      <c r="Z25" s="4"/>
    </row>
    <row r="26" spans="1:26" ht="15" customHeight="1" x14ac:dyDescent="0.25">
      <c r="A26" s="104" t="s">
        <v>56</v>
      </c>
      <c r="B26" s="621" t="s">
        <v>57</v>
      </c>
      <c r="C26" s="615"/>
      <c r="D26" s="615"/>
      <c r="E26" s="615"/>
      <c r="F26" s="615"/>
      <c r="G26" s="615"/>
      <c r="H26" s="616"/>
      <c r="I26" s="103"/>
      <c r="J26" s="103"/>
      <c r="K26" s="4"/>
      <c r="L26" s="4"/>
      <c r="M26" s="4"/>
      <c r="N26" s="4"/>
      <c r="O26" s="4"/>
      <c r="P26" s="4"/>
      <c r="Q26" s="4"/>
      <c r="R26" s="4"/>
      <c r="S26" s="4"/>
      <c r="T26" s="4"/>
      <c r="U26" s="4"/>
      <c r="V26" s="4"/>
      <c r="W26" s="4"/>
      <c r="X26" s="4"/>
      <c r="Y26" s="4"/>
      <c r="Z26" s="4"/>
    </row>
    <row r="27" spans="1:26" ht="15" customHeight="1" x14ac:dyDescent="0.25">
      <c r="A27" s="105">
        <v>1</v>
      </c>
      <c r="B27" s="397" t="s">
        <v>301</v>
      </c>
      <c r="C27" s="106" t="s">
        <v>26</v>
      </c>
      <c r="D27" s="106" t="str">
        <f t="shared" ref="D27:D29" si="0">IF(G27&lt;&gt;"rumus","Ijazah","")</f>
        <v>Ijazah</v>
      </c>
      <c r="E27" s="398">
        <f t="shared" ref="E27:E29" si="1">IF(I27&lt;&gt;"",1,"")</f>
        <v>1</v>
      </c>
      <c r="F27" s="398">
        <f t="shared" ref="F27:F29" si="2">IF(I27&lt;&gt;"",J27,"")</f>
        <v>100</v>
      </c>
      <c r="G27" s="399" t="str">
        <f t="shared" ref="G27:G29" si="3">IF(J27&lt;&gt;"rumus","1 x "&amp;J27&amp;" = "&amp;J27,"rumus")</f>
        <v>1 x 100 = 100</v>
      </c>
      <c r="H27" s="106" t="s">
        <v>26</v>
      </c>
      <c r="I27" s="400" t="s">
        <v>1476</v>
      </c>
      <c r="J27" s="401">
        <f t="shared" ref="J27:J29" si="4">IF(I27&lt;&gt;"",IF(I27="Doktor (S3) linier",50,IF(I27="Doktor (S3) non linier",15,IF(I27="Magister (S2) linier",50,IF(I27="Magister (S2) non linier",15,IF(I27="Sarjana (S1)",100,""))))),"rumus")</f>
        <v>100</v>
      </c>
      <c r="K27" s="103"/>
      <c r="L27" s="103"/>
      <c r="M27" s="4"/>
      <c r="N27" s="4"/>
      <c r="O27" s="4"/>
      <c r="P27" s="4"/>
      <c r="Q27" s="4"/>
      <c r="R27" s="4"/>
      <c r="S27" s="4"/>
      <c r="T27" s="4"/>
      <c r="U27" s="4"/>
      <c r="V27" s="4"/>
      <c r="W27" s="4"/>
      <c r="X27" s="4"/>
      <c r="Y27" s="4"/>
      <c r="Z27" s="4"/>
    </row>
    <row r="28" spans="1:26" ht="15.75" customHeight="1" x14ac:dyDescent="0.25">
      <c r="A28" s="105">
        <v>2</v>
      </c>
      <c r="B28" s="397" t="s">
        <v>302</v>
      </c>
      <c r="C28" s="106" t="s">
        <v>26</v>
      </c>
      <c r="D28" s="106" t="str">
        <f t="shared" si="0"/>
        <v>Ijazah</v>
      </c>
      <c r="E28" s="398">
        <f t="shared" si="1"/>
        <v>1</v>
      </c>
      <c r="F28" s="398">
        <f t="shared" si="2"/>
        <v>50</v>
      </c>
      <c r="G28" s="399" t="str">
        <f t="shared" si="3"/>
        <v>1 x 50 = 50</v>
      </c>
      <c r="H28" s="106" t="s">
        <v>26</v>
      </c>
      <c r="I28" s="400" t="s">
        <v>1477</v>
      </c>
      <c r="J28" s="401">
        <f t="shared" si="4"/>
        <v>50</v>
      </c>
      <c r="K28" s="103"/>
      <c r="L28" s="103"/>
      <c r="M28" s="4"/>
      <c r="N28" s="4"/>
      <c r="O28" s="4"/>
      <c r="P28" s="4"/>
      <c r="Q28" s="4"/>
      <c r="R28" s="4"/>
      <c r="S28" s="4"/>
      <c r="T28" s="4"/>
      <c r="U28" s="4"/>
      <c r="V28" s="4"/>
      <c r="W28" s="4"/>
      <c r="X28" s="4"/>
      <c r="Y28" s="4"/>
      <c r="Z28" s="4"/>
    </row>
    <row r="29" spans="1:26" ht="15" customHeight="1" x14ac:dyDescent="0.25">
      <c r="A29" s="105">
        <v>3</v>
      </c>
      <c r="B29" s="397" t="s">
        <v>303</v>
      </c>
      <c r="C29" s="106" t="s">
        <v>26</v>
      </c>
      <c r="D29" s="106" t="str">
        <f t="shared" si="0"/>
        <v>Ijazah</v>
      </c>
      <c r="E29" s="398">
        <f t="shared" si="1"/>
        <v>1</v>
      </c>
      <c r="F29" s="398">
        <f t="shared" si="2"/>
        <v>50</v>
      </c>
      <c r="G29" s="399" t="str">
        <f t="shared" si="3"/>
        <v>1 x 50 = 50</v>
      </c>
      <c r="H29" s="106" t="s">
        <v>26</v>
      </c>
      <c r="I29" s="400" t="s">
        <v>1478</v>
      </c>
      <c r="J29" s="401">
        <f t="shared" si="4"/>
        <v>50</v>
      </c>
      <c r="K29" s="103"/>
      <c r="L29" s="103"/>
      <c r="M29" s="4"/>
      <c r="N29" s="4"/>
      <c r="O29" s="4"/>
      <c r="P29" s="4"/>
      <c r="Q29" s="4"/>
      <c r="R29" s="4"/>
      <c r="S29" s="4"/>
      <c r="T29" s="4"/>
      <c r="U29" s="4"/>
      <c r="V29" s="4"/>
      <c r="W29" s="4"/>
      <c r="X29" s="4"/>
      <c r="Y29" s="4"/>
      <c r="Z29" s="4"/>
    </row>
    <row r="30" spans="1:26" ht="15" customHeight="1" x14ac:dyDescent="0.25">
      <c r="A30" s="105"/>
      <c r="B30" s="620" t="s">
        <v>304</v>
      </c>
      <c r="C30" s="615"/>
      <c r="D30" s="616"/>
      <c r="E30" s="402"/>
      <c r="F30" s="402"/>
      <c r="G30" s="107">
        <f>K30</f>
        <v>200</v>
      </c>
      <c r="H30" s="106"/>
      <c r="I30" s="103"/>
      <c r="J30" s="103"/>
      <c r="K30" s="4">
        <f>SUM(J27:J29)</f>
        <v>200</v>
      </c>
      <c r="L30" s="4"/>
      <c r="M30" s="4"/>
      <c r="N30" s="4"/>
      <c r="O30" s="4"/>
      <c r="P30" s="4"/>
      <c r="Q30" s="4"/>
      <c r="R30" s="4"/>
      <c r="S30" s="4"/>
      <c r="T30" s="4"/>
      <c r="U30" s="4"/>
      <c r="V30" s="4"/>
      <c r="W30" s="4"/>
      <c r="X30" s="4"/>
      <c r="Y30" s="4"/>
      <c r="Z30" s="4"/>
    </row>
    <row r="31" spans="1:26" ht="15" customHeight="1" x14ac:dyDescent="0.25">
      <c r="A31" s="104" t="s">
        <v>61</v>
      </c>
      <c r="B31" s="621" t="s">
        <v>305</v>
      </c>
      <c r="C31" s="615"/>
      <c r="D31" s="615"/>
      <c r="E31" s="615"/>
      <c r="F31" s="615"/>
      <c r="G31" s="615"/>
      <c r="H31" s="616"/>
      <c r="I31" s="103"/>
      <c r="J31" s="103"/>
      <c r="K31" s="4"/>
      <c r="L31" s="4"/>
      <c r="M31" s="4"/>
      <c r="N31" s="4"/>
      <c r="O31" s="4"/>
      <c r="P31" s="4"/>
      <c r="Q31" s="4"/>
      <c r="R31" s="4"/>
      <c r="S31" s="4"/>
      <c r="T31" s="4"/>
      <c r="U31" s="4"/>
      <c r="V31" s="4"/>
      <c r="W31" s="4"/>
      <c r="X31" s="4"/>
      <c r="Y31" s="4"/>
      <c r="Z31" s="4"/>
    </row>
    <row r="32" spans="1:26" ht="15" customHeight="1" x14ac:dyDescent="0.25">
      <c r="A32" s="105">
        <v>1</v>
      </c>
      <c r="B32" s="397" t="s">
        <v>305</v>
      </c>
      <c r="C32" s="106" t="s">
        <v>26</v>
      </c>
      <c r="D32" s="106" t="s">
        <v>26</v>
      </c>
      <c r="E32" s="398" t="str">
        <f t="shared" ref="E32:E33" si="5">IF(I32&lt;&gt;"",1,"")</f>
        <v/>
      </c>
      <c r="F32" s="398" t="str">
        <f t="shared" ref="F32:F33" si="6">IF(I32&lt;&gt;"",J32,"")</f>
        <v/>
      </c>
      <c r="G32" s="399" t="str">
        <f t="shared" ref="G32:G33" si="7">IF(J32&lt;&gt;"rumus","1 x "&amp;J32&amp;" = "&amp;J32,"rumus")</f>
        <v>rumus</v>
      </c>
      <c r="H32" s="106" t="s">
        <v>26</v>
      </c>
      <c r="I32" s="400"/>
      <c r="J32" s="401" t="str">
        <f t="shared" ref="J32:J33" si="8">IF(I32="Diklat Pra Jabatan setiap Sertifikat",2,"rumus")</f>
        <v>rumus</v>
      </c>
      <c r="K32" s="103"/>
      <c r="L32" s="103"/>
      <c r="M32" s="4"/>
      <c r="N32" s="4"/>
      <c r="O32" s="4"/>
      <c r="P32" s="4"/>
      <c r="Q32" s="4"/>
      <c r="R32" s="4"/>
      <c r="S32" s="4"/>
      <c r="T32" s="4"/>
      <c r="U32" s="4"/>
      <c r="V32" s="4"/>
      <c r="W32" s="4"/>
      <c r="X32" s="4"/>
      <c r="Y32" s="4"/>
      <c r="Z32" s="4"/>
    </row>
    <row r="33" spans="1:26" ht="15" customHeight="1" x14ac:dyDescent="0.25">
      <c r="A33" s="105">
        <v>2</v>
      </c>
      <c r="B33" s="397" t="s">
        <v>305</v>
      </c>
      <c r="C33" s="106" t="s">
        <v>26</v>
      </c>
      <c r="D33" s="106" t="s">
        <v>26</v>
      </c>
      <c r="E33" s="398" t="str">
        <f t="shared" si="5"/>
        <v/>
      </c>
      <c r="F33" s="398" t="str">
        <f t="shared" si="6"/>
        <v/>
      </c>
      <c r="G33" s="399" t="str">
        <f t="shared" si="7"/>
        <v>rumus</v>
      </c>
      <c r="H33" s="106" t="s">
        <v>26</v>
      </c>
      <c r="I33" s="400"/>
      <c r="J33" s="401" t="str">
        <f t="shared" si="8"/>
        <v>rumus</v>
      </c>
      <c r="K33" s="103"/>
      <c r="L33" s="103"/>
      <c r="M33" s="4"/>
      <c r="N33" s="4"/>
      <c r="O33" s="4"/>
      <c r="P33" s="4"/>
      <c r="Q33" s="4"/>
      <c r="R33" s="4"/>
      <c r="S33" s="4"/>
      <c r="T33" s="4"/>
      <c r="U33" s="4"/>
      <c r="V33" s="4"/>
      <c r="W33" s="4"/>
      <c r="X33" s="4"/>
      <c r="Y33" s="4"/>
      <c r="Z33" s="4"/>
    </row>
    <row r="34" spans="1:26" ht="15.75" customHeight="1" x14ac:dyDescent="0.25">
      <c r="A34" s="99"/>
      <c r="B34" s="614" t="s">
        <v>304</v>
      </c>
      <c r="C34" s="615"/>
      <c r="D34" s="616"/>
      <c r="E34" s="403"/>
      <c r="F34" s="403"/>
      <c r="G34" s="99">
        <f>K34</f>
        <v>0</v>
      </c>
      <c r="H34" s="99"/>
      <c r="I34" s="103"/>
      <c r="J34" s="103"/>
      <c r="K34" s="103">
        <f>SUM(J32:J33)</f>
        <v>0</v>
      </c>
      <c r="L34" s="103"/>
      <c r="M34" s="103"/>
      <c r="N34" s="4"/>
      <c r="O34" s="4"/>
      <c r="P34" s="4"/>
      <c r="Q34" s="4"/>
      <c r="R34" s="4"/>
      <c r="S34" s="4"/>
      <c r="T34" s="4"/>
      <c r="U34" s="4"/>
      <c r="V34" s="4"/>
      <c r="W34" s="4"/>
      <c r="X34" s="4"/>
      <c r="Y34" s="4"/>
      <c r="Z34" s="4"/>
    </row>
    <row r="35" spans="1:26" ht="15.75" customHeight="1" x14ac:dyDescent="0.25">
      <c r="A35" s="99"/>
      <c r="B35" s="614" t="s">
        <v>306</v>
      </c>
      <c r="C35" s="615"/>
      <c r="D35" s="616"/>
      <c r="E35" s="403"/>
      <c r="F35" s="403"/>
      <c r="G35" s="99">
        <f>G30+G34</f>
        <v>200</v>
      </c>
      <c r="H35" s="99"/>
      <c r="I35" s="103"/>
      <c r="J35" s="103"/>
      <c r="K35" s="103"/>
      <c r="L35" s="103"/>
      <c r="M35" s="103"/>
      <c r="N35" s="4"/>
      <c r="O35" s="4"/>
      <c r="P35" s="4"/>
      <c r="Q35" s="4"/>
      <c r="R35" s="4"/>
      <c r="S35" s="4"/>
      <c r="T35" s="4"/>
      <c r="U35" s="4"/>
      <c r="V35" s="4"/>
      <c r="W35" s="4"/>
      <c r="X35" s="4"/>
      <c r="Y35" s="4"/>
      <c r="Z35" s="4"/>
    </row>
    <row r="36" spans="1:26" ht="15.75" customHeight="1" x14ac:dyDescent="0.25">
      <c r="A36" s="99" t="s">
        <v>43</v>
      </c>
      <c r="B36" s="389" t="s">
        <v>307</v>
      </c>
      <c r="C36" s="404"/>
      <c r="D36" s="404"/>
      <c r="E36" s="404"/>
      <c r="F36" s="404"/>
      <c r="G36" s="404"/>
      <c r="H36" s="405"/>
      <c r="I36" s="103"/>
      <c r="J36" s="103"/>
      <c r="K36" s="103"/>
      <c r="L36" s="103"/>
      <c r="M36" s="103"/>
      <c r="N36" s="4"/>
      <c r="O36" s="4"/>
      <c r="P36" s="4"/>
      <c r="Q36" s="4"/>
      <c r="R36" s="4"/>
      <c r="S36" s="4"/>
      <c r="T36" s="4"/>
      <c r="U36" s="4"/>
      <c r="V36" s="4"/>
      <c r="W36" s="4"/>
      <c r="X36" s="4"/>
      <c r="Y36" s="4"/>
      <c r="Z36" s="4"/>
    </row>
    <row r="37" spans="1:26" ht="15.75" customHeight="1" x14ac:dyDescent="0.25">
      <c r="A37" s="104" t="s">
        <v>56</v>
      </c>
      <c r="B37" s="621" t="s">
        <v>308</v>
      </c>
      <c r="C37" s="615"/>
      <c r="D37" s="615"/>
      <c r="E37" s="615"/>
      <c r="F37" s="615"/>
      <c r="G37" s="615"/>
      <c r="H37" s="616"/>
      <c r="I37" s="108" t="s">
        <v>309</v>
      </c>
      <c r="J37" s="108" t="s">
        <v>310</v>
      </c>
      <c r="K37" s="103" t="s">
        <v>1474</v>
      </c>
      <c r="L37" s="103" t="s">
        <v>1475</v>
      </c>
      <c r="M37" s="103"/>
      <c r="N37" s="4"/>
      <c r="O37" s="4"/>
      <c r="P37" s="4"/>
      <c r="Q37" s="4"/>
      <c r="R37" s="4"/>
      <c r="S37" s="4"/>
      <c r="T37" s="4"/>
      <c r="U37" s="4"/>
      <c r="V37" s="4"/>
      <c r="W37" s="4"/>
      <c r="X37" s="4"/>
      <c r="Y37" s="4"/>
      <c r="Z37" s="4"/>
    </row>
    <row r="38" spans="1:26" ht="15" customHeight="1" x14ac:dyDescent="0.25">
      <c r="A38" s="109"/>
      <c r="B38" s="406" t="str">
        <f>"a. Semester Gasal "&amp;IF(C39&lt;&gt;"",C39,"")&amp;" :"</f>
        <v>a. Semester Gasal 2012/2013 :</v>
      </c>
      <c r="C38" s="407"/>
      <c r="D38" s="407"/>
      <c r="E38" s="407"/>
      <c r="F38" s="407"/>
      <c r="G38" s="407"/>
      <c r="H38" s="408"/>
      <c r="I38" s="110">
        <f t="shared" ref="I38:J38" si="9">IF(I39&lt;&gt;"",0,"")</f>
        <v>0</v>
      </c>
      <c r="J38" s="110">
        <f t="shared" si="9"/>
        <v>0</v>
      </c>
      <c r="K38" s="103"/>
      <c r="L38" s="103"/>
      <c r="M38" s="103"/>
      <c r="N38" s="103"/>
      <c r="O38" s="4"/>
      <c r="P38" s="4"/>
      <c r="Q38" s="4"/>
      <c r="R38" s="4"/>
      <c r="S38" s="4"/>
      <c r="T38" s="4"/>
      <c r="U38" s="4"/>
      <c r="V38" s="4"/>
      <c r="W38" s="4"/>
      <c r="X38" s="4"/>
      <c r="Y38" s="4"/>
      <c r="Z38" s="4"/>
    </row>
    <row r="39" spans="1:26" ht="25.5" customHeight="1" x14ac:dyDescent="0.25">
      <c r="A39" s="109">
        <v>1</v>
      </c>
      <c r="B39" s="570" t="s">
        <v>311</v>
      </c>
      <c r="C39" s="106" t="s">
        <v>312</v>
      </c>
      <c r="D39" s="106" t="str">
        <f t="shared" ref="D39:D44" si="10">IF(G39&lt;&gt;"rumus","SKS","")</f>
        <v>SKS</v>
      </c>
      <c r="E39" s="398" t="str">
        <f t="shared" ref="E39:E44" si="11">IF(K39&lt;&gt;"rumus",(IF(OR(AND(L39="sks&gt;10",L38="sks&lt;=10",IFERROR(SUMPRODUCT($I$38:I38,$J$38:J38)&lt;10,FALSE)),AND(L39="sks&gt;10",L38="")),(((10-SUMPRODUCT($I$38:I38,$J$38:J38))&amp;" x "&amp;1)&amp;"
"&amp;(((I39*J39)-(10-SUMPRODUCT($I$38:I38,$J$38:J38)))&amp;" x "&amp;1)),(I39&amp;" x "&amp;J39))),"")</f>
        <v>4 x 2</v>
      </c>
      <c r="F39" s="398">
        <f>IF(K39&lt;&gt;"rumus",(IF(OR(AND(L39="sks&gt;10",L38="sks&lt;=10",IFERROR(SUMPRODUCT($I$38:I38,$J$38:J38)&lt;10,FALSE)),AND(L39="sks&gt;10",L38="")),((IF('LAMPIRAN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Besar"),0.5,"")))),((IF(OR(AND(L39="sks&gt;10",L38="sks&gt;10"),AND(L39="sks&gt;10",L38="sks&lt;=10")),IF('LAMPIRAN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39" s="398" t="str">
        <f>IF(K39&lt;&gt;"rumus",(IF(OR(AND(L39="sks&gt;10",L38="sks&lt;=10",IFERROR(SUMPRODUCT($I$38:I38,$J$38:J38)&lt;10,FALSE)),AND(L39="sks&gt;10",L38="")),(((10-SUMPRODUCT($I$38:I38,$J$38:J38))&amp;" x "&amp;1&amp;" x "&amp;IF('LAMPIRAN I DONE'!$F$21="Tenaga Pengajar",0.5,IF(OR('LAMPIRAN I DONE'!$F$21="Asisten Ahli",'LAMPIRAN I DONE'!$F$21="Lektor",'LAMPIRAN I DONE'!$F$21="Lektor Kepala",'LAMPIRAN I DONE'!$F$21="Guru Besar"),1,""))&amp;" = "&amp;((10-SUMPRODUCT($I$38:I38,$J$38:J38))*IF('LAMPIRAN I DONE'!$F$21="Tenaga Pengajar",0.5,IF(OR('LAMPIRAN I DONE'!$F$21="Asisten Ahli",'LAMPIRAN I DONE'!$F$21="Lektor",'LAMPIRAN I DONE'!$F$21="Lektor Kepala",'LAMPIRAN I DONE'!$F$21="Guru Besar"),1,""))))&amp;"
"&amp;(((I39*J39)-(10-SUMPRODUCT($I$38:I38,$J$38:J38)))&amp;" x "&amp;1&amp;" x "&amp;IF('LAMPIRAN I DONE'!$F$21="Tenaga Pengajar",0.25,IF(OR('LAMPIRAN I DONE'!$F$21="Asisten Ahli",'LAMPIRAN I DONE'!$F$21="Lektor",'LAMPIRAN I DONE'!$F$21="Lektor Kepala",'LAMPIRAN I DONE'!$F$21="Guru Besar"),0.5,""))&amp;" = "&amp;(((I39*J39)-(10-SUMPRODUCT($I$38:I38,$J$38:J38)))*IF('LAMPIRAN I DONE'!$F$21="Tenaga Pengajar",0.25,IF(OR('LAMPIRAN I DONE'!$F$21="Asisten Ahli",'LAMPIRAN I DONE'!$F$21="Lektor",'LAMPIRAN I DONE'!$F$21="Lektor Kepala",'LAMPIRAN I DONE'!$F$21="Guru Besar"),0.5,""))))),(I39&amp;" x "&amp;J39&amp;" x "&amp;(IF(OR(AND(L39="sks&gt;10",L38="sks&gt;10"),AND(L39="sks&gt;10",L38="sks&lt;=10")),IF('LAMPIRAN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"&amp;K39))),"rumus")</f>
        <v>4 x 2 x 1 = 8</v>
      </c>
      <c r="H39" s="106" t="s">
        <v>313</v>
      </c>
      <c r="I39" s="409">
        <v>4</v>
      </c>
      <c r="J39" s="409">
        <v>2</v>
      </c>
      <c r="K39" s="401">
        <f>IF(AND(I39&lt;&gt;"",J39&lt;&gt;""),(IF(OR(AND(L39="sks&gt;10",L38="sks&lt;=10",IFERROR(SUMPRODUCT($I$38:I38,$J$38:J38)&lt;10,FALSE)),AND(L39="sks&gt;10",L38="")),(((10-SUMPRODUCT($I$38:I38,$J$38:J38))*IF('LAMPIRAN I DONE'!$F$21="Tenaga Pengajar",0.5,IF(OR('LAMPIRAN I DONE'!$F$21="Asisten Ahli",'LAMPIRAN I DONE'!$F$21="Lektor",'LAMPIRAN I DONE'!$F$21="Lektor Kepala",'LAMPIRAN I DONE'!$F$21="Guru Besar"),1,"")))+(((I39*J39)-(10-SUMPRODUCT($I$38:I38,$J$38:J38)))*IF('LAMPIRAN I DONE'!$F$21="Tenaga Pengajar",0.25,IF(OR('LAMPIRAN I DONE'!$F$21="Asisten Ahli",'LAMPIRAN I DONE'!$F$21="Lektor",'LAMPIRAN I DONE'!$F$21="Lektor Kepala",'LAMPIRAN I DONE'!$F$21="Guru Besar"),0.5,"")))),IF(OR(AND(L39="sks&gt;10",L38="sks&gt;10"),AND(L39="sks&gt;10",L38="sks&lt;=10")),I39*J39*IF('LAMPIRAN I DONE'!$F$21="Tenaga Pengajar",0.25,IF(OR('LAMPIRAN I DONE'!$F$21="Asisten Ahli",'LAMPIRAN I DONE'!$F$21="Lektor",'LAMPIRAN I DONE'!$F$21="Lektor Kepala",'LAMPIRAN I DONE'!$F$21="Guru Besar"),0.5,"")),I39*J39*IF('LAMPIRAN I DONE'!$F$21="Tenaga Pengajar",0.5,IF(OR('LAMPIRAN I DONE'!$F$21="Asisten Ahli",'LAMPIRAN I DONE'!$F$21="Lektor",'LAMPIRAN I DONE'!$F$21="Lektor Kepala",'LAMPIRAN I DONE'!$F$21="Guru Besar"),1,""))))),"rumus")</f>
        <v>8</v>
      </c>
      <c r="L39" s="401" t="str">
        <f t="shared" ref="L39:L44" si="12">IF(AND(I39&lt;&gt;"",J39&lt;&gt;""),(IF(SUMPRODUCT($I$39:I39,$J$39:J39)&lt;=10,"SKS&lt;=10",IF(SUMPRODUCT($I$39:I39,$J$39:J39)&gt;10,"SKS&gt;10",""))),"rumus")</f>
        <v>SKS&lt;=10</v>
      </c>
      <c r="M39" s="4"/>
      <c r="N39" s="4"/>
      <c r="O39" s="4"/>
      <c r="P39" s="4"/>
      <c r="Q39" s="4"/>
      <c r="R39" s="4"/>
      <c r="S39" s="4"/>
      <c r="T39" s="4"/>
      <c r="U39" s="4"/>
      <c r="V39" s="4"/>
      <c r="W39" s="4"/>
      <c r="X39" s="4"/>
      <c r="Y39" s="4"/>
      <c r="Z39" s="4"/>
    </row>
    <row r="40" spans="1:26" ht="25.5" customHeight="1" x14ac:dyDescent="0.25">
      <c r="A40" s="109">
        <v>2</v>
      </c>
      <c r="B40" s="397" t="s">
        <v>314</v>
      </c>
      <c r="C40" s="106" t="s">
        <v>312</v>
      </c>
      <c r="D40" s="106" t="str">
        <f t="shared" si="10"/>
        <v/>
      </c>
      <c r="E40" s="398" t="str">
        <f t="shared" si="11"/>
        <v/>
      </c>
      <c r="F40" s="398" t="str">
        <f>IF(K40&lt;&gt;"rumus",(IF(OR(AND(L40="sks&gt;10",L39="sks&lt;=10",IFERROR(SUMPRODUCT($I$38:I39,$J$38:J39)&lt;10,FALSE)),AND(L40="sks&gt;10",L39="")),((IF('LAMPIRAN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Besar"),0.5,"")))),((IF(OR(AND(L40="sks&gt;10",L39="sks&gt;10"),AND(L40="sks&gt;10",L39="sks&lt;=10")),IF('LAMPIRAN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0" s="398" t="str">
        <f>IF(K40&lt;&gt;"rumus",(IF(OR(AND(L40="sks&gt;10",L39="sks&lt;=10",IFERROR(SUMPRODUCT($I$38:I39,$J$38:J39)&lt;10,FALSE)),AND(L40="sks&gt;10",L39="")),(((10-SUMPRODUCT($I$38:I39,$J$38:J39))&amp;" x "&amp;1&amp;" x "&amp;IF('LAMPIRAN I DONE'!$F$21="Tenaga Pengajar",0.5,IF(OR('LAMPIRAN I DONE'!$F$21="Asisten Ahli",'LAMPIRAN I DONE'!$F$21="Lektor",'LAMPIRAN I DONE'!$F$21="Lektor Kepala",'LAMPIRAN I DONE'!$F$21="Guru Besar"),1,""))&amp;" = "&amp;((10-SUMPRODUCT($I$38:I39,$J$38:J39))*IF('LAMPIRAN I DONE'!$F$21="Tenaga Pengajar",0.5,IF(OR('LAMPIRAN I DONE'!$F$21="Asisten Ahli",'LAMPIRAN I DONE'!$F$21="Lektor",'LAMPIRAN I DONE'!$F$21="Lektor Kepala",'LAMPIRAN I DONE'!$F$21="Guru Besar"),1,""))))&amp;"
"&amp;(((I40*J40)-(10-SUMPRODUCT($I$38:I39,$J$38:J39)))&amp;" x "&amp;1&amp;" x "&amp;IF('LAMPIRAN I DONE'!$F$21="Tenaga Pengajar",0.25,IF(OR('LAMPIRAN I DONE'!$F$21="Asisten Ahli",'LAMPIRAN I DONE'!$F$21="Lektor",'LAMPIRAN I DONE'!$F$21="Lektor Kepala",'LAMPIRAN I DONE'!$F$21="Guru Besar"),0.5,""))&amp;" = "&amp;(((I40*J40)-(10-SUMPRODUCT($I$38:I39,$J$38:J39)))*IF('LAMPIRAN I DONE'!$F$21="Tenaga Pengajar",0.25,IF(OR('LAMPIRAN I DONE'!$F$21="Asisten Ahli",'LAMPIRAN I DONE'!$F$21="Lektor",'LAMPIRAN I DONE'!$F$21="Lektor Kepala",'LAMPIRAN I DONE'!$F$21="Guru Besar"),0.5,""))))),(I40&amp;" x "&amp;J40&amp;" x "&amp;(IF(OR(AND(L40="sks&gt;10",L39="sks&gt;10"),AND(L40="sks&gt;10",L39="sks&lt;=10")),IF('LAMPIRAN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"&amp;K40))),"rumus")</f>
        <v>rumus</v>
      </c>
      <c r="H40" s="106" t="s">
        <v>315</v>
      </c>
      <c r="I40" s="409"/>
      <c r="J40" s="409"/>
      <c r="K40" s="401" t="str">
        <f>IF(AND(I40&lt;&gt;"",J40&lt;&gt;""),(IF(OR(AND(L40="sks&gt;10",L39="sks&lt;=10",IFERROR(SUMPRODUCT($I$38:I39,$J$38:J39)&lt;10,FALSE)),AND(L40="sks&gt;10",L39="")),(((10-SUMPRODUCT($I$38:I39,$J$38:J39))*IF('LAMPIRAN I DONE'!$F$21="Tenaga Pengajar",0.5,IF(OR('LAMPIRAN I DONE'!$F$21="Asisten Ahli",'LAMPIRAN I DONE'!$F$21="Lektor",'LAMPIRAN I DONE'!$F$21="Lektor Kepala",'LAMPIRAN I DONE'!$F$21="Guru Besar"),1,"")))+(((I40*J40)-(10-SUMPRODUCT($I$38:I39,$J$38:J39)))*IF('LAMPIRAN I DONE'!$F$21="Tenaga Pengajar",0.25,IF(OR('LAMPIRAN I DONE'!$F$21="Asisten Ahli",'LAMPIRAN I DONE'!$F$21="Lektor",'LAMPIRAN I DONE'!$F$21="Lektor Kepala",'LAMPIRAN I DONE'!$F$21="Guru Besar"),0.5,"")))),IF(OR(AND(L40="sks&gt;10",L39="sks&gt;10"),AND(L40="sks&gt;10",L39="sks&lt;=10")),I40*J40*IF('LAMPIRAN I DONE'!$F$21="Tenaga Pengajar",0.25,IF(OR('LAMPIRAN I DONE'!$F$21="Asisten Ahli",'LAMPIRAN I DONE'!$F$21="Lektor",'LAMPIRAN I DONE'!$F$21="Lektor Kepala",'LAMPIRAN I DONE'!$F$21="Guru Besar"),0.5,"")),I40*J40*IF('LAMPIRAN I DONE'!$F$21="Tenaga Pengajar",0.5,IF(OR('LAMPIRAN I DONE'!$F$21="Asisten Ahli",'LAMPIRAN I DONE'!$F$21="Lektor",'LAMPIRAN I DONE'!$F$21="Lektor Kepala",'LAMPIRAN I DONE'!$F$21="Guru Besar"),1,""))))),"rumus")</f>
        <v>rumus</v>
      </c>
      <c r="L40" s="401" t="str">
        <f t="shared" si="12"/>
        <v>rumus</v>
      </c>
      <c r="M40" s="4"/>
      <c r="N40" s="4"/>
      <c r="O40" s="4"/>
      <c r="P40" s="4"/>
      <c r="Q40" s="4"/>
      <c r="R40" s="4"/>
      <c r="S40" s="4"/>
      <c r="T40" s="4"/>
      <c r="U40" s="4"/>
      <c r="V40" s="4"/>
      <c r="W40" s="4"/>
      <c r="X40" s="4"/>
      <c r="Y40" s="4"/>
      <c r="Z40" s="4"/>
    </row>
    <row r="41" spans="1:26" ht="25.5" customHeight="1" x14ac:dyDescent="0.25">
      <c r="A41" s="109">
        <v>3</v>
      </c>
      <c r="B41" s="397" t="s">
        <v>314</v>
      </c>
      <c r="C41" s="106" t="s">
        <v>312</v>
      </c>
      <c r="D41" s="106" t="str">
        <f t="shared" si="10"/>
        <v/>
      </c>
      <c r="E41" s="398" t="str">
        <f t="shared" si="11"/>
        <v/>
      </c>
      <c r="F41" s="398" t="str">
        <f>IF(K41&lt;&gt;"rumus",(IF(OR(AND(L41="sks&gt;10",L40="sks&lt;=10",IFERROR(SUMPRODUCT($I$38:I40,$J$38:J40)&lt;10,FALSE)),AND(L41="sks&gt;10",L40="")),((IF('LAMPIRAN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Besar"),0.5,"")))),((IF(OR(AND(L41="sks&gt;10",L40="sks&gt;10"),AND(L41="sks&gt;10",L40="sks&lt;=10")),IF('LAMPIRAN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1" s="398" t="str">
        <f>IF(K41&lt;&gt;"rumus",(IF(OR(AND(L41="sks&gt;10",L40="sks&lt;=10",IFERROR(SUMPRODUCT($I$38:I40,$J$38:J40)&lt;10,FALSE)),AND(L41="sks&gt;10",L40="")),(((10-SUMPRODUCT($I$38:I40,$J$38:J40))&amp;" x "&amp;1&amp;" x "&amp;IF('LAMPIRAN I DONE'!$F$21="Tenaga Pengajar",0.5,IF(OR('LAMPIRAN I DONE'!$F$21="Asisten Ahli",'LAMPIRAN I DONE'!$F$21="Lektor",'LAMPIRAN I DONE'!$F$21="Lektor Kepala",'LAMPIRAN I DONE'!$F$21="Guru Besar"),1,""))&amp;" = "&amp;((10-SUMPRODUCT($I$38:I40,$J$38:J40))*IF('LAMPIRAN I DONE'!$F$21="Tenaga Pengajar",0.5,IF(OR('LAMPIRAN I DONE'!$F$21="Asisten Ahli",'LAMPIRAN I DONE'!$F$21="Lektor",'LAMPIRAN I DONE'!$F$21="Lektor Kepala",'LAMPIRAN I DONE'!$F$21="Guru Besar"),1,""))))&amp;"
"&amp;(((I41*J41)-(10-SUMPRODUCT($I$38:I40,$J$38:J40)))&amp;" x "&amp;1&amp;" x "&amp;IF('LAMPIRAN I DONE'!$F$21="Tenaga Pengajar",0.25,IF(OR('LAMPIRAN I DONE'!$F$21="Asisten Ahli",'LAMPIRAN I DONE'!$F$21="Lektor",'LAMPIRAN I DONE'!$F$21="Lektor Kepala",'LAMPIRAN I DONE'!$F$21="Guru Besar"),0.5,""))&amp;" = "&amp;(((I41*J41)-(10-SUMPRODUCT($I$38:I40,$J$38:J40)))*IF('LAMPIRAN I DONE'!$F$21="Tenaga Pengajar",0.25,IF(OR('LAMPIRAN I DONE'!$F$21="Asisten Ahli",'LAMPIRAN I DONE'!$F$21="Lektor",'LAMPIRAN I DONE'!$F$21="Lektor Kepala",'LAMPIRAN I DONE'!$F$21="Guru Besar"),0.5,""))))),(I41&amp;" x "&amp;J41&amp;" x "&amp;(IF(OR(AND(L41="sks&gt;10",L40="sks&gt;10"),AND(L41="sks&gt;10",L40="sks&lt;=10")),IF('LAMPIRAN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"&amp;K41))),"rumus")</f>
        <v>rumus</v>
      </c>
      <c r="H41" s="106" t="s">
        <v>315</v>
      </c>
      <c r="I41" s="409"/>
      <c r="J41" s="409"/>
      <c r="K41" s="401" t="str">
        <f>IF(AND(I41&lt;&gt;"",J41&lt;&gt;""),(IF(OR(AND(L41="sks&gt;10",L40="sks&lt;=10",IFERROR(SUMPRODUCT($I$38:I40,$J$38:J40)&lt;10,FALSE)),AND(L41="sks&gt;10",L40="")),(((10-SUMPRODUCT($I$38:I40,$J$38:J40))*IF('LAMPIRAN I DONE'!$F$21="Tenaga Pengajar",0.5,IF(OR('LAMPIRAN I DONE'!$F$21="Asisten Ahli",'LAMPIRAN I DONE'!$F$21="Lektor",'LAMPIRAN I DONE'!$F$21="Lektor Kepala",'LAMPIRAN I DONE'!$F$21="Guru Besar"),1,"")))+(((I41*J41)-(10-SUMPRODUCT($I$38:I40,$J$38:J40)))*IF('LAMPIRAN I DONE'!$F$21="Tenaga Pengajar",0.25,IF(OR('LAMPIRAN I DONE'!$F$21="Asisten Ahli",'LAMPIRAN I DONE'!$F$21="Lektor",'LAMPIRAN I DONE'!$F$21="Lektor Kepala",'LAMPIRAN I DONE'!$F$21="Guru Besar"),0.5,"")))),IF(OR(AND(L41="sks&gt;10",L40="sks&gt;10"),AND(L41="sks&gt;10",L40="sks&lt;=10")),I41*J41*IF('LAMPIRAN I DONE'!$F$21="Tenaga Pengajar",0.25,IF(OR('LAMPIRAN I DONE'!$F$21="Asisten Ahli",'LAMPIRAN I DONE'!$F$21="Lektor",'LAMPIRAN I DONE'!$F$21="Lektor Kepala",'LAMPIRAN I DONE'!$F$21="Guru Besar"),0.5,"")),I41*J41*IF('LAMPIRAN I DONE'!$F$21="Tenaga Pengajar",0.5,IF(OR('LAMPIRAN I DONE'!$F$21="Asisten Ahli",'LAMPIRAN I DONE'!$F$21="Lektor",'LAMPIRAN I DONE'!$F$21="Lektor Kepala",'LAMPIRAN I DONE'!$F$21="Guru Besar"),1,""))))),"rumus")</f>
        <v>rumus</v>
      </c>
      <c r="L41" s="401" t="str">
        <f t="shared" si="12"/>
        <v>rumus</v>
      </c>
      <c r="M41" s="4"/>
      <c r="N41" s="4"/>
      <c r="O41" s="4"/>
      <c r="P41" s="4"/>
      <c r="Q41" s="4"/>
      <c r="R41" s="4"/>
      <c r="S41" s="4"/>
      <c r="T41" s="4"/>
      <c r="U41" s="4"/>
      <c r="V41" s="4"/>
      <c r="W41" s="4"/>
      <c r="X41" s="4"/>
      <c r="Y41" s="4"/>
      <c r="Z41" s="4"/>
    </row>
    <row r="42" spans="1:26" ht="25.5" customHeight="1" x14ac:dyDescent="0.25">
      <c r="A42" s="109">
        <v>4</v>
      </c>
      <c r="B42" s="397" t="s">
        <v>314</v>
      </c>
      <c r="C42" s="106" t="s">
        <v>312</v>
      </c>
      <c r="D42" s="106" t="str">
        <f t="shared" si="10"/>
        <v/>
      </c>
      <c r="E42" s="398" t="str">
        <f t="shared" si="11"/>
        <v/>
      </c>
      <c r="F42" s="398" t="str">
        <f>IF(K42&lt;&gt;"rumus",(IF(OR(AND(L42="sks&gt;10",L41="sks&lt;=10",IFERROR(SUMPRODUCT($I$38:I41,$J$38:J41)&lt;10,FALSE)),AND(L42="sks&gt;10",L41="")),((IF('LAMPIRAN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Besar"),0.5,"")))),((IF(OR(AND(L42="sks&gt;10",L41="sks&gt;10"),AND(L42="sks&gt;10",L41="sks&lt;=10")),IF('LAMPIRAN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2" s="398" t="str">
        <f>IF(K42&lt;&gt;"rumus",(IF(OR(AND(L42="sks&gt;10",L41="sks&lt;=10",IFERROR(SUMPRODUCT($I$38:I41,$J$38:J41)&lt;10,FALSE)),AND(L42="sks&gt;10",L41="")),(((10-SUMPRODUCT($I$38:I41,$J$38:J41))&amp;" x "&amp;1&amp;" x "&amp;IF('LAMPIRAN I DONE'!$F$21="Tenaga Pengajar",0.5,IF(OR('LAMPIRAN I DONE'!$F$21="Asisten Ahli",'LAMPIRAN I DONE'!$F$21="Lektor",'LAMPIRAN I DONE'!$F$21="Lektor Kepala",'LAMPIRAN I DONE'!$F$21="Guru Besar"),1,""))&amp;" = "&amp;((10-SUMPRODUCT($I$38:I41,$J$38:J41))*IF('LAMPIRAN I DONE'!$F$21="Tenaga Pengajar",0.5,IF(OR('LAMPIRAN I DONE'!$F$21="Asisten Ahli",'LAMPIRAN I DONE'!$F$21="Lektor",'LAMPIRAN I DONE'!$F$21="Lektor Kepala",'LAMPIRAN I DONE'!$F$21="Guru Besar"),1,""))))&amp;"
"&amp;(((I42*J42)-(10-SUMPRODUCT($I$38:I41,$J$38:J41)))&amp;" x "&amp;1&amp;" x "&amp;IF('LAMPIRAN I DONE'!$F$21="Tenaga Pengajar",0.25,IF(OR('LAMPIRAN I DONE'!$F$21="Asisten Ahli",'LAMPIRAN I DONE'!$F$21="Lektor",'LAMPIRAN I DONE'!$F$21="Lektor Kepala",'LAMPIRAN I DONE'!$F$21="Guru Besar"),0.5,""))&amp;" = "&amp;(((I42*J42)-(10-SUMPRODUCT($I$38:I41,$J$38:J41)))*IF('LAMPIRAN I DONE'!$F$21="Tenaga Pengajar",0.25,IF(OR('LAMPIRAN I DONE'!$F$21="Asisten Ahli",'LAMPIRAN I DONE'!$F$21="Lektor",'LAMPIRAN I DONE'!$F$21="Lektor Kepala",'LAMPIRAN I DONE'!$F$21="Guru Besar"),0.5,""))))),(I42&amp;" x "&amp;J42&amp;" x "&amp;(IF(OR(AND(L42="sks&gt;10",L41="sks&gt;10"),AND(L42="sks&gt;10",L41="sks&lt;=10")),IF('LAMPIRAN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"&amp;K42))),"rumus")</f>
        <v>rumus</v>
      </c>
      <c r="H42" s="106" t="s">
        <v>315</v>
      </c>
      <c r="I42" s="409"/>
      <c r="J42" s="409"/>
      <c r="K42" s="401" t="str">
        <f>IF(AND(I42&lt;&gt;"",J42&lt;&gt;""),(IF(OR(AND(L42="sks&gt;10",L41="sks&lt;=10",IFERROR(SUMPRODUCT($I$38:I41,$J$38:J41)&lt;10,FALSE)),AND(L42="sks&gt;10",L41="")),(((10-SUMPRODUCT($I$38:I41,$J$38:J41))*IF('LAMPIRAN I DONE'!$F$21="Tenaga Pengajar",0.5,IF(OR('LAMPIRAN I DONE'!$F$21="Asisten Ahli",'LAMPIRAN I DONE'!$F$21="Lektor",'LAMPIRAN I DONE'!$F$21="Lektor Kepala",'LAMPIRAN I DONE'!$F$21="Guru Besar"),1,"")))+(((I42*J42)-(10-SUMPRODUCT($I$38:I41,$J$38:J41)))*IF('LAMPIRAN I DONE'!$F$21="Tenaga Pengajar",0.25,IF(OR('LAMPIRAN I DONE'!$F$21="Asisten Ahli",'LAMPIRAN I DONE'!$F$21="Lektor",'LAMPIRAN I DONE'!$F$21="Lektor Kepala",'LAMPIRAN I DONE'!$F$21="Guru Besar"),0.5,"")))),IF(OR(AND(L42="sks&gt;10",L41="sks&gt;10"),AND(L42="sks&gt;10",L41="sks&lt;=10")),I42*J42*IF('LAMPIRAN I DONE'!$F$21="Tenaga Pengajar",0.25,IF(OR('LAMPIRAN I DONE'!$F$21="Asisten Ahli",'LAMPIRAN I DONE'!$F$21="Lektor",'LAMPIRAN I DONE'!$F$21="Lektor Kepala",'LAMPIRAN I DONE'!$F$21="Guru Besar"),0.5,"")),I42*J42*IF('LAMPIRAN I DONE'!$F$21="Tenaga Pengajar",0.5,IF(OR('LAMPIRAN I DONE'!$F$21="Asisten Ahli",'LAMPIRAN I DONE'!$F$21="Lektor",'LAMPIRAN I DONE'!$F$21="Lektor Kepala",'LAMPIRAN I DONE'!$F$21="Guru Besar"),1,""))))),"rumus")</f>
        <v>rumus</v>
      </c>
      <c r="L42" s="401" t="str">
        <f t="shared" si="12"/>
        <v>rumus</v>
      </c>
      <c r="M42" s="4"/>
      <c r="N42" s="4"/>
      <c r="O42" s="4"/>
      <c r="P42" s="4"/>
      <c r="Q42" s="4"/>
      <c r="R42" s="4"/>
      <c r="S42" s="4"/>
      <c r="T42" s="4"/>
      <c r="U42" s="4"/>
      <c r="V42" s="4"/>
      <c r="W42" s="4"/>
      <c r="X42" s="4"/>
      <c r="Y42" s="4"/>
      <c r="Z42" s="4"/>
    </row>
    <row r="43" spans="1:26" ht="25.5" customHeight="1" x14ac:dyDescent="0.25">
      <c r="A43" s="109">
        <v>5</v>
      </c>
      <c r="B43" s="397" t="s">
        <v>314</v>
      </c>
      <c r="C43" s="106" t="s">
        <v>312</v>
      </c>
      <c r="D43" s="106" t="str">
        <f t="shared" si="10"/>
        <v/>
      </c>
      <c r="E43" s="398" t="str">
        <f t="shared" si="11"/>
        <v/>
      </c>
      <c r="F43" s="398" t="str">
        <f>IF(K43&lt;&gt;"rumus",(IF(OR(AND(L43="sks&gt;10",L42="sks&lt;=10",IFERROR(SUMPRODUCT($I$38:I42,$J$38:J42)&lt;10,FALSE)),AND(L43="sks&gt;10",L42="")),((IF('LAMPIRAN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Besar"),0.5,"")))),((IF(OR(AND(L43="sks&gt;10",L42="sks&gt;10"),AND(L43="sks&gt;10",L42="sks&lt;=10")),IF('LAMPIRAN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3" s="398" t="str">
        <f>IF(K43&lt;&gt;"rumus",(IF(OR(AND(L43="sks&gt;10",L42="sks&lt;=10",IFERROR(SUMPRODUCT($I$38:I42,$J$38:J42)&lt;10,FALSE)),AND(L43="sks&gt;10",L42="")),(((10-SUMPRODUCT($I$38:I42,$J$38:J42))&amp;" x "&amp;1&amp;" x "&amp;IF('LAMPIRAN I DONE'!$F$21="Tenaga Pengajar",0.5,IF(OR('LAMPIRAN I DONE'!$F$21="Asisten Ahli",'LAMPIRAN I DONE'!$F$21="Lektor",'LAMPIRAN I DONE'!$F$21="Lektor Kepala",'LAMPIRAN I DONE'!$F$21="Guru Besar"),1,""))&amp;" = "&amp;((10-SUMPRODUCT($I$38:I42,$J$38:J42))*IF('LAMPIRAN I DONE'!$F$21="Tenaga Pengajar",0.5,IF(OR('LAMPIRAN I DONE'!$F$21="Asisten Ahli",'LAMPIRAN I DONE'!$F$21="Lektor",'LAMPIRAN I DONE'!$F$21="Lektor Kepala",'LAMPIRAN I DONE'!$F$21="Guru Besar"),1,""))))&amp;"
"&amp;(((I43*J43)-(10-SUMPRODUCT($I$38:I42,$J$38:J42)))&amp;" x "&amp;1&amp;" x "&amp;IF('LAMPIRAN I DONE'!$F$21="Tenaga Pengajar",0.25,IF(OR('LAMPIRAN I DONE'!$F$21="Asisten Ahli",'LAMPIRAN I DONE'!$F$21="Lektor",'LAMPIRAN I DONE'!$F$21="Lektor Kepala",'LAMPIRAN I DONE'!$F$21="Guru Besar"),0.5,""))&amp;" = "&amp;(((I43*J43)-(10-SUMPRODUCT($I$38:I42,$J$38:J42)))*IF('LAMPIRAN I DONE'!$F$21="Tenaga Pengajar",0.25,IF(OR('LAMPIRAN I DONE'!$F$21="Asisten Ahli",'LAMPIRAN I DONE'!$F$21="Lektor",'LAMPIRAN I DONE'!$F$21="Lektor Kepala",'LAMPIRAN I DONE'!$F$21="Guru Besar"),0.5,""))))),(I43&amp;" x "&amp;J43&amp;" x "&amp;(IF(OR(AND(L43="sks&gt;10",L42="sks&gt;10"),AND(L43="sks&gt;10",L42="sks&lt;=10")),IF('LAMPIRAN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"&amp;K43))),"rumus")</f>
        <v>rumus</v>
      </c>
      <c r="H43" s="106" t="s">
        <v>315</v>
      </c>
      <c r="I43" s="409"/>
      <c r="J43" s="409"/>
      <c r="K43" s="401" t="str">
        <f>IF(AND(I43&lt;&gt;"",J43&lt;&gt;""),(IF(OR(AND(L43="sks&gt;10",L42="sks&lt;=10",IFERROR(SUMPRODUCT($I$38:I42,$J$38:J42)&lt;10,FALSE)),AND(L43="sks&gt;10",L42="")),(((10-SUMPRODUCT($I$38:I42,$J$38:J42))*IF('LAMPIRAN I DONE'!$F$21="Tenaga Pengajar",0.5,IF(OR('LAMPIRAN I DONE'!$F$21="Asisten Ahli",'LAMPIRAN I DONE'!$F$21="Lektor",'LAMPIRAN I DONE'!$F$21="Lektor Kepala",'LAMPIRAN I DONE'!$F$21="Guru Besar"),1,"")))+(((I43*J43)-(10-SUMPRODUCT($I$38:I42,$J$38:J42)))*IF('LAMPIRAN I DONE'!$F$21="Tenaga Pengajar",0.25,IF(OR('LAMPIRAN I DONE'!$F$21="Asisten Ahli",'LAMPIRAN I DONE'!$F$21="Lektor",'LAMPIRAN I DONE'!$F$21="Lektor Kepala",'LAMPIRAN I DONE'!$F$21="Guru Besar"),0.5,"")))),IF(OR(AND(L43="sks&gt;10",L42="sks&gt;10"),AND(L43="sks&gt;10",L42="sks&lt;=10")),I43*J43*IF('LAMPIRAN I DONE'!$F$21="Tenaga Pengajar",0.25,IF(OR('LAMPIRAN I DONE'!$F$21="Asisten Ahli",'LAMPIRAN I DONE'!$F$21="Lektor",'LAMPIRAN I DONE'!$F$21="Lektor Kepala",'LAMPIRAN I DONE'!$F$21="Guru Besar"),0.5,"")),I43*J43*IF('LAMPIRAN I DONE'!$F$21="Tenaga Pengajar",0.5,IF(OR('LAMPIRAN I DONE'!$F$21="Asisten Ahli",'LAMPIRAN I DONE'!$F$21="Lektor",'LAMPIRAN I DONE'!$F$21="Lektor Kepala",'LAMPIRAN I DONE'!$F$21="Guru Besar"),1,""))))),"rumus")</f>
        <v>rumus</v>
      </c>
      <c r="L43" s="401" t="str">
        <f t="shared" si="12"/>
        <v>rumus</v>
      </c>
      <c r="M43" s="4"/>
      <c r="N43" s="4"/>
      <c r="O43" s="4"/>
      <c r="P43" s="4"/>
      <c r="Q43" s="4"/>
      <c r="R43" s="4"/>
      <c r="S43" s="4"/>
      <c r="T43" s="4"/>
      <c r="U43" s="4"/>
      <c r="V43" s="4"/>
      <c r="W43" s="4"/>
      <c r="X43" s="4"/>
      <c r="Y43" s="4"/>
      <c r="Z43" s="4"/>
    </row>
    <row r="44" spans="1:26" ht="25.5" customHeight="1" x14ac:dyDescent="0.25">
      <c r="A44" s="109">
        <v>6</v>
      </c>
      <c r="B44" s="397" t="s">
        <v>314</v>
      </c>
      <c r="C44" s="106" t="s">
        <v>312</v>
      </c>
      <c r="D44" s="106" t="str">
        <f t="shared" si="10"/>
        <v/>
      </c>
      <c r="E44" s="398" t="str">
        <f t="shared" si="11"/>
        <v/>
      </c>
      <c r="F44" s="398" t="str">
        <f>IF(K44&lt;&gt;"rumus",(IF(OR(AND(L44="sks&gt;10",L43="sks&lt;=10",IFERROR(SUMPRODUCT($I$38:I43,$J$38:J43)&lt;10,FALSE)),AND(L44="sks&gt;10",L43="")),((IF('LAMPIRAN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Besar"),0.5,"")))),((IF(OR(AND(L44="sks&gt;10",L43="sks&gt;10"),AND(L44="sks&gt;10",L43="sks&lt;=10")),IF('LAMPIRAN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4" s="398" t="str">
        <f>IF(K44&lt;&gt;"rumus",(IF(OR(AND(L44="sks&gt;10",L43="sks&lt;=10",IFERROR(SUMPRODUCT($I$38:I43,$J$38:J43)&lt;10,FALSE)),AND(L44="sks&gt;10",L43="")),(((10-SUMPRODUCT($I$38:I43,$J$38:J43))&amp;" x "&amp;1&amp;" x "&amp;IF('LAMPIRAN I DONE'!$F$21="Tenaga Pengajar",0.5,IF(OR('LAMPIRAN I DONE'!$F$21="Asisten Ahli",'LAMPIRAN I DONE'!$F$21="Lektor",'LAMPIRAN I DONE'!$F$21="Lektor Kepala",'LAMPIRAN I DONE'!$F$21="Guru Besar"),1,""))&amp;" = "&amp;((10-SUMPRODUCT($I$38:I43,$J$38:J43))*IF('LAMPIRAN I DONE'!$F$21="Tenaga Pengajar",0.5,IF(OR('LAMPIRAN I DONE'!$F$21="Asisten Ahli",'LAMPIRAN I DONE'!$F$21="Lektor",'LAMPIRAN I DONE'!$F$21="Lektor Kepala",'LAMPIRAN I DONE'!$F$21="Guru Besar"),1,""))))&amp;"
"&amp;(((I44*J44)-(10-SUMPRODUCT($I$38:I43,$J$38:J43)))&amp;" x "&amp;1&amp;" x "&amp;IF('LAMPIRAN I DONE'!$F$21="Tenaga Pengajar",0.25,IF(OR('LAMPIRAN I DONE'!$F$21="Asisten Ahli",'LAMPIRAN I DONE'!$F$21="Lektor",'LAMPIRAN I DONE'!$F$21="Lektor Kepala",'LAMPIRAN I DONE'!$F$21="Guru Besar"),0.5,""))&amp;" = "&amp;(((I44*J44)-(10-SUMPRODUCT($I$38:I43,$J$38:J43)))*IF('LAMPIRAN I DONE'!$F$21="Tenaga Pengajar",0.25,IF(OR('LAMPIRAN I DONE'!$F$21="Asisten Ahli",'LAMPIRAN I DONE'!$F$21="Lektor",'LAMPIRAN I DONE'!$F$21="Lektor Kepala",'LAMPIRAN I DONE'!$F$21="Guru Besar"),0.5,""))))),(I44&amp;" x "&amp;J44&amp;" x "&amp;(IF(OR(AND(L44="sks&gt;10",L43="sks&gt;10"),AND(L44="sks&gt;10",L43="sks&lt;=10")),IF('LAMPIRAN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"&amp;K44))),"rumus")</f>
        <v>rumus</v>
      </c>
      <c r="H44" s="106" t="s">
        <v>315</v>
      </c>
      <c r="I44" s="409"/>
      <c r="J44" s="409"/>
      <c r="K44" s="401" t="str">
        <f>IF(AND(I44&lt;&gt;"",J44&lt;&gt;""),(IF(OR(AND(L44="sks&gt;10",L43="sks&lt;=10",IFERROR(SUMPRODUCT($I$38:I43,$J$38:J43)&lt;10,FALSE)),AND(L44="sks&gt;10",L43="")),(((10-SUMPRODUCT($I$38:I43,$J$38:J43))*IF('LAMPIRAN I DONE'!$F$21="Tenaga Pengajar",0.5,IF(OR('LAMPIRAN I DONE'!$F$21="Asisten Ahli",'LAMPIRAN I DONE'!$F$21="Lektor",'LAMPIRAN I DONE'!$F$21="Lektor Kepala",'LAMPIRAN I DONE'!$F$21="Guru Besar"),1,"")))+(((I44*J44)-(10-SUMPRODUCT($I$38:I43,$J$38:J43)))*IF('LAMPIRAN I DONE'!$F$21="Tenaga Pengajar",0.25,IF(OR('LAMPIRAN I DONE'!$F$21="Asisten Ahli",'LAMPIRAN I DONE'!$F$21="Lektor",'LAMPIRAN I DONE'!$F$21="Lektor Kepala",'LAMPIRAN I DONE'!$F$21="Guru Besar"),0.5,"")))),IF(OR(AND(L44="sks&gt;10",L43="sks&gt;10"),AND(L44="sks&gt;10",L43="sks&lt;=10")),I44*J44*IF('LAMPIRAN I DONE'!$F$21="Tenaga Pengajar",0.25,IF(OR('LAMPIRAN I DONE'!$F$21="Asisten Ahli",'LAMPIRAN I DONE'!$F$21="Lektor",'LAMPIRAN I DONE'!$F$21="Lektor Kepala",'LAMPIRAN I DONE'!$F$21="Guru Besar"),0.5,"")),I44*J44*IF('LAMPIRAN I DONE'!$F$21="Tenaga Pengajar",0.5,IF(OR('LAMPIRAN I DONE'!$F$21="Asisten Ahli",'LAMPIRAN I DONE'!$F$21="Lektor",'LAMPIRAN I DONE'!$F$21="Lektor Kepala",'LAMPIRAN I DONE'!$F$21="Guru Besar"),1,""))))),"rumus")</f>
        <v>rumus</v>
      </c>
      <c r="L44" s="401" t="str">
        <f t="shared" si="12"/>
        <v>rumus</v>
      </c>
      <c r="M44" s="4"/>
      <c r="N44" s="4"/>
      <c r="O44" s="4"/>
      <c r="P44" s="4"/>
      <c r="Q44" s="4"/>
      <c r="R44" s="4"/>
      <c r="S44" s="4"/>
      <c r="T44" s="4"/>
      <c r="U44" s="4"/>
      <c r="V44" s="4"/>
      <c r="W44" s="4"/>
      <c r="X44" s="4"/>
      <c r="Y44" s="4"/>
      <c r="Z44" s="4"/>
    </row>
    <row r="45" spans="1:26" ht="15" customHeight="1" x14ac:dyDescent="0.25">
      <c r="A45" s="109"/>
      <c r="B45" s="406" t="str">
        <f>"a. Semester Gasal "&amp;IF(C46&lt;&gt;"",C46,"")&amp;" :"</f>
        <v>a. Semester Gasal 2013/2014 :</v>
      </c>
      <c r="C45" s="410"/>
      <c r="D45" s="410"/>
      <c r="E45" s="410"/>
      <c r="F45" s="410"/>
      <c r="G45" s="410"/>
      <c r="H45" s="411"/>
      <c r="I45" s="110"/>
      <c r="J45" s="110"/>
      <c r="K45" s="4"/>
      <c r="L45" s="4"/>
      <c r="M45" s="111">
        <f>IF((AND(N45="Max 5,5",SUM(K39:K44)&lt;=5.5)),SUM(K39:K44),IF((AND(N45="Max 5,5",SUM(K39:K44)&gt;5.5)),5.5,IF((AND(N45="Max 11",SUM(K39:K44)&lt;=11)),SUM(K39:K44),IF((AND(N45="Max 11",SUM(K39:K44)&gt;11)),11,""))))</f>
        <v>8</v>
      </c>
      <c r="N45" s="103" t="str">
        <f>IF('LAMPIRAN I DONE'!$F$21="Tenaga Pengajar","Max 5,5",IF(OR('LAMPIRAN I DONE'!$F$21="Asisten Ahli",'LAMPIRAN I DONE'!$F$21="Lektor",'LAMPIRAN I DONE'!$F$21="Lektor Kepala",'LAMPIRAN I DONE'!$F$21="Guru Besar"),"Max 11",""))</f>
        <v>Max 11</v>
      </c>
      <c r="O45" s="4"/>
      <c r="P45" s="4"/>
      <c r="Q45" s="4"/>
      <c r="R45" s="4"/>
      <c r="S45" s="4"/>
      <c r="T45" s="4"/>
      <c r="U45" s="4"/>
      <c r="V45" s="4"/>
      <c r="W45" s="4"/>
      <c r="X45" s="4"/>
      <c r="Y45" s="4"/>
      <c r="Z45" s="4"/>
    </row>
    <row r="46" spans="1:26" ht="25.5" customHeight="1" x14ac:dyDescent="0.25">
      <c r="A46" s="109">
        <v>1</v>
      </c>
      <c r="B46" s="570" t="s">
        <v>316</v>
      </c>
      <c r="C46" s="106" t="s">
        <v>317</v>
      </c>
      <c r="D46" s="106" t="str">
        <f t="shared" ref="D46:D51" si="13">IF(G46&lt;&gt;"rumus","SKS","")</f>
        <v>SKS</v>
      </c>
      <c r="E46" s="398" t="str">
        <f t="shared" ref="E46:E51" si="14">IF(K46&lt;&gt;"rumus",(IF(OR(AND(L46="sks&gt;10",L45="sks&lt;=10",IFERROR(SUMPRODUCT($I$45:I45,$J$45:J45)&lt;10,FALSE)),AND(L46="sks&gt;10",L45="")),(((10-SUMPRODUCT($I$45:I45,$J$45:J45))&amp;" x "&amp;1)&amp;"
"&amp;(((I46*J46)-(10-SUMPRODUCT($I$45:I45,$J$45:J45)))&amp;" x "&amp;1)),(I46&amp;" x "&amp;J46))),"")</f>
        <v>4 x 2</v>
      </c>
      <c r="F46" s="398">
        <f>IF(K46&lt;&gt;"rumus",(IF(OR(AND(L46="sks&gt;10",L45="sks&lt;=10",IFERROR(SUMPRODUCT($I$45:I45,$J$45:J45)&lt;10,FALSE)),AND(L46="sks&gt;10",L45="")),((IF('LAMPIRAN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Besar"),0.5,"")))),((IF(OR(AND(L46="sks&gt;10",L45="sks&gt;10"),AND(L46="sks&gt;10",L45="sks&lt;=10")),IF('LAMPIRAN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46" s="398" t="str">
        <f>IF(K46&lt;&gt;"rumus",(IF(OR(AND(L46="sks&gt;10",L45="sks&lt;=10",IFERROR(SUMPRODUCT($I$45:I45,$J$45:J45)&lt;10,FALSE)),AND(L46="sks&gt;10",L45="")),(((10-SUMPRODUCT($I$45:I45,$J$45:J45))&amp;" x "&amp;1&amp;" x "&amp;IF('LAMPIRAN I DONE'!$F$21="Tenaga Pengajar",0.5,IF(OR('LAMPIRAN I DONE'!$F$21="Asisten Ahli",'LAMPIRAN I DONE'!$F$21="Lektor",'LAMPIRAN I DONE'!$F$21="Lektor Kepala",'LAMPIRAN I DONE'!$F$21="Guru Besar"),1,""))&amp;" = "&amp;((10-SUMPRODUCT($I$45:I45,$J$45:J45))*IF('LAMPIRAN I DONE'!$F$21="Tenaga Pengajar",0.5,IF(OR('LAMPIRAN I DONE'!$F$21="Asisten Ahli",'LAMPIRAN I DONE'!$F$21="Lektor",'LAMPIRAN I DONE'!$F$21="Lektor Kepala",'LAMPIRAN I DONE'!$F$21="Guru Besar"),1,""))))&amp;"
"&amp;(((I46*J46)-(10-SUMPRODUCT($I$45:I45,$J$45:J45)))&amp;" x "&amp;1&amp;" x "&amp;IF('LAMPIRAN I DONE'!$F$21="Tenaga Pengajar",0.25,IF(OR('LAMPIRAN I DONE'!$F$21="Asisten Ahli",'LAMPIRAN I DONE'!$F$21="Lektor",'LAMPIRAN I DONE'!$F$21="Lektor Kepala",'LAMPIRAN I DONE'!$F$21="Guru Besar"),0.5,""))&amp;" = "&amp;(((I46*J46)-(10-SUMPRODUCT($I$45:I45,$J$45:J45)))*IF('LAMPIRAN I DONE'!$F$21="Tenaga Pengajar",0.25,IF(OR('LAMPIRAN I DONE'!$F$21="Asisten Ahli",'LAMPIRAN I DONE'!$F$21="Lektor",'LAMPIRAN I DONE'!$F$21="Lektor Kepala",'LAMPIRAN I DONE'!$F$21="Guru Besar"),0.5,""))))),(I46&amp;" x "&amp;J46&amp;" x "&amp;(IF(OR(AND(L46="sks&gt;10",L45="sks&gt;10"),AND(L46="sks&gt;10",L45="sks&lt;=10")),IF('LAMPIRAN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"&amp;K46))),"rumus")</f>
        <v>4 x 2 x 1 = 8</v>
      </c>
      <c r="H46" s="106" t="s">
        <v>318</v>
      </c>
      <c r="I46" s="409">
        <v>4</v>
      </c>
      <c r="J46" s="409">
        <v>2</v>
      </c>
      <c r="K46" s="401">
        <f>IF(AND(I46&lt;&gt;"",J46&lt;&gt;""),(IF(OR(AND(L46="sks&gt;10",L45="sks&lt;=10",IFERROR(SUMPRODUCT($I$45:I45,$J$45:J45)&lt;10,FALSE)),AND(L46="sks&gt;10",L45="")),(((10-SUMPRODUCT($I$45:I45,$J$45:J45))*IF('LAMPIRAN I DONE'!$F$21="Tenaga Pengajar",0.5,IF(OR('LAMPIRAN I DONE'!$F$21="Asisten Ahli",'LAMPIRAN I DONE'!$F$21="Lektor",'LAMPIRAN I DONE'!$F$21="Lektor Kepala",'LAMPIRAN I DONE'!$F$21="Guru Besar"),1,"")))+(((I46*J46)-(10-SUMPRODUCT($I$45:I45,$J$45:J45)))*IF('LAMPIRAN I DONE'!$F$21="Tenaga Pengajar",0.25,IF(OR('LAMPIRAN I DONE'!$F$21="Asisten Ahli",'LAMPIRAN I DONE'!$F$21="Lektor",'LAMPIRAN I DONE'!$F$21="Lektor Kepala",'LAMPIRAN I DONE'!$F$21="Guru Besar"),0.5,"")))),IF(OR(AND(L46="sks&gt;10",L45="sks&gt;10"),AND(L46="sks&gt;10",L45="sks&lt;=10")),I46*J46*IF('LAMPIRAN I DONE'!$F$21="Tenaga Pengajar",0.25,IF(OR('LAMPIRAN I DONE'!$F$21="Asisten Ahli",'LAMPIRAN I DONE'!$F$21="Lektor",'LAMPIRAN I DONE'!$F$21="Lektor Kepala",'LAMPIRAN I DONE'!$F$21="Guru Besar"),0.5,"")),I46*J46*IF('LAMPIRAN I DONE'!$F$21="Tenaga Pengajar",0.5,IF(OR('LAMPIRAN I DONE'!$F$21="Asisten Ahli",'LAMPIRAN I DONE'!$F$21="Lektor",'LAMPIRAN I DONE'!$F$21="Lektor Kepala",'LAMPIRAN I DONE'!$F$21="Guru Besar"),1,""))))),"rumus")</f>
        <v>8</v>
      </c>
      <c r="L46" s="401" t="str">
        <f t="shared" ref="L46:L51" si="15">IF(AND(I46&lt;&gt;"",J46&lt;&gt;""),(IF(SUMPRODUCT($I$46:I46,$J$46:J46)&lt;=10,"SKS&lt;=10",IF(SUMPRODUCT($I$46:I46,$J$46:J46)&gt;10,"SKS&gt;10",""))),"rumus")</f>
        <v>SKS&lt;=10</v>
      </c>
      <c r="M46" s="4"/>
      <c r="N46" s="4"/>
      <c r="O46" s="4"/>
      <c r="P46" s="4"/>
      <c r="Q46" s="4"/>
      <c r="R46" s="4"/>
      <c r="S46" s="4"/>
      <c r="T46" s="4"/>
      <c r="U46" s="4"/>
      <c r="V46" s="4"/>
      <c r="W46" s="4"/>
      <c r="X46" s="4"/>
      <c r="Y46" s="4"/>
      <c r="Z46" s="4"/>
    </row>
    <row r="47" spans="1:26" ht="25.5" customHeight="1" x14ac:dyDescent="0.25">
      <c r="A47" s="109">
        <v>2</v>
      </c>
      <c r="B47" s="397" t="s">
        <v>314</v>
      </c>
      <c r="C47" s="106" t="s">
        <v>317</v>
      </c>
      <c r="D47" s="106" t="str">
        <f t="shared" si="13"/>
        <v/>
      </c>
      <c r="E47" s="398" t="str">
        <f t="shared" si="14"/>
        <v/>
      </c>
      <c r="F47" s="398" t="str">
        <f>IF(K47&lt;&gt;"rumus",(IF(OR(AND(L47="sks&gt;10",L46="sks&lt;=10",IFERROR(SUMPRODUCT($I$45:I46,$J$45:J46)&lt;10,FALSE)),AND(L47="sks&gt;10",L46="")),((IF('LAMPIRAN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Besar"),0.5,"")))),((IF(OR(AND(L47="sks&gt;10",L46="sks&gt;10"),AND(L47="sks&gt;10",L46="sks&lt;=10")),IF('LAMPIRAN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7" s="398" t="str">
        <f>IF(K47&lt;&gt;"rumus",(IF(OR(AND(L47="sks&gt;10",L46="sks&lt;=10",IFERROR(SUMPRODUCT($I$45:I46,$J$45:J46)&lt;10,FALSE)),AND(L47="sks&gt;10",L46="")),(((10-SUMPRODUCT($I$45:I46,$J$45:J46))&amp;" x "&amp;1&amp;" x "&amp;IF('LAMPIRAN I DONE'!$F$21="Tenaga Pengajar",0.5,IF(OR('LAMPIRAN I DONE'!$F$21="Asisten Ahli",'LAMPIRAN I DONE'!$F$21="Lektor",'LAMPIRAN I DONE'!$F$21="Lektor Kepala",'LAMPIRAN I DONE'!$F$21="Guru Besar"),1,""))&amp;" = "&amp;((10-SUMPRODUCT($I$45:I46,$J$45:J46))*IF('LAMPIRAN I DONE'!$F$21="Tenaga Pengajar",0.5,IF(OR('LAMPIRAN I DONE'!$F$21="Asisten Ahli",'LAMPIRAN I DONE'!$F$21="Lektor",'LAMPIRAN I DONE'!$F$21="Lektor Kepala",'LAMPIRAN I DONE'!$F$21="Guru Besar"),1,""))))&amp;"
"&amp;(((I47*J47)-(10-SUMPRODUCT($I$45:I46,$J$45:J46)))&amp;" x "&amp;1&amp;" x "&amp;IF('LAMPIRAN I DONE'!$F$21="Tenaga Pengajar",0.25,IF(OR('LAMPIRAN I DONE'!$F$21="Asisten Ahli",'LAMPIRAN I DONE'!$F$21="Lektor",'LAMPIRAN I DONE'!$F$21="Lektor Kepala",'LAMPIRAN I DONE'!$F$21="Guru Besar"),0.5,""))&amp;" = "&amp;(((I47*J47)-(10-SUMPRODUCT($I$45:I46,$J$45:J46)))*IF('LAMPIRAN I DONE'!$F$21="Tenaga Pengajar",0.25,IF(OR('LAMPIRAN I DONE'!$F$21="Asisten Ahli",'LAMPIRAN I DONE'!$F$21="Lektor",'LAMPIRAN I DONE'!$F$21="Lektor Kepala",'LAMPIRAN I DONE'!$F$21="Guru Besar"),0.5,""))))),(I47&amp;" x "&amp;J47&amp;" x "&amp;(IF(OR(AND(L47="sks&gt;10",L46="sks&gt;10"),AND(L47="sks&gt;10",L46="sks&lt;=10")),IF('LAMPIRAN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"&amp;K47))),"rumus")</f>
        <v>rumus</v>
      </c>
      <c r="H47" s="106" t="s">
        <v>315</v>
      </c>
      <c r="I47" s="409"/>
      <c r="J47" s="409"/>
      <c r="K47" s="401" t="str">
        <f>IF(AND(I47&lt;&gt;"",J47&lt;&gt;""),(IF(OR(AND(L47="sks&gt;10",L46="sks&lt;=10",IFERROR(SUMPRODUCT($I$45:I46,$J$45:J46)&lt;10,FALSE)),AND(L47="sks&gt;10",L46="")),(((10-SUMPRODUCT($I$45:I46,$J$45:J46))*IF('LAMPIRAN I DONE'!$F$21="Tenaga Pengajar",0.5,IF(OR('LAMPIRAN I DONE'!$F$21="Asisten Ahli",'LAMPIRAN I DONE'!$F$21="Lektor",'LAMPIRAN I DONE'!$F$21="Lektor Kepala",'LAMPIRAN I DONE'!$F$21="Guru Besar"),1,"")))+(((I47*J47)-(10-SUMPRODUCT($I$45:I46,$J$45:J46)))*IF('LAMPIRAN I DONE'!$F$21="Tenaga Pengajar",0.25,IF(OR('LAMPIRAN I DONE'!$F$21="Asisten Ahli",'LAMPIRAN I DONE'!$F$21="Lektor",'LAMPIRAN I DONE'!$F$21="Lektor Kepala",'LAMPIRAN I DONE'!$F$21="Guru Besar"),0.5,"")))),IF(OR(AND(L47="sks&gt;10",L46="sks&gt;10"),AND(L47="sks&gt;10",L46="sks&lt;=10")),I47*J47*IF('LAMPIRAN I DONE'!$F$21="Tenaga Pengajar",0.25,IF(OR('LAMPIRAN I DONE'!$F$21="Asisten Ahli",'LAMPIRAN I DONE'!$F$21="Lektor",'LAMPIRAN I DONE'!$F$21="Lektor Kepala",'LAMPIRAN I DONE'!$F$21="Guru Besar"),0.5,"")),I47*J47*IF('LAMPIRAN I DONE'!$F$21="Tenaga Pengajar",0.5,IF(OR('LAMPIRAN I DONE'!$F$21="Asisten Ahli",'LAMPIRAN I DONE'!$F$21="Lektor",'LAMPIRAN I DONE'!$F$21="Lektor Kepala",'LAMPIRAN I DONE'!$F$21="Guru Besar"),1,""))))),"rumus")</f>
        <v>rumus</v>
      </c>
      <c r="L47" s="401" t="str">
        <f t="shared" si="15"/>
        <v>rumus</v>
      </c>
      <c r="M47" s="4"/>
      <c r="N47" s="4"/>
      <c r="O47" s="4"/>
      <c r="P47" s="4"/>
      <c r="Q47" s="4"/>
      <c r="R47" s="4"/>
      <c r="S47" s="4"/>
      <c r="T47" s="4"/>
      <c r="U47" s="4"/>
      <c r="V47" s="4"/>
      <c r="W47" s="4"/>
      <c r="X47" s="4"/>
      <c r="Y47" s="4"/>
      <c r="Z47" s="4"/>
    </row>
    <row r="48" spans="1:26" ht="25.5" customHeight="1" x14ac:dyDescent="0.25">
      <c r="A48" s="109">
        <v>3</v>
      </c>
      <c r="B48" s="397" t="s">
        <v>314</v>
      </c>
      <c r="C48" s="106" t="s">
        <v>317</v>
      </c>
      <c r="D48" s="106" t="str">
        <f t="shared" si="13"/>
        <v/>
      </c>
      <c r="E48" s="398" t="str">
        <f t="shared" si="14"/>
        <v/>
      </c>
      <c r="F48" s="398" t="str">
        <f>IF(K48&lt;&gt;"rumus",(IF(OR(AND(L48="sks&gt;10",L47="sks&lt;=10",IFERROR(SUMPRODUCT($I$45:I47,$J$45:J47)&lt;10,FALSE)),AND(L48="sks&gt;10",L47="")),((IF('LAMPIRAN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Besar"),0.5,"")))),((IF(OR(AND(L48="sks&gt;10",L47="sks&gt;10"),AND(L48="sks&gt;10",L47="sks&lt;=10")),IF('LAMPIRAN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8" s="398" t="str">
        <f>IF(K48&lt;&gt;"rumus",(IF(OR(AND(L48="sks&gt;10",L47="sks&lt;=10",IFERROR(SUMPRODUCT($I$45:I47,$J$45:J47)&lt;10,FALSE)),AND(L48="sks&gt;10",L47="")),(((10-SUMPRODUCT($I$45:I47,$J$45:J47))&amp;" x "&amp;1&amp;" x "&amp;IF('LAMPIRAN I DONE'!$F$21="Tenaga Pengajar",0.5,IF(OR('LAMPIRAN I DONE'!$F$21="Asisten Ahli",'LAMPIRAN I DONE'!$F$21="Lektor",'LAMPIRAN I DONE'!$F$21="Lektor Kepala",'LAMPIRAN I DONE'!$F$21="Guru Besar"),1,""))&amp;" = "&amp;((10-SUMPRODUCT($I$45:I47,$J$45:J47))*IF('LAMPIRAN I DONE'!$F$21="Tenaga Pengajar",0.5,IF(OR('LAMPIRAN I DONE'!$F$21="Asisten Ahli",'LAMPIRAN I DONE'!$F$21="Lektor",'LAMPIRAN I DONE'!$F$21="Lektor Kepala",'LAMPIRAN I DONE'!$F$21="Guru Besar"),1,""))))&amp;"
"&amp;(((I48*J48)-(10-SUMPRODUCT($I$45:I47,$J$45:J47)))&amp;" x "&amp;1&amp;" x "&amp;IF('LAMPIRAN I DONE'!$F$21="Tenaga Pengajar",0.25,IF(OR('LAMPIRAN I DONE'!$F$21="Asisten Ahli",'LAMPIRAN I DONE'!$F$21="Lektor",'LAMPIRAN I DONE'!$F$21="Lektor Kepala",'LAMPIRAN I DONE'!$F$21="Guru Besar"),0.5,""))&amp;" = "&amp;(((I48*J48)-(10-SUMPRODUCT($I$45:I47,$J$45:J47)))*IF('LAMPIRAN I DONE'!$F$21="Tenaga Pengajar",0.25,IF(OR('LAMPIRAN I DONE'!$F$21="Asisten Ahli",'LAMPIRAN I DONE'!$F$21="Lektor",'LAMPIRAN I DONE'!$F$21="Lektor Kepala",'LAMPIRAN I DONE'!$F$21="Guru Besar"),0.5,""))))),(I48&amp;" x "&amp;J48&amp;" x "&amp;(IF(OR(AND(L48="sks&gt;10",L47="sks&gt;10"),AND(L48="sks&gt;10",L47="sks&lt;=10")),IF('LAMPIRAN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"&amp;K48))),"rumus")</f>
        <v>rumus</v>
      </c>
      <c r="H48" s="106" t="s">
        <v>315</v>
      </c>
      <c r="I48" s="409"/>
      <c r="J48" s="409"/>
      <c r="K48" s="401" t="str">
        <f>IF(AND(I48&lt;&gt;"",J48&lt;&gt;""),(IF(OR(AND(L48="sks&gt;10",L47="sks&lt;=10",IFERROR(SUMPRODUCT($I$45:I47,$J$45:J47)&lt;10,FALSE)),AND(L48="sks&gt;10",L47="")),(((10-SUMPRODUCT($I$45:I47,$J$45:J47))*IF('LAMPIRAN I DONE'!$F$21="Tenaga Pengajar",0.5,IF(OR('LAMPIRAN I DONE'!$F$21="Asisten Ahli",'LAMPIRAN I DONE'!$F$21="Lektor",'LAMPIRAN I DONE'!$F$21="Lektor Kepala",'LAMPIRAN I DONE'!$F$21="Guru Besar"),1,"")))+(((I48*J48)-(10-SUMPRODUCT($I$45:I47,$J$45:J47)))*IF('LAMPIRAN I DONE'!$F$21="Tenaga Pengajar",0.25,IF(OR('LAMPIRAN I DONE'!$F$21="Asisten Ahli",'LAMPIRAN I DONE'!$F$21="Lektor",'LAMPIRAN I DONE'!$F$21="Lektor Kepala",'LAMPIRAN I DONE'!$F$21="Guru Besar"),0.5,"")))),IF(OR(AND(L48="sks&gt;10",L47="sks&gt;10"),AND(L48="sks&gt;10",L47="sks&lt;=10")),I48*J48*IF('LAMPIRAN I DONE'!$F$21="Tenaga Pengajar",0.25,IF(OR('LAMPIRAN I DONE'!$F$21="Asisten Ahli",'LAMPIRAN I DONE'!$F$21="Lektor",'LAMPIRAN I DONE'!$F$21="Lektor Kepala",'LAMPIRAN I DONE'!$F$21="Guru Besar"),0.5,"")),I48*J48*IF('LAMPIRAN I DONE'!$F$21="Tenaga Pengajar",0.5,IF(OR('LAMPIRAN I DONE'!$F$21="Asisten Ahli",'LAMPIRAN I DONE'!$F$21="Lektor",'LAMPIRAN I DONE'!$F$21="Lektor Kepala",'LAMPIRAN I DONE'!$F$21="Guru Besar"),1,""))))),"rumus")</f>
        <v>rumus</v>
      </c>
      <c r="L48" s="401" t="str">
        <f t="shared" si="15"/>
        <v>rumus</v>
      </c>
      <c r="M48" s="4"/>
      <c r="N48" s="4"/>
      <c r="O48" s="4"/>
      <c r="P48" s="4"/>
      <c r="Q48" s="4"/>
      <c r="R48" s="4"/>
      <c r="S48" s="4"/>
      <c r="T48" s="4"/>
      <c r="U48" s="4"/>
      <c r="V48" s="4"/>
      <c r="W48" s="4"/>
      <c r="X48" s="4"/>
      <c r="Y48" s="4"/>
      <c r="Z48" s="4"/>
    </row>
    <row r="49" spans="1:26" ht="25.5" customHeight="1" x14ac:dyDescent="0.25">
      <c r="A49" s="109">
        <v>4</v>
      </c>
      <c r="B49" s="397" t="s">
        <v>314</v>
      </c>
      <c r="C49" s="106" t="s">
        <v>317</v>
      </c>
      <c r="D49" s="106" t="str">
        <f t="shared" si="13"/>
        <v/>
      </c>
      <c r="E49" s="398" t="str">
        <f t="shared" si="14"/>
        <v/>
      </c>
      <c r="F49" s="398" t="str">
        <f>IF(K49&lt;&gt;"rumus",(IF(OR(AND(L49="sks&gt;10",L48="sks&lt;=10",IFERROR(SUMPRODUCT($I$45:I48,$J$45:J48)&lt;10,FALSE)),AND(L49="sks&gt;10",L48="")),((IF('LAMPIRAN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Besar"),0.5,"")))),((IF(OR(AND(L49="sks&gt;10",L48="sks&gt;10"),AND(L49="sks&gt;10",L48="sks&lt;=10")),IF('LAMPIRAN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49" s="398" t="str">
        <f>IF(K49&lt;&gt;"rumus",(IF(OR(AND(L49="sks&gt;10",L48="sks&lt;=10",IFERROR(SUMPRODUCT($I$45:I48,$J$45:J48)&lt;10,FALSE)),AND(L49="sks&gt;10",L48="")),(((10-SUMPRODUCT($I$45:I48,$J$45:J48))&amp;" x "&amp;1&amp;" x "&amp;IF('LAMPIRAN I DONE'!$F$21="Tenaga Pengajar",0.5,IF(OR('LAMPIRAN I DONE'!$F$21="Asisten Ahli",'LAMPIRAN I DONE'!$F$21="Lektor",'LAMPIRAN I DONE'!$F$21="Lektor Kepala",'LAMPIRAN I DONE'!$F$21="Guru Besar"),1,""))&amp;" = "&amp;((10-SUMPRODUCT($I$45:I48,$J$45:J48))*IF('LAMPIRAN I DONE'!$F$21="Tenaga Pengajar",0.5,IF(OR('LAMPIRAN I DONE'!$F$21="Asisten Ahli",'LAMPIRAN I DONE'!$F$21="Lektor",'LAMPIRAN I DONE'!$F$21="Lektor Kepala",'LAMPIRAN I DONE'!$F$21="Guru Besar"),1,""))))&amp;"
"&amp;(((I49*J49)-(10-SUMPRODUCT($I$45:I48,$J$45:J48)))&amp;" x "&amp;1&amp;" x "&amp;IF('LAMPIRAN I DONE'!$F$21="Tenaga Pengajar",0.25,IF(OR('LAMPIRAN I DONE'!$F$21="Asisten Ahli",'LAMPIRAN I DONE'!$F$21="Lektor",'LAMPIRAN I DONE'!$F$21="Lektor Kepala",'LAMPIRAN I DONE'!$F$21="Guru Besar"),0.5,""))&amp;" = "&amp;(((I49*J49)-(10-SUMPRODUCT($I$45:I48,$J$45:J48)))*IF('LAMPIRAN I DONE'!$F$21="Tenaga Pengajar",0.25,IF(OR('LAMPIRAN I DONE'!$F$21="Asisten Ahli",'LAMPIRAN I DONE'!$F$21="Lektor",'LAMPIRAN I DONE'!$F$21="Lektor Kepala",'LAMPIRAN I DONE'!$F$21="Guru Besar"),0.5,""))))),(I49&amp;" x "&amp;J49&amp;" x "&amp;(IF(OR(AND(L49="sks&gt;10",L48="sks&gt;10"),AND(L49="sks&gt;10",L48="sks&lt;=10")),IF('LAMPIRAN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"&amp;K49))),"rumus")</f>
        <v>rumus</v>
      </c>
      <c r="H49" s="106" t="s">
        <v>315</v>
      </c>
      <c r="I49" s="409"/>
      <c r="J49" s="409"/>
      <c r="K49" s="401" t="str">
        <f>IF(AND(I49&lt;&gt;"",J49&lt;&gt;""),(IF(OR(AND(L49="sks&gt;10",L48="sks&lt;=10",IFERROR(SUMPRODUCT($I$45:I48,$J$45:J48)&lt;10,FALSE)),AND(L49="sks&gt;10",L48="")),(((10-SUMPRODUCT($I$45:I48,$J$45:J48))*IF('LAMPIRAN I DONE'!$F$21="Tenaga Pengajar",0.5,IF(OR('LAMPIRAN I DONE'!$F$21="Asisten Ahli",'LAMPIRAN I DONE'!$F$21="Lektor",'LAMPIRAN I DONE'!$F$21="Lektor Kepala",'LAMPIRAN I DONE'!$F$21="Guru Besar"),1,"")))+(((I49*J49)-(10-SUMPRODUCT($I$45:I48,$J$45:J48)))*IF('LAMPIRAN I DONE'!$F$21="Tenaga Pengajar",0.25,IF(OR('LAMPIRAN I DONE'!$F$21="Asisten Ahli",'LAMPIRAN I DONE'!$F$21="Lektor",'LAMPIRAN I DONE'!$F$21="Lektor Kepala",'LAMPIRAN I DONE'!$F$21="Guru Besar"),0.5,"")))),IF(OR(AND(L49="sks&gt;10",L48="sks&gt;10"),AND(L49="sks&gt;10",L48="sks&lt;=10")),I49*J49*IF('LAMPIRAN I DONE'!$F$21="Tenaga Pengajar",0.25,IF(OR('LAMPIRAN I DONE'!$F$21="Asisten Ahli",'LAMPIRAN I DONE'!$F$21="Lektor",'LAMPIRAN I DONE'!$F$21="Lektor Kepala",'LAMPIRAN I DONE'!$F$21="Guru Besar"),0.5,"")),I49*J49*IF('LAMPIRAN I DONE'!$F$21="Tenaga Pengajar",0.5,IF(OR('LAMPIRAN I DONE'!$F$21="Asisten Ahli",'LAMPIRAN I DONE'!$F$21="Lektor",'LAMPIRAN I DONE'!$F$21="Lektor Kepala",'LAMPIRAN I DONE'!$F$21="Guru Besar"),1,""))))),"rumus")</f>
        <v>rumus</v>
      </c>
      <c r="L49" s="401" t="str">
        <f t="shared" si="15"/>
        <v>rumus</v>
      </c>
      <c r="M49" s="4"/>
      <c r="N49" s="4"/>
      <c r="O49" s="4"/>
      <c r="P49" s="4"/>
      <c r="Q49" s="4"/>
      <c r="R49" s="4"/>
      <c r="S49" s="4"/>
      <c r="T49" s="4"/>
      <c r="U49" s="4"/>
      <c r="V49" s="4"/>
      <c r="W49" s="4"/>
      <c r="X49" s="4"/>
      <c r="Y49" s="4"/>
      <c r="Z49" s="4"/>
    </row>
    <row r="50" spans="1:26" ht="25.5" customHeight="1" x14ac:dyDescent="0.25">
      <c r="A50" s="109">
        <v>5</v>
      </c>
      <c r="B50" s="397" t="s">
        <v>314</v>
      </c>
      <c r="C50" s="106" t="s">
        <v>317</v>
      </c>
      <c r="D50" s="106" t="str">
        <f t="shared" si="13"/>
        <v/>
      </c>
      <c r="E50" s="398" t="str">
        <f t="shared" si="14"/>
        <v/>
      </c>
      <c r="F50" s="398" t="str">
        <f>IF(K50&lt;&gt;"rumus",(IF(OR(AND(L50="sks&gt;10",L49="sks&lt;=10",IFERROR(SUMPRODUCT($I$45:I49,$J$45:J49)&lt;10,FALSE)),AND(L50="sks&gt;10",L49="")),((IF('LAMPIRAN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Besar"),0.5,"")))),((IF(OR(AND(L50="sks&gt;10",L49="sks&gt;10"),AND(L50="sks&gt;10",L49="sks&lt;=10")),IF('LAMPIRAN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50" s="398" t="str">
        <f>IF(K50&lt;&gt;"rumus",(IF(OR(AND(L50="sks&gt;10",L49="sks&lt;=10",IFERROR(SUMPRODUCT($I$45:I49,$J$45:J49)&lt;10,FALSE)),AND(L50="sks&gt;10",L49="")),(((10-SUMPRODUCT($I$45:I49,$J$45:J49))&amp;" x "&amp;1&amp;" x "&amp;IF('LAMPIRAN I DONE'!$F$21="Tenaga Pengajar",0.5,IF(OR('LAMPIRAN I DONE'!$F$21="Asisten Ahli",'LAMPIRAN I DONE'!$F$21="Lektor",'LAMPIRAN I DONE'!$F$21="Lektor Kepala",'LAMPIRAN I DONE'!$F$21="Guru Besar"),1,""))&amp;" = "&amp;((10-SUMPRODUCT($I$45:I49,$J$45:J49))*IF('LAMPIRAN I DONE'!$F$21="Tenaga Pengajar",0.5,IF(OR('LAMPIRAN I DONE'!$F$21="Asisten Ahli",'LAMPIRAN I DONE'!$F$21="Lektor",'LAMPIRAN I DONE'!$F$21="Lektor Kepala",'LAMPIRAN I DONE'!$F$21="Guru Besar"),1,""))))&amp;"
"&amp;(((I50*J50)-(10-SUMPRODUCT($I$45:I49,$J$45:J49)))&amp;" x "&amp;1&amp;" x "&amp;IF('LAMPIRAN I DONE'!$F$21="Tenaga Pengajar",0.25,IF(OR('LAMPIRAN I DONE'!$F$21="Asisten Ahli",'LAMPIRAN I DONE'!$F$21="Lektor",'LAMPIRAN I DONE'!$F$21="Lektor Kepala",'LAMPIRAN I DONE'!$F$21="Guru Besar"),0.5,""))&amp;" = "&amp;(((I50*J50)-(10-SUMPRODUCT($I$45:I49,$J$45:J49)))*IF('LAMPIRAN I DONE'!$F$21="Tenaga Pengajar",0.25,IF(OR('LAMPIRAN I DONE'!$F$21="Asisten Ahli",'LAMPIRAN I DONE'!$F$21="Lektor",'LAMPIRAN I DONE'!$F$21="Lektor Kepala",'LAMPIRAN I DONE'!$F$21="Guru Besar"),0.5,""))))),(I50&amp;" x "&amp;J50&amp;" x "&amp;(IF(OR(AND(L50="sks&gt;10",L49="sks&gt;10"),AND(L50="sks&gt;10",L49="sks&lt;=10")),IF('LAMPIRAN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"&amp;K50))),"rumus")</f>
        <v>rumus</v>
      </c>
      <c r="H50" s="106" t="s">
        <v>315</v>
      </c>
      <c r="I50" s="409"/>
      <c r="J50" s="409"/>
      <c r="K50" s="401" t="str">
        <f>IF(AND(I50&lt;&gt;"",J50&lt;&gt;""),(IF(OR(AND(L50="sks&gt;10",L49="sks&lt;=10",IFERROR(SUMPRODUCT($I$45:I49,$J$45:J49)&lt;10,FALSE)),AND(L50="sks&gt;10",L49="")),(((10-SUMPRODUCT($I$45:I49,$J$45:J49))*IF('LAMPIRAN I DONE'!$F$21="Tenaga Pengajar",0.5,IF(OR('LAMPIRAN I DONE'!$F$21="Asisten Ahli",'LAMPIRAN I DONE'!$F$21="Lektor",'LAMPIRAN I DONE'!$F$21="Lektor Kepala",'LAMPIRAN I DONE'!$F$21="Guru Besar"),1,"")))+(((I50*J50)-(10-SUMPRODUCT($I$45:I49,$J$45:J49)))*IF('LAMPIRAN I DONE'!$F$21="Tenaga Pengajar",0.25,IF(OR('LAMPIRAN I DONE'!$F$21="Asisten Ahli",'LAMPIRAN I DONE'!$F$21="Lektor",'LAMPIRAN I DONE'!$F$21="Lektor Kepala",'LAMPIRAN I DONE'!$F$21="Guru Besar"),0.5,"")))),IF(OR(AND(L50="sks&gt;10",L49="sks&gt;10"),AND(L50="sks&gt;10",L49="sks&lt;=10")),I50*J50*IF('LAMPIRAN I DONE'!$F$21="Tenaga Pengajar",0.25,IF(OR('LAMPIRAN I DONE'!$F$21="Asisten Ahli",'LAMPIRAN I DONE'!$F$21="Lektor",'LAMPIRAN I DONE'!$F$21="Lektor Kepala",'LAMPIRAN I DONE'!$F$21="Guru Besar"),0.5,"")),I50*J50*IF('LAMPIRAN I DONE'!$F$21="Tenaga Pengajar",0.5,IF(OR('LAMPIRAN I DONE'!$F$21="Asisten Ahli",'LAMPIRAN I DONE'!$F$21="Lektor",'LAMPIRAN I DONE'!$F$21="Lektor Kepala",'LAMPIRAN I DONE'!$F$21="Guru Besar"),1,""))))),"rumus")</f>
        <v>rumus</v>
      </c>
      <c r="L50" s="401" t="str">
        <f t="shared" si="15"/>
        <v>rumus</v>
      </c>
      <c r="M50" s="4"/>
      <c r="N50" s="4"/>
      <c r="O50" s="4"/>
      <c r="P50" s="4"/>
      <c r="Q50" s="4"/>
      <c r="R50" s="4"/>
      <c r="S50" s="4"/>
      <c r="T50" s="4"/>
      <c r="U50" s="4"/>
      <c r="V50" s="4"/>
      <c r="W50" s="4"/>
      <c r="X50" s="4"/>
      <c r="Y50" s="4"/>
      <c r="Z50" s="4"/>
    </row>
    <row r="51" spans="1:26" ht="25.5" customHeight="1" x14ac:dyDescent="0.25">
      <c r="A51" s="109">
        <v>6</v>
      </c>
      <c r="B51" s="397" t="s">
        <v>314</v>
      </c>
      <c r="C51" s="106" t="s">
        <v>317</v>
      </c>
      <c r="D51" s="106" t="str">
        <f t="shared" si="13"/>
        <v/>
      </c>
      <c r="E51" s="398" t="str">
        <f t="shared" si="14"/>
        <v/>
      </c>
      <c r="F51" s="398" t="str">
        <f>IF(K51&lt;&gt;"rumus",(IF(OR(AND(L51="sks&gt;10",L50="sks&lt;=10",IFERROR(SUMPRODUCT($I$45:I50,$J$45:J50)&lt;10,FALSE)),AND(L51="sks&gt;10",L50="")),((IF('LAMPIRAN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Besar"),0.5,"")))),((IF(OR(AND(L51="sks&gt;10",L50="sks&gt;10"),AND(L51="sks&gt;10",L50="sks&lt;=10")),IF('LAMPIRAN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51" s="398" t="str">
        <f>IF(K51&lt;&gt;"rumus",(IF(OR(AND(L51="sks&gt;10",L50="sks&lt;=10",IFERROR(SUMPRODUCT($I$45:I50,$J$45:J50)&lt;10,FALSE)),AND(L51="sks&gt;10",L50="")),(((10-SUMPRODUCT($I$45:I50,$J$45:J50))&amp;" x "&amp;1&amp;" x "&amp;IF('LAMPIRAN I DONE'!$F$21="Tenaga Pengajar",0.5,IF(OR('LAMPIRAN I DONE'!$F$21="Asisten Ahli",'LAMPIRAN I DONE'!$F$21="Lektor",'LAMPIRAN I DONE'!$F$21="Lektor Kepala",'LAMPIRAN I DONE'!$F$21="Guru Besar"),1,""))&amp;" = "&amp;((10-SUMPRODUCT($I$45:I50,$J$45:J50))*IF('LAMPIRAN I DONE'!$F$21="Tenaga Pengajar",0.5,IF(OR('LAMPIRAN I DONE'!$F$21="Asisten Ahli",'LAMPIRAN I DONE'!$F$21="Lektor",'LAMPIRAN I DONE'!$F$21="Lektor Kepala",'LAMPIRAN I DONE'!$F$21="Guru Besar"),1,""))))&amp;"
"&amp;(((I51*J51)-(10-SUMPRODUCT($I$45:I50,$J$45:J50)))&amp;" x "&amp;1&amp;" x "&amp;IF('LAMPIRAN I DONE'!$F$21="Tenaga Pengajar",0.25,IF(OR('LAMPIRAN I DONE'!$F$21="Asisten Ahli",'LAMPIRAN I DONE'!$F$21="Lektor",'LAMPIRAN I DONE'!$F$21="Lektor Kepala",'LAMPIRAN I DONE'!$F$21="Guru Besar"),0.5,""))&amp;" = "&amp;(((I51*J51)-(10-SUMPRODUCT($I$45:I50,$J$45:J50)))*IF('LAMPIRAN I DONE'!$F$21="Tenaga Pengajar",0.25,IF(OR('LAMPIRAN I DONE'!$F$21="Asisten Ahli",'LAMPIRAN I DONE'!$F$21="Lektor",'LAMPIRAN I DONE'!$F$21="Lektor Kepala",'LAMPIRAN I DONE'!$F$21="Guru Besar"),0.5,""))))),(I51&amp;" x "&amp;J51&amp;" x "&amp;(IF(OR(AND(L51="sks&gt;10",L50="sks&gt;10"),AND(L51="sks&gt;10",L50="sks&lt;=10")),IF('LAMPIRAN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"&amp;K51))),"rumus")</f>
        <v>rumus</v>
      </c>
      <c r="H51" s="106" t="s">
        <v>315</v>
      </c>
      <c r="I51" s="409"/>
      <c r="J51" s="409"/>
      <c r="K51" s="401" t="str">
        <f>IF(AND(I51&lt;&gt;"",J51&lt;&gt;""),(IF(OR(AND(L51="sks&gt;10",L50="sks&lt;=10",IFERROR(SUMPRODUCT($I$45:I50,$J$45:J50)&lt;10,FALSE)),AND(L51="sks&gt;10",L50="")),(((10-SUMPRODUCT($I$45:I50,$J$45:J50))*IF('LAMPIRAN I DONE'!$F$21="Tenaga Pengajar",0.5,IF(OR('LAMPIRAN I DONE'!$F$21="Asisten Ahli",'LAMPIRAN I DONE'!$F$21="Lektor",'LAMPIRAN I DONE'!$F$21="Lektor Kepala",'LAMPIRAN I DONE'!$F$21="Guru Besar"),1,"")))+(((I51*J51)-(10-SUMPRODUCT($I$45:I50,$J$45:J50)))*IF('LAMPIRAN I DONE'!$F$21="Tenaga Pengajar",0.25,IF(OR('LAMPIRAN I DONE'!$F$21="Asisten Ahli",'LAMPIRAN I DONE'!$F$21="Lektor",'LAMPIRAN I DONE'!$F$21="Lektor Kepala",'LAMPIRAN I DONE'!$F$21="Guru Besar"),0.5,"")))),IF(OR(AND(L51="sks&gt;10",L50="sks&gt;10"),AND(L51="sks&gt;10",L50="sks&lt;=10")),I51*J51*IF('LAMPIRAN I DONE'!$F$21="Tenaga Pengajar",0.25,IF(OR('LAMPIRAN I DONE'!$F$21="Asisten Ahli",'LAMPIRAN I DONE'!$F$21="Lektor",'LAMPIRAN I DONE'!$F$21="Lektor Kepala",'LAMPIRAN I DONE'!$F$21="Guru Besar"),0.5,"")),I51*J51*IF('LAMPIRAN I DONE'!$F$21="Tenaga Pengajar",0.5,IF(OR('LAMPIRAN I DONE'!$F$21="Asisten Ahli",'LAMPIRAN I DONE'!$F$21="Lektor",'LAMPIRAN I DONE'!$F$21="Lektor Kepala",'LAMPIRAN I DONE'!$F$21="Guru Besar"),1,""))))),"rumus")</f>
        <v>rumus</v>
      </c>
      <c r="L51" s="401" t="str">
        <f t="shared" si="15"/>
        <v>rumus</v>
      </c>
      <c r="M51" s="4"/>
      <c r="N51" s="4"/>
      <c r="O51" s="4"/>
      <c r="P51" s="4"/>
      <c r="Q51" s="4"/>
      <c r="R51" s="4"/>
      <c r="S51" s="4"/>
      <c r="T51" s="4"/>
      <c r="U51" s="4"/>
      <c r="V51" s="4"/>
      <c r="W51" s="4"/>
      <c r="X51" s="4"/>
      <c r="Y51" s="4"/>
      <c r="Z51" s="4"/>
    </row>
    <row r="52" spans="1:26" ht="15" customHeight="1" x14ac:dyDescent="0.25">
      <c r="A52" s="109"/>
      <c r="B52" s="406" t="str">
        <f>"a. Semester Gasal "&amp;IF(C53&lt;&gt;"",C53,"")&amp;" :"</f>
        <v>a. Semester Gasal 2014/2015 :</v>
      </c>
      <c r="C52" s="410"/>
      <c r="D52" s="410"/>
      <c r="E52" s="410"/>
      <c r="F52" s="410"/>
      <c r="G52" s="410"/>
      <c r="H52" s="411"/>
      <c r="I52" s="110"/>
      <c r="J52" s="110"/>
      <c r="K52" s="112"/>
      <c r="L52" s="112"/>
      <c r="M52" s="111">
        <f>IF((AND(N52="Max 5,5",SUM(K46:K51)&lt;=5.5)),SUM(K46:K51),IF((AND(N52="Max 5,5",SUM(K46:K51)&gt;5.5)),5.5,IF((AND(N52="Max 11",SUM(K46:K51)&lt;=11)),SUM(K46:K51),IF((AND(N52="Max 11",SUM(K46:K51)&gt;11)),11,""))))</f>
        <v>8</v>
      </c>
      <c r="N52" s="103" t="str">
        <f>IF('LAMPIRAN I DONE'!$F$21="Tenaga Pengajar","Max 5,5",IF(OR('LAMPIRAN I DONE'!$F$21="Asisten Ahli",'LAMPIRAN I DONE'!$F$21="Lektor",'LAMPIRAN I DONE'!$F$21="Lektor Kepala",'LAMPIRAN I DONE'!$F$21="Guru Besar"),"Max 11",""))</f>
        <v>Max 11</v>
      </c>
      <c r="O52" s="4"/>
      <c r="P52" s="4"/>
      <c r="Q52" s="4"/>
      <c r="R52" s="4"/>
      <c r="S52" s="4"/>
      <c r="T52" s="4"/>
      <c r="U52" s="4"/>
      <c r="V52" s="4"/>
      <c r="W52" s="4"/>
      <c r="X52" s="4"/>
      <c r="Y52" s="4"/>
      <c r="Z52" s="4"/>
    </row>
    <row r="53" spans="1:26" ht="25.5" customHeight="1" x14ac:dyDescent="0.25">
      <c r="A53" s="109">
        <v>1</v>
      </c>
      <c r="B53" s="570" t="s">
        <v>316</v>
      </c>
      <c r="C53" s="106" t="s">
        <v>319</v>
      </c>
      <c r="D53" s="106" t="str">
        <f t="shared" ref="D53:D58" si="16">IF(G53&lt;&gt;"rumus","SKS","")</f>
        <v>SKS</v>
      </c>
      <c r="E53" s="398" t="str">
        <f t="shared" ref="E53:E58" si="17">IF(K53&lt;&gt;"rumus",(IF(OR(AND(L53="sks&gt;10",L52="sks&lt;=10",IFERROR(SUMPRODUCT($I$52:I52,$J$52:J52)&lt;10,FALSE)),AND(L53="sks&gt;10",L52="")),(((10-SUMPRODUCT($I$52:I52,$J$52:J52))&amp;" x "&amp;1)&amp;"
"&amp;(((I53*J53)-(10-SUMPRODUCT($I$52:I52,$J$52:J52)))&amp;" x "&amp;1)),(I53&amp;" x "&amp;J53))),"")</f>
        <v>4 x 2</v>
      </c>
      <c r="F53" s="398">
        <f>IF(K53&lt;&gt;"rumus",(IF(OR(AND(L53="sks&gt;10",L52="sks&lt;=10",IFERROR(SUMPRODUCT($I$52:I52,$J$52:J52)&lt;10,FALSE)),AND(L53="sks&gt;10",L52="")),((IF('LAMPIRAN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Besar"),0.5,"")))),((IF(OR(AND(L53="sks&gt;10",L52="sks&gt;10"),AND(L53="sks&gt;10",L52="sks&lt;=10")),IF('LAMPIRAN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53" s="398" t="str">
        <f>IF(K53&lt;&gt;"rumus",(IF(OR(AND(L53="sks&gt;10",L52="sks&lt;=10",IFERROR(SUMPRODUCT($I$52:I52,$J$52:J52)&lt;10,FALSE)),AND(L53="sks&gt;10",L52="")),(((10-SUMPRODUCT($I$52:I52,$J$52:J52))&amp;" x "&amp;1&amp;" x "&amp;IF('LAMPIRAN I DONE'!$F$21="Tenaga Pengajar",0.5,IF(OR('LAMPIRAN I DONE'!$F$21="Asisten Ahli",'LAMPIRAN I DONE'!$F$21="Lektor",'LAMPIRAN I DONE'!$F$21="Lektor Kepala",'LAMPIRAN I DONE'!$F$21="Guru Besar"),1,""))&amp;" = "&amp;((10-SUMPRODUCT($I$52:I52,$J$52:J52))*IF('LAMPIRAN I DONE'!$F$21="Tenaga Pengajar",0.5,IF(OR('LAMPIRAN I DONE'!$F$21="Asisten Ahli",'LAMPIRAN I DONE'!$F$21="Lektor",'LAMPIRAN I DONE'!$F$21="Lektor Kepala",'LAMPIRAN I DONE'!$F$21="Guru Besar"),1,""))))&amp;"
"&amp;(((I53*J53)-(10-SUMPRODUCT($I$52:I52,$J$52:J52)))&amp;" x "&amp;1&amp;" x "&amp;IF('LAMPIRAN I DONE'!$F$21="Tenaga Pengajar",0.25,IF(OR('LAMPIRAN I DONE'!$F$21="Asisten Ahli",'LAMPIRAN I DONE'!$F$21="Lektor",'LAMPIRAN I DONE'!$F$21="Lektor Kepala",'LAMPIRAN I DONE'!$F$21="Guru Besar"),0.5,""))&amp;" = "&amp;(((I53*J53)-(10-SUMPRODUCT($I$52:I52,$J$52:J52)))*IF('LAMPIRAN I DONE'!$F$21="Tenaga Pengajar",0.25,IF(OR('LAMPIRAN I DONE'!$F$21="Asisten Ahli",'LAMPIRAN I DONE'!$F$21="Lektor",'LAMPIRAN I DONE'!$F$21="Lektor Kepala",'LAMPIRAN I DONE'!$F$21="Guru Besar"),0.5,""))))),(I53&amp;" x "&amp;J53&amp;" x "&amp;(IF(OR(AND(L53="sks&gt;10",L52="sks&gt;10"),AND(L53="sks&gt;10",L52="sks&lt;=10")),IF('LAMPIRAN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"&amp;K53))),"rumus")</f>
        <v>4 x 2 x 1 = 8</v>
      </c>
      <c r="H53" s="106" t="s">
        <v>320</v>
      </c>
      <c r="I53" s="409">
        <v>4</v>
      </c>
      <c r="J53" s="409">
        <v>2</v>
      </c>
      <c r="K53" s="401">
        <f>IF(AND(I53&lt;&gt;"",J53&lt;&gt;""),(IF(OR(AND(L53="sks&gt;10",L52="sks&lt;=10",IFERROR(SUMPRODUCT($I$52:I52,$J$52:J52)&lt;10,FALSE)),AND(L53="sks&gt;10",L52="")),(((10-SUMPRODUCT($I$52:I52,$J$52:J52))*IF('LAMPIRAN I DONE'!$F$21="Tenaga Pengajar",0.5,IF(OR('LAMPIRAN I DONE'!$F$21="Asisten Ahli",'LAMPIRAN I DONE'!$F$21="Lektor",'LAMPIRAN I DONE'!$F$21="Lektor Kepala",'LAMPIRAN I DONE'!$F$21="Guru Besar"),1,"")))+(((I53*J53)-(10-SUMPRODUCT($I$52:I52,$J$52:J52)))*IF('LAMPIRAN I DONE'!$F$21="Tenaga Pengajar",0.25,IF(OR('LAMPIRAN I DONE'!$F$21="Asisten Ahli",'LAMPIRAN I DONE'!$F$21="Lektor",'LAMPIRAN I DONE'!$F$21="Lektor Kepala",'LAMPIRAN I DONE'!$F$21="Guru Besar"),0.5,"")))),IF(OR(AND(L53="sks&gt;10",L52="sks&gt;10"),AND(L53="sks&gt;10",L52="sks&lt;=10")),I53*J53*IF('LAMPIRAN I DONE'!$F$21="Tenaga Pengajar",0.25,IF(OR('LAMPIRAN I DONE'!$F$21="Asisten Ahli",'LAMPIRAN I DONE'!$F$21="Lektor",'LAMPIRAN I DONE'!$F$21="Lektor Kepala",'LAMPIRAN I DONE'!$F$21="Guru Besar"),0.5,"")),I53*J53*IF('LAMPIRAN I DONE'!$F$21="Tenaga Pengajar",0.5,IF(OR('LAMPIRAN I DONE'!$F$21="Asisten Ahli",'LAMPIRAN I DONE'!$F$21="Lektor",'LAMPIRAN I DONE'!$F$21="Lektor Kepala",'LAMPIRAN I DONE'!$F$21="Guru Besar"),1,""))))),"rumus")</f>
        <v>8</v>
      </c>
      <c r="L53" s="401" t="str">
        <f t="shared" ref="L53:L58" si="18">IF(AND(I53&lt;&gt;"",J53&lt;&gt;""),(IF(SUMPRODUCT($I$53:I53,$J$53:J53)&lt;=10,"SKS&lt;=10",IF(SUMPRODUCT($I$53:I53,$J$53:J53)&gt;10,"SKS&gt;10",""))),"rumus")</f>
        <v>SKS&lt;=10</v>
      </c>
      <c r="M53" s="4"/>
      <c r="N53" s="4"/>
      <c r="O53" s="4"/>
      <c r="P53" s="4"/>
      <c r="Q53" s="4"/>
      <c r="R53" s="4"/>
      <c r="S53" s="4"/>
      <c r="T53" s="4"/>
      <c r="U53" s="4"/>
      <c r="V53" s="4"/>
      <c r="W53" s="4"/>
      <c r="X53" s="4"/>
      <c r="Y53" s="4"/>
      <c r="Z53" s="4"/>
    </row>
    <row r="54" spans="1:26" ht="25.5" customHeight="1" x14ac:dyDescent="0.25">
      <c r="A54" s="109">
        <v>2</v>
      </c>
      <c r="B54" s="397" t="s">
        <v>314</v>
      </c>
      <c r="C54" s="106" t="s">
        <v>319</v>
      </c>
      <c r="D54" s="106" t="str">
        <f t="shared" si="16"/>
        <v/>
      </c>
      <c r="E54" s="398" t="str">
        <f t="shared" si="17"/>
        <v/>
      </c>
      <c r="F54" s="398" t="str">
        <f>IF(K54&lt;&gt;"rumus",(IF(OR(AND(L54="sks&gt;10",L53="sks&lt;=10",IFERROR(SUMPRODUCT($I$52:I53,$J$52:J53)&lt;10,FALSE)),AND(L54="sks&gt;10",L53="")),((IF('LAMPIRAN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Besar"),0.5,"")))),((IF(OR(AND(L54="sks&gt;10",L53="sks&gt;10"),AND(L54="sks&gt;10",L53="sks&lt;=10")),IF('LAMPIRAN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54" s="398" t="str">
        <f>IF(K54&lt;&gt;"rumus",(IF(OR(AND(L54="sks&gt;10",L53="sks&lt;=10",IFERROR(SUMPRODUCT($I$52:I53,$J$52:J53)&lt;10,FALSE)),AND(L54="sks&gt;10",L53="")),(((10-SUMPRODUCT($I$52:I53,$J$52:J53))&amp;" x "&amp;1&amp;" x "&amp;IF('LAMPIRAN I DONE'!$F$21="Tenaga Pengajar",0.5,IF(OR('LAMPIRAN I DONE'!$F$21="Asisten Ahli",'LAMPIRAN I DONE'!$F$21="Lektor",'LAMPIRAN I DONE'!$F$21="Lektor Kepala",'LAMPIRAN I DONE'!$F$21="Guru Besar"),1,""))&amp;" = "&amp;((10-SUMPRODUCT($I$52:I53,$J$52:J53))*IF('LAMPIRAN I DONE'!$F$21="Tenaga Pengajar",0.5,IF(OR('LAMPIRAN I DONE'!$F$21="Asisten Ahli",'LAMPIRAN I DONE'!$F$21="Lektor",'LAMPIRAN I DONE'!$F$21="Lektor Kepala",'LAMPIRAN I DONE'!$F$21="Guru Besar"),1,""))))&amp;"
"&amp;(((I54*J54)-(10-SUMPRODUCT($I$52:I53,$J$52:J53)))&amp;" x "&amp;1&amp;" x "&amp;IF('LAMPIRAN I DONE'!$F$21="Tenaga Pengajar",0.25,IF(OR('LAMPIRAN I DONE'!$F$21="Asisten Ahli",'LAMPIRAN I DONE'!$F$21="Lektor",'LAMPIRAN I DONE'!$F$21="Lektor Kepala",'LAMPIRAN I DONE'!$F$21="Guru Besar"),0.5,""))&amp;" = "&amp;(((I54*J54)-(10-SUMPRODUCT($I$52:I53,$J$52:J53)))*IF('LAMPIRAN I DONE'!$F$21="Tenaga Pengajar",0.25,IF(OR('LAMPIRAN I DONE'!$F$21="Asisten Ahli",'LAMPIRAN I DONE'!$F$21="Lektor",'LAMPIRAN I DONE'!$F$21="Lektor Kepala",'LAMPIRAN I DONE'!$F$21="Guru Besar"),0.5,""))))),(I54&amp;" x "&amp;J54&amp;" x "&amp;(IF(OR(AND(L54="sks&gt;10",L53="sks&gt;10"),AND(L54="sks&gt;10",L53="sks&lt;=10")),IF('LAMPIRAN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"&amp;K54))),"rumus")</f>
        <v>rumus</v>
      </c>
      <c r="H54" s="106" t="s">
        <v>315</v>
      </c>
      <c r="I54" s="409"/>
      <c r="J54" s="409"/>
      <c r="K54" s="401" t="str">
        <f>IF(AND(I54&lt;&gt;"",J54&lt;&gt;""),(IF(OR(AND(L54="sks&gt;10",L53="sks&lt;=10",IFERROR(SUMPRODUCT($I$52:I53,$J$52:J53)&lt;10,FALSE)),AND(L54="sks&gt;10",L53="")),(((10-SUMPRODUCT($I$52:I53,$J$52:J53))*IF('LAMPIRAN I DONE'!$F$21="Tenaga Pengajar",0.5,IF(OR('LAMPIRAN I DONE'!$F$21="Asisten Ahli",'LAMPIRAN I DONE'!$F$21="Lektor",'LAMPIRAN I DONE'!$F$21="Lektor Kepala",'LAMPIRAN I DONE'!$F$21="Guru Besar"),1,"")))+(((I54*J54)-(10-SUMPRODUCT($I$52:I53,$J$52:J53)))*IF('LAMPIRAN I DONE'!$F$21="Tenaga Pengajar",0.25,IF(OR('LAMPIRAN I DONE'!$F$21="Asisten Ahli",'LAMPIRAN I DONE'!$F$21="Lektor",'LAMPIRAN I DONE'!$F$21="Lektor Kepala",'LAMPIRAN I DONE'!$F$21="Guru Besar"),0.5,"")))),IF(OR(AND(L54="sks&gt;10",L53="sks&gt;10"),AND(L54="sks&gt;10",L53="sks&lt;=10")),I54*J54*IF('LAMPIRAN I DONE'!$F$21="Tenaga Pengajar",0.25,IF(OR('LAMPIRAN I DONE'!$F$21="Asisten Ahli",'LAMPIRAN I DONE'!$F$21="Lektor",'LAMPIRAN I DONE'!$F$21="Lektor Kepala",'LAMPIRAN I DONE'!$F$21="Guru Besar"),0.5,"")),I54*J54*IF('LAMPIRAN I DONE'!$F$21="Tenaga Pengajar",0.5,IF(OR('LAMPIRAN I DONE'!$F$21="Asisten Ahli",'LAMPIRAN I DONE'!$F$21="Lektor",'LAMPIRAN I DONE'!$F$21="Lektor Kepala",'LAMPIRAN I DONE'!$F$21="Guru Besar"),1,""))))),"rumus")</f>
        <v>rumus</v>
      </c>
      <c r="L54" s="401" t="str">
        <f t="shared" si="18"/>
        <v>rumus</v>
      </c>
      <c r="M54" s="4"/>
      <c r="N54" s="4"/>
      <c r="O54" s="4"/>
      <c r="P54" s="4"/>
      <c r="Q54" s="4"/>
      <c r="R54" s="4"/>
      <c r="S54" s="4"/>
      <c r="T54" s="4"/>
      <c r="U54" s="4"/>
      <c r="V54" s="4"/>
      <c r="W54" s="4"/>
      <c r="X54" s="4"/>
      <c r="Y54" s="4"/>
      <c r="Z54" s="4"/>
    </row>
    <row r="55" spans="1:26" ht="25.5" customHeight="1" x14ac:dyDescent="0.25">
      <c r="A55" s="109">
        <v>3</v>
      </c>
      <c r="B55" s="397" t="s">
        <v>314</v>
      </c>
      <c r="C55" s="106" t="s">
        <v>319</v>
      </c>
      <c r="D55" s="106" t="str">
        <f t="shared" si="16"/>
        <v/>
      </c>
      <c r="E55" s="398" t="str">
        <f t="shared" si="17"/>
        <v/>
      </c>
      <c r="F55" s="398" t="str">
        <f>IF(K55&lt;&gt;"rumus",(IF(OR(AND(L55="sks&gt;10",L54="sks&lt;=10",IFERROR(SUMPRODUCT($I$52:I54,$J$52:J54)&lt;10,FALSE)),AND(L55="sks&gt;10",L54="")),((IF('LAMPIRAN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Besar"),0.5,"")))),((IF(OR(AND(L55="sks&gt;10",L54="sks&gt;10"),AND(L55="sks&gt;10",L54="sks&lt;=10")),IF('LAMPIRAN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55" s="398" t="str">
        <f>IF(K55&lt;&gt;"rumus",(IF(OR(AND(L55="sks&gt;10",L54="sks&lt;=10",IFERROR(SUMPRODUCT($I$52:I54,$J$52:J54)&lt;10,FALSE)),AND(L55="sks&gt;10",L54="")),(((10-SUMPRODUCT($I$52:I54,$J$52:J54))&amp;" x "&amp;1&amp;" x "&amp;IF('LAMPIRAN I DONE'!$F$21="Tenaga Pengajar",0.5,IF(OR('LAMPIRAN I DONE'!$F$21="Asisten Ahli",'LAMPIRAN I DONE'!$F$21="Lektor",'LAMPIRAN I DONE'!$F$21="Lektor Kepala",'LAMPIRAN I DONE'!$F$21="Guru Besar"),1,""))&amp;" = "&amp;((10-SUMPRODUCT($I$52:I54,$J$52:J54))*IF('LAMPIRAN I DONE'!$F$21="Tenaga Pengajar",0.5,IF(OR('LAMPIRAN I DONE'!$F$21="Asisten Ahli",'LAMPIRAN I DONE'!$F$21="Lektor",'LAMPIRAN I DONE'!$F$21="Lektor Kepala",'LAMPIRAN I DONE'!$F$21="Guru Besar"),1,""))))&amp;"
"&amp;(((I55*J55)-(10-SUMPRODUCT($I$52:I54,$J$52:J54)))&amp;" x "&amp;1&amp;" x "&amp;IF('LAMPIRAN I DONE'!$F$21="Tenaga Pengajar",0.25,IF(OR('LAMPIRAN I DONE'!$F$21="Asisten Ahli",'LAMPIRAN I DONE'!$F$21="Lektor",'LAMPIRAN I DONE'!$F$21="Lektor Kepala",'LAMPIRAN I DONE'!$F$21="Guru Besar"),0.5,""))&amp;" = "&amp;(((I55*J55)-(10-SUMPRODUCT($I$52:I54,$J$52:J54)))*IF('LAMPIRAN I DONE'!$F$21="Tenaga Pengajar",0.25,IF(OR('LAMPIRAN I DONE'!$F$21="Asisten Ahli",'LAMPIRAN I DONE'!$F$21="Lektor",'LAMPIRAN I DONE'!$F$21="Lektor Kepala",'LAMPIRAN I DONE'!$F$21="Guru Besar"),0.5,""))))),(I55&amp;" x "&amp;J55&amp;" x "&amp;(IF(OR(AND(L55="sks&gt;10",L54="sks&gt;10"),AND(L55="sks&gt;10",L54="sks&lt;=10")),IF('LAMPIRAN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"&amp;K55))),"rumus")</f>
        <v>rumus</v>
      </c>
      <c r="H55" s="106" t="s">
        <v>315</v>
      </c>
      <c r="I55" s="409"/>
      <c r="J55" s="409"/>
      <c r="K55" s="401" t="str">
        <f>IF(AND(I55&lt;&gt;"",J55&lt;&gt;""),(IF(OR(AND(L55="sks&gt;10",L54="sks&lt;=10",IFERROR(SUMPRODUCT($I$52:I54,$J$52:J54)&lt;10,FALSE)),AND(L55="sks&gt;10",L54="")),(((10-SUMPRODUCT($I$52:I54,$J$52:J54))*IF('LAMPIRAN I DONE'!$F$21="Tenaga Pengajar",0.5,IF(OR('LAMPIRAN I DONE'!$F$21="Asisten Ahli",'LAMPIRAN I DONE'!$F$21="Lektor",'LAMPIRAN I DONE'!$F$21="Lektor Kepala",'LAMPIRAN I DONE'!$F$21="Guru Besar"),1,"")))+(((I55*J55)-(10-SUMPRODUCT($I$52:I54,$J$52:J54)))*IF('LAMPIRAN I DONE'!$F$21="Tenaga Pengajar",0.25,IF(OR('LAMPIRAN I DONE'!$F$21="Asisten Ahli",'LAMPIRAN I DONE'!$F$21="Lektor",'LAMPIRAN I DONE'!$F$21="Lektor Kepala",'LAMPIRAN I DONE'!$F$21="Guru Besar"),0.5,"")))),IF(OR(AND(L55="sks&gt;10",L54="sks&gt;10"),AND(L55="sks&gt;10",L54="sks&lt;=10")),I55*J55*IF('LAMPIRAN I DONE'!$F$21="Tenaga Pengajar",0.25,IF(OR('LAMPIRAN I DONE'!$F$21="Asisten Ahli",'LAMPIRAN I DONE'!$F$21="Lektor",'LAMPIRAN I DONE'!$F$21="Lektor Kepala",'LAMPIRAN I DONE'!$F$21="Guru Besar"),0.5,"")),I55*J55*IF('LAMPIRAN I DONE'!$F$21="Tenaga Pengajar",0.5,IF(OR('LAMPIRAN I DONE'!$F$21="Asisten Ahli",'LAMPIRAN I DONE'!$F$21="Lektor",'LAMPIRAN I DONE'!$F$21="Lektor Kepala",'LAMPIRAN I DONE'!$F$21="Guru Besar"),1,""))))),"rumus")</f>
        <v>rumus</v>
      </c>
      <c r="L55" s="401" t="str">
        <f t="shared" si="18"/>
        <v>rumus</v>
      </c>
      <c r="M55" s="4"/>
      <c r="N55" s="4"/>
      <c r="O55" s="4"/>
      <c r="P55" s="4"/>
      <c r="Q55" s="4"/>
      <c r="R55" s="4"/>
      <c r="S55" s="4"/>
      <c r="T55" s="4"/>
      <c r="U55" s="4"/>
      <c r="V55" s="4"/>
      <c r="W55" s="4"/>
      <c r="X55" s="4"/>
      <c r="Y55" s="4"/>
      <c r="Z55" s="4"/>
    </row>
    <row r="56" spans="1:26" ht="25.5" customHeight="1" x14ac:dyDescent="0.25">
      <c r="A56" s="109">
        <v>4</v>
      </c>
      <c r="B56" s="397" t="s">
        <v>314</v>
      </c>
      <c r="C56" s="106" t="s">
        <v>319</v>
      </c>
      <c r="D56" s="106" t="str">
        <f t="shared" si="16"/>
        <v/>
      </c>
      <c r="E56" s="398" t="str">
        <f t="shared" si="17"/>
        <v/>
      </c>
      <c r="F56" s="398" t="str">
        <f>IF(K56&lt;&gt;"rumus",(IF(OR(AND(L56="sks&gt;10",L55="sks&lt;=10",IFERROR(SUMPRODUCT($I$52:I55,$J$52:J55)&lt;10,FALSE)),AND(L56="sks&gt;10",L55="")),((IF('LAMPIRAN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Besar"),0.5,"")))),((IF(OR(AND(L56="sks&gt;10",L55="sks&gt;10"),AND(L56="sks&gt;10",L55="sks&lt;=10")),IF('LAMPIRAN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56" s="398" t="str">
        <f>IF(K56&lt;&gt;"rumus",(IF(OR(AND(L56="sks&gt;10",L55="sks&lt;=10",IFERROR(SUMPRODUCT($I$52:I55,$J$52:J55)&lt;10,FALSE)),AND(L56="sks&gt;10",L55="")),(((10-SUMPRODUCT($I$52:I55,$J$52:J55))&amp;" x "&amp;1&amp;" x "&amp;IF('LAMPIRAN I DONE'!$F$21="Tenaga Pengajar",0.5,IF(OR('LAMPIRAN I DONE'!$F$21="Asisten Ahli",'LAMPIRAN I DONE'!$F$21="Lektor",'LAMPIRAN I DONE'!$F$21="Lektor Kepala",'LAMPIRAN I DONE'!$F$21="Guru Besar"),1,""))&amp;" = "&amp;((10-SUMPRODUCT($I$52:I55,$J$52:J55))*IF('LAMPIRAN I DONE'!$F$21="Tenaga Pengajar",0.5,IF(OR('LAMPIRAN I DONE'!$F$21="Asisten Ahli",'LAMPIRAN I DONE'!$F$21="Lektor",'LAMPIRAN I DONE'!$F$21="Lektor Kepala",'LAMPIRAN I DONE'!$F$21="Guru Besar"),1,""))))&amp;"
"&amp;(((I56*J56)-(10-SUMPRODUCT($I$52:I55,$J$52:J55)))&amp;" x "&amp;1&amp;" x "&amp;IF('LAMPIRAN I DONE'!$F$21="Tenaga Pengajar",0.25,IF(OR('LAMPIRAN I DONE'!$F$21="Asisten Ahli",'LAMPIRAN I DONE'!$F$21="Lektor",'LAMPIRAN I DONE'!$F$21="Lektor Kepala",'LAMPIRAN I DONE'!$F$21="Guru Besar"),0.5,""))&amp;" = "&amp;(((I56*J56)-(10-SUMPRODUCT($I$52:I55,$J$52:J55)))*IF('LAMPIRAN I DONE'!$F$21="Tenaga Pengajar",0.25,IF(OR('LAMPIRAN I DONE'!$F$21="Asisten Ahli",'LAMPIRAN I DONE'!$F$21="Lektor",'LAMPIRAN I DONE'!$F$21="Lektor Kepala",'LAMPIRAN I DONE'!$F$21="Guru Besar"),0.5,""))))),(I56&amp;" x "&amp;J56&amp;" x "&amp;(IF(OR(AND(L56="sks&gt;10",L55="sks&gt;10"),AND(L56="sks&gt;10",L55="sks&lt;=10")),IF('LAMPIRAN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"&amp;K56))),"rumus")</f>
        <v>rumus</v>
      </c>
      <c r="H56" s="106" t="s">
        <v>315</v>
      </c>
      <c r="I56" s="409"/>
      <c r="J56" s="409"/>
      <c r="K56" s="401" t="str">
        <f>IF(AND(I56&lt;&gt;"",J56&lt;&gt;""),(IF(OR(AND(L56="sks&gt;10",L55="sks&lt;=10",IFERROR(SUMPRODUCT($I$52:I55,$J$52:J55)&lt;10,FALSE)),AND(L56="sks&gt;10",L55="")),(((10-SUMPRODUCT($I$52:I55,$J$52:J55))*IF('LAMPIRAN I DONE'!$F$21="Tenaga Pengajar",0.5,IF(OR('LAMPIRAN I DONE'!$F$21="Asisten Ahli",'LAMPIRAN I DONE'!$F$21="Lektor",'LAMPIRAN I DONE'!$F$21="Lektor Kepala",'LAMPIRAN I DONE'!$F$21="Guru Besar"),1,"")))+(((I56*J56)-(10-SUMPRODUCT($I$52:I55,$J$52:J55)))*IF('LAMPIRAN I DONE'!$F$21="Tenaga Pengajar",0.25,IF(OR('LAMPIRAN I DONE'!$F$21="Asisten Ahli",'LAMPIRAN I DONE'!$F$21="Lektor",'LAMPIRAN I DONE'!$F$21="Lektor Kepala",'LAMPIRAN I DONE'!$F$21="Guru Besar"),0.5,"")))),IF(OR(AND(L56="sks&gt;10",L55="sks&gt;10"),AND(L56="sks&gt;10",L55="sks&lt;=10")),I56*J56*IF('LAMPIRAN I DONE'!$F$21="Tenaga Pengajar",0.25,IF(OR('LAMPIRAN I DONE'!$F$21="Asisten Ahli",'LAMPIRAN I DONE'!$F$21="Lektor",'LAMPIRAN I DONE'!$F$21="Lektor Kepala",'LAMPIRAN I DONE'!$F$21="Guru Besar"),0.5,"")),I56*J56*IF('LAMPIRAN I DONE'!$F$21="Tenaga Pengajar",0.5,IF(OR('LAMPIRAN I DONE'!$F$21="Asisten Ahli",'LAMPIRAN I DONE'!$F$21="Lektor",'LAMPIRAN I DONE'!$F$21="Lektor Kepala",'LAMPIRAN I DONE'!$F$21="Guru Besar"),1,""))))),"rumus")</f>
        <v>rumus</v>
      </c>
      <c r="L56" s="401" t="str">
        <f t="shared" si="18"/>
        <v>rumus</v>
      </c>
      <c r="M56" s="4"/>
      <c r="N56" s="4"/>
      <c r="O56" s="4"/>
      <c r="P56" s="4"/>
      <c r="Q56" s="4"/>
      <c r="R56" s="4"/>
      <c r="S56" s="4"/>
      <c r="T56" s="4"/>
      <c r="U56" s="4"/>
      <c r="V56" s="4"/>
      <c r="W56" s="4"/>
      <c r="X56" s="4"/>
      <c r="Y56" s="4"/>
      <c r="Z56" s="4"/>
    </row>
    <row r="57" spans="1:26" ht="25.5" customHeight="1" x14ac:dyDescent="0.25">
      <c r="A57" s="109">
        <v>5</v>
      </c>
      <c r="B57" s="397" t="s">
        <v>314</v>
      </c>
      <c r="C57" s="106" t="s">
        <v>319</v>
      </c>
      <c r="D57" s="106" t="str">
        <f t="shared" si="16"/>
        <v/>
      </c>
      <c r="E57" s="398" t="str">
        <f t="shared" si="17"/>
        <v/>
      </c>
      <c r="F57" s="398" t="str">
        <f>IF(K57&lt;&gt;"rumus",(IF(OR(AND(L57="sks&gt;10",L56="sks&lt;=10",IFERROR(SUMPRODUCT($I$52:I56,$J$52:J56)&lt;10,FALSE)),AND(L57="sks&gt;10",L56="")),((IF('LAMPIRAN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Besar"),0.5,"")))),((IF(OR(AND(L57="sks&gt;10",L56="sks&gt;10"),AND(L57="sks&gt;10",L56="sks&lt;=10")),IF('LAMPIRAN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57" s="398" t="str">
        <f>IF(K57&lt;&gt;"rumus",(IF(OR(AND(L57="sks&gt;10",L56="sks&lt;=10",IFERROR(SUMPRODUCT($I$52:I56,$J$52:J56)&lt;10,FALSE)),AND(L57="sks&gt;10",L56="")),(((10-SUMPRODUCT($I$52:I56,$J$52:J56))&amp;" x "&amp;1&amp;" x "&amp;IF('LAMPIRAN I DONE'!$F$21="Tenaga Pengajar",0.5,IF(OR('LAMPIRAN I DONE'!$F$21="Asisten Ahli",'LAMPIRAN I DONE'!$F$21="Lektor",'LAMPIRAN I DONE'!$F$21="Lektor Kepala",'LAMPIRAN I DONE'!$F$21="Guru Besar"),1,""))&amp;" = "&amp;((10-SUMPRODUCT($I$52:I56,$J$52:J56))*IF('LAMPIRAN I DONE'!$F$21="Tenaga Pengajar",0.5,IF(OR('LAMPIRAN I DONE'!$F$21="Asisten Ahli",'LAMPIRAN I DONE'!$F$21="Lektor",'LAMPIRAN I DONE'!$F$21="Lektor Kepala",'LAMPIRAN I DONE'!$F$21="Guru Besar"),1,""))))&amp;"
"&amp;(((I57*J57)-(10-SUMPRODUCT($I$52:I56,$J$52:J56)))&amp;" x "&amp;1&amp;" x "&amp;IF('LAMPIRAN I DONE'!$F$21="Tenaga Pengajar",0.25,IF(OR('LAMPIRAN I DONE'!$F$21="Asisten Ahli",'LAMPIRAN I DONE'!$F$21="Lektor",'LAMPIRAN I DONE'!$F$21="Lektor Kepala",'LAMPIRAN I DONE'!$F$21="Guru Besar"),0.5,""))&amp;" = "&amp;(((I57*J57)-(10-SUMPRODUCT($I$52:I56,$J$52:J56)))*IF('LAMPIRAN I DONE'!$F$21="Tenaga Pengajar",0.25,IF(OR('LAMPIRAN I DONE'!$F$21="Asisten Ahli",'LAMPIRAN I DONE'!$F$21="Lektor",'LAMPIRAN I DONE'!$F$21="Lektor Kepala",'LAMPIRAN I DONE'!$F$21="Guru Besar"),0.5,""))))),(I57&amp;" x "&amp;J57&amp;" x "&amp;(IF(OR(AND(L57="sks&gt;10",L56="sks&gt;10"),AND(L57="sks&gt;10",L56="sks&lt;=10")),IF('LAMPIRAN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"&amp;K57))),"rumus")</f>
        <v>rumus</v>
      </c>
      <c r="H57" s="106" t="s">
        <v>315</v>
      </c>
      <c r="I57" s="409"/>
      <c r="J57" s="409"/>
      <c r="K57" s="401" t="str">
        <f>IF(AND(I57&lt;&gt;"",J57&lt;&gt;""),(IF(OR(AND(L57="sks&gt;10",L56="sks&lt;=10",IFERROR(SUMPRODUCT($I$52:I56,$J$52:J56)&lt;10,FALSE)),AND(L57="sks&gt;10",L56="")),(((10-SUMPRODUCT($I$52:I56,$J$52:J56))*IF('LAMPIRAN I DONE'!$F$21="Tenaga Pengajar",0.5,IF(OR('LAMPIRAN I DONE'!$F$21="Asisten Ahli",'LAMPIRAN I DONE'!$F$21="Lektor",'LAMPIRAN I DONE'!$F$21="Lektor Kepala",'LAMPIRAN I DONE'!$F$21="Guru Besar"),1,"")))+(((I57*J57)-(10-SUMPRODUCT($I$52:I56,$J$52:J56)))*IF('LAMPIRAN I DONE'!$F$21="Tenaga Pengajar",0.25,IF(OR('LAMPIRAN I DONE'!$F$21="Asisten Ahli",'LAMPIRAN I DONE'!$F$21="Lektor",'LAMPIRAN I DONE'!$F$21="Lektor Kepala",'LAMPIRAN I DONE'!$F$21="Guru Besar"),0.5,"")))),IF(OR(AND(L57="sks&gt;10",L56="sks&gt;10"),AND(L57="sks&gt;10",L56="sks&lt;=10")),I57*J57*IF('LAMPIRAN I DONE'!$F$21="Tenaga Pengajar",0.25,IF(OR('LAMPIRAN I DONE'!$F$21="Asisten Ahli",'LAMPIRAN I DONE'!$F$21="Lektor",'LAMPIRAN I DONE'!$F$21="Lektor Kepala",'LAMPIRAN I DONE'!$F$21="Guru Besar"),0.5,"")),I57*J57*IF('LAMPIRAN I DONE'!$F$21="Tenaga Pengajar",0.5,IF(OR('LAMPIRAN I DONE'!$F$21="Asisten Ahli",'LAMPIRAN I DONE'!$F$21="Lektor",'LAMPIRAN I DONE'!$F$21="Lektor Kepala",'LAMPIRAN I DONE'!$F$21="Guru Besar"),1,""))))),"rumus")</f>
        <v>rumus</v>
      </c>
      <c r="L57" s="401" t="str">
        <f t="shared" si="18"/>
        <v>rumus</v>
      </c>
      <c r="M57" s="4"/>
      <c r="N57" s="4"/>
      <c r="O57" s="4"/>
      <c r="P57" s="4"/>
      <c r="Q57" s="4"/>
      <c r="R57" s="4"/>
      <c r="S57" s="4"/>
      <c r="T57" s="4"/>
      <c r="U57" s="4"/>
      <c r="V57" s="4"/>
      <c r="W57" s="4"/>
      <c r="X57" s="4"/>
      <c r="Y57" s="4"/>
      <c r="Z57" s="4"/>
    </row>
    <row r="58" spans="1:26" ht="25.5" customHeight="1" x14ac:dyDescent="0.25">
      <c r="A58" s="109">
        <v>6</v>
      </c>
      <c r="B58" s="397" t="s">
        <v>314</v>
      </c>
      <c r="C58" s="106" t="s">
        <v>319</v>
      </c>
      <c r="D58" s="106" t="str">
        <f t="shared" si="16"/>
        <v/>
      </c>
      <c r="E58" s="398" t="str">
        <f t="shared" si="17"/>
        <v/>
      </c>
      <c r="F58" s="398" t="str">
        <f>IF(K58&lt;&gt;"rumus",(IF(OR(AND(L58="sks&gt;10",L57="sks&lt;=10",IFERROR(SUMPRODUCT($I$52:I57,$J$52:J57)&lt;10,FALSE)),AND(L58="sks&gt;10",L57="")),((IF('LAMPIRAN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Besar"),0.5,"")))),((IF(OR(AND(L58="sks&gt;10",L57="sks&gt;10"),AND(L58="sks&gt;10",L57="sks&lt;=10")),IF('LAMPIRAN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58" s="398" t="str">
        <f>IF(K58&lt;&gt;"rumus",(IF(OR(AND(L58="sks&gt;10",L57="sks&lt;=10",IFERROR(SUMPRODUCT($I$52:I57,$J$52:J57)&lt;10,FALSE)),AND(L58="sks&gt;10",L57="")),(((10-SUMPRODUCT($I$52:I57,$J$52:J57))&amp;" x "&amp;1&amp;" x "&amp;IF('LAMPIRAN I DONE'!$F$21="Tenaga Pengajar",0.5,IF(OR('LAMPIRAN I DONE'!$F$21="Asisten Ahli",'LAMPIRAN I DONE'!$F$21="Lektor",'LAMPIRAN I DONE'!$F$21="Lektor Kepala",'LAMPIRAN I DONE'!$F$21="Guru Besar"),1,""))&amp;" = "&amp;((10-SUMPRODUCT($I$52:I57,$J$52:J57))*IF('LAMPIRAN I DONE'!$F$21="Tenaga Pengajar",0.5,IF(OR('LAMPIRAN I DONE'!$F$21="Asisten Ahli",'LAMPIRAN I DONE'!$F$21="Lektor",'LAMPIRAN I DONE'!$F$21="Lektor Kepala",'LAMPIRAN I DONE'!$F$21="Guru Besar"),1,""))))&amp;"
"&amp;(((I58*J58)-(10-SUMPRODUCT($I$52:I57,$J$52:J57)))&amp;" x "&amp;1&amp;" x "&amp;IF('LAMPIRAN I DONE'!$F$21="Tenaga Pengajar",0.25,IF(OR('LAMPIRAN I DONE'!$F$21="Asisten Ahli",'LAMPIRAN I DONE'!$F$21="Lektor",'LAMPIRAN I DONE'!$F$21="Lektor Kepala",'LAMPIRAN I DONE'!$F$21="Guru Besar"),0.5,""))&amp;" = "&amp;(((I58*J58)-(10-SUMPRODUCT($I$52:I57,$J$52:J57)))*IF('LAMPIRAN I DONE'!$F$21="Tenaga Pengajar",0.25,IF(OR('LAMPIRAN I DONE'!$F$21="Asisten Ahli",'LAMPIRAN I DONE'!$F$21="Lektor",'LAMPIRAN I DONE'!$F$21="Lektor Kepala",'LAMPIRAN I DONE'!$F$21="Guru Besar"),0.5,""))))),(I58&amp;" x "&amp;J58&amp;" x "&amp;(IF(OR(AND(L58="sks&gt;10",L57="sks&gt;10"),AND(L58="sks&gt;10",L57="sks&lt;=10")),IF('LAMPIRAN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"&amp;K58))),"rumus")</f>
        <v>rumus</v>
      </c>
      <c r="H58" s="106" t="s">
        <v>315</v>
      </c>
      <c r="I58" s="409"/>
      <c r="J58" s="409"/>
      <c r="K58" s="401" t="str">
        <f>IF(AND(I58&lt;&gt;"",J58&lt;&gt;""),(IF(OR(AND(L58="sks&gt;10",L57="sks&lt;=10",IFERROR(SUMPRODUCT($I$52:I57,$J$52:J57)&lt;10,FALSE)),AND(L58="sks&gt;10",L57="")),(((10-SUMPRODUCT($I$52:I57,$J$52:J57))*IF('LAMPIRAN I DONE'!$F$21="Tenaga Pengajar",0.5,IF(OR('LAMPIRAN I DONE'!$F$21="Asisten Ahli",'LAMPIRAN I DONE'!$F$21="Lektor",'LAMPIRAN I DONE'!$F$21="Lektor Kepala",'LAMPIRAN I DONE'!$F$21="Guru Besar"),1,"")))+(((I58*J58)-(10-SUMPRODUCT($I$52:I57,$J$52:J57)))*IF('LAMPIRAN I DONE'!$F$21="Tenaga Pengajar",0.25,IF(OR('LAMPIRAN I DONE'!$F$21="Asisten Ahli",'LAMPIRAN I DONE'!$F$21="Lektor",'LAMPIRAN I DONE'!$F$21="Lektor Kepala",'LAMPIRAN I DONE'!$F$21="Guru Besar"),0.5,"")))),IF(OR(AND(L58="sks&gt;10",L57="sks&gt;10"),AND(L58="sks&gt;10",L57="sks&lt;=10")),I58*J58*IF('LAMPIRAN I DONE'!$F$21="Tenaga Pengajar",0.25,IF(OR('LAMPIRAN I DONE'!$F$21="Asisten Ahli",'LAMPIRAN I DONE'!$F$21="Lektor",'LAMPIRAN I DONE'!$F$21="Lektor Kepala",'LAMPIRAN I DONE'!$F$21="Guru Besar"),0.5,"")),I58*J58*IF('LAMPIRAN I DONE'!$F$21="Tenaga Pengajar",0.5,IF(OR('LAMPIRAN I DONE'!$F$21="Asisten Ahli",'LAMPIRAN I DONE'!$F$21="Lektor",'LAMPIRAN I DONE'!$F$21="Lektor Kepala",'LAMPIRAN I DONE'!$F$21="Guru Besar"),1,""))))),"rumus")</f>
        <v>rumus</v>
      </c>
      <c r="L58" s="401" t="str">
        <f t="shared" si="18"/>
        <v>rumus</v>
      </c>
      <c r="M58" s="4"/>
      <c r="N58" s="4"/>
      <c r="O58" s="4"/>
      <c r="P58" s="4"/>
      <c r="Q58" s="4"/>
      <c r="R58" s="4"/>
      <c r="S58" s="4"/>
      <c r="T58" s="4"/>
      <c r="U58" s="4"/>
      <c r="V58" s="4"/>
      <c r="W58" s="4"/>
      <c r="X58" s="4"/>
      <c r="Y58" s="4"/>
      <c r="Z58" s="4"/>
    </row>
    <row r="59" spans="1:26" ht="15" customHeight="1" x14ac:dyDescent="0.25">
      <c r="A59" s="109"/>
      <c r="B59" s="406" t="str">
        <f>"a. Semester Gasal "&amp;IF(C60&lt;&gt;"",C60,"")&amp;" :"</f>
        <v>a. Semester Gasal 2015/2016 :</v>
      </c>
      <c r="C59" s="410"/>
      <c r="D59" s="410"/>
      <c r="E59" s="410"/>
      <c r="F59" s="410"/>
      <c r="G59" s="410"/>
      <c r="H59" s="411"/>
      <c r="I59" s="110"/>
      <c r="J59" s="110"/>
      <c r="K59" s="112"/>
      <c r="L59" s="112"/>
      <c r="M59" s="111">
        <f>IF((AND(N59="Max 5,5",SUM(K53:K58)&lt;=5.5)),SUM(K53:K58),IF((AND(N59="Max 5,5",SUM(K53:K58)&gt;5.5)),5.5,IF((AND(N59="Max 11",SUM(K53:K58)&lt;=11)),SUM(K53:K58),IF((AND(N59="Max 11",SUM(K53:K58)&gt;11)),11,""))))</f>
        <v>8</v>
      </c>
      <c r="N59" s="103" t="str">
        <f>IF('LAMPIRAN I DONE'!$F$21="Tenaga Pengajar","Max 5,5",IF(OR('LAMPIRAN I DONE'!$F$21="Asisten Ahli",'LAMPIRAN I DONE'!$F$21="Lektor",'LAMPIRAN I DONE'!$F$21="Lektor Kepala",'LAMPIRAN I DONE'!$F$21="Guru Besar"),"Max 11",""))</f>
        <v>Max 11</v>
      </c>
      <c r="O59" s="4"/>
      <c r="P59" s="4"/>
      <c r="Q59" s="4"/>
      <c r="R59" s="4"/>
      <c r="S59" s="4"/>
      <c r="T59" s="4"/>
      <c r="U59" s="4"/>
      <c r="V59" s="4"/>
      <c r="W59" s="4"/>
      <c r="X59" s="4"/>
      <c r="Y59" s="4"/>
      <c r="Z59" s="4"/>
    </row>
    <row r="60" spans="1:26" ht="25.5" customHeight="1" x14ac:dyDescent="0.25">
      <c r="A60" s="109">
        <v>1</v>
      </c>
      <c r="B60" s="570" t="s">
        <v>316</v>
      </c>
      <c r="C60" s="106" t="s">
        <v>321</v>
      </c>
      <c r="D60" s="106" t="str">
        <f t="shared" ref="D60:D65" si="19">IF(G60&lt;&gt;"rumus","SKS","")</f>
        <v>SKS</v>
      </c>
      <c r="E60" s="398" t="str">
        <f t="shared" ref="E60:E65" si="20">IF(K60&lt;&gt;"rumus",(IF(OR(AND(L60="sks&gt;10",L59="sks&lt;=10",IFERROR(SUMPRODUCT($I$59:I59,$J$59:J59)&lt;10,FALSE)),AND(L60="sks&gt;10",L59="")),(((10-SUMPRODUCT($I$59:I59,$J$59:J59))&amp;" x "&amp;1)&amp;"
"&amp;(((I60*J60)-(10-SUMPRODUCT($I$59:I59,$J$59:J59)))&amp;" x "&amp;1)),(I60&amp;" x "&amp;J60))),"")</f>
        <v>4 x 2</v>
      </c>
      <c r="F60" s="398">
        <f>IF(K60&lt;&gt;"rumus",(IF(OR(AND(L60="sks&gt;10",L59="sks&lt;=10",IFERROR(SUMPRODUCT($I$59:I59,$J$59:J59)&lt;10,FALSE)),AND(L60="sks&gt;10",L59="")),((IF('LAMPIRAN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Besar"),0.5,"")))),((IF(OR(AND(L60="sks&gt;10",L59="sks&gt;10"),AND(L60="sks&gt;10",L59="sks&lt;=10")),IF('LAMPIRAN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60" s="398" t="str">
        <f>IF(K60&lt;&gt;"rumus",(IF(OR(AND(L60="sks&gt;10",L59="sks&lt;=10",IFERROR(SUMPRODUCT($I$59:I59,$J$59:J59)&lt;10,FALSE)),AND(L60="sks&gt;10",L59="")),(((10-SUMPRODUCT($I$59:I59,$J$59:J59))&amp;" x "&amp;1&amp;" x "&amp;IF('LAMPIRAN I DONE'!$F$21="Tenaga Pengajar",0.5,IF(OR('LAMPIRAN I DONE'!$F$21="Asisten Ahli",'LAMPIRAN I DONE'!$F$21="Lektor",'LAMPIRAN I DONE'!$F$21="Lektor Kepala",'LAMPIRAN I DONE'!$F$21="Guru Besar"),1,""))&amp;" = "&amp;((10-SUMPRODUCT($I$59:I59,$J$59:J59))*IF('LAMPIRAN I DONE'!$F$21="Tenaga Pengajar",0.5,IF(OR('LAMPIRAN I DONE'!$F$21="Asisten Ahli",'LAMPIRAN I DONE'!$F$21="Lektor",'LAMPIRAN I DONE'!$F$21="Lektor Kepala",'LAMPIRAN I DONE'!$F$21="Guru Besar"),1,""))))&amp;"
"&amp;(((I60*J60)-(10-SUMPRODUCT($I$59:I59,$J$59:J59)))&amp;" x "&amp;1&amp;" x "&amp;IF('LAMPIRAN I DONE'!$F$21="Tenaga Pengajar",0.25,IF(OR('LAMPIRAN I DONE'!$F$21="Asisten Ahli",'LAMPIRAN I DONE'!$F$21="Lektor",'LAMPIRAN I DONE'!$F$21="Lektor Kepala",'LAMPIRAN I DONE'!$F$21="Guru Besar"),0.5,""))&amp;" = "&amp;(((I60*J60)-(10-SUMPRODUCT($I$59:I59,$J$59:J59)))*IF('LAMPIRAN I DONE'!$F$21="Tenaga Pengajar",0.25,IF(OR('LAMPIRAN I DONE'!$F$21="Asisten Ahli",'LAMPIRAN I DONE'!$F$21="Lektor",'LAMPIRAN I DONE'!$F$21="Lektor Kepala",'LAMPIRAN I DONE'!$F$21="Guru Besar"),0.5,""))))),(I60&amp;" x "&amp;J60&amp;" x "&amp;(IF(OR(AND(L60="sks&gt;10",L59="sks&gt;10"),AND(L60="sks&gt;10",L59="sks&lt;=10")),IF('LAMPIRAN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"&amp;K60))),"rumus")</f>
        <v>4 x 2 x 1 = 8</v>
      </c>
      <c r="H60" s="106" t="s">
        <v>322</v>
      </c>
      <c r="I60" s="409">
        <v>4</v>
      </c>
      <c r="J60" s="409">
        <v>2</v>
      </c>
      <c r="K60" s="401">
        <f>IF(AND(I60&lt;&gt;"",J60&lt;&gt;""),(IF(OR(AND(L60="sks&gt;10",L59="sks&lt;=10",IFERROR(SUMPRODUCT($I$59:I59,$J$59:J59)&lt;10,FALSE)),AND(L60="sks&gt;10",L59="")),(((10-SUMPRODUCT($I$59:I59,$J$59:J59))*IF('LAMPIRAN I DONE'!$F$21="Tenaga Pengajar",0.5,IF(OR('LAMPIRAN I DONE'!$F$21="Asisten Ahli",'LAMPIRAN I DONE'!$F$21="Lektor",'LAMPIRAN I DONE'!$F$21="Lektor Kepala",'LAMPIRAN I DONE'!$F$21="Guru Besar"),1,"")))+(((I60*J60)-(10-SUMPRODUCT($I$59:I59,$J$59:J59)))*IF('LAMPIRAN I DONE'!$F$21="Tenaga Pengajar",0.25,IF(OR('LAMPIRAN I DONE'!$F$21="Asisten Ahli",'LAMPIRAN I DONE'!$F$21="Lektor",'LAMPIRAN I DONE'!$F$21="Lektor Kepala",'LAMPIRAN I DONE'!$F$21="Guru Besar"),0.5,"")))),IF(OR(AND(L60="sks&gt;10",L59="sks&gt;10"),AND(L60="sks&gt;10",L59="sks&lt;=10")),I60*J60*IF('LAMPIRAN I DONE'!$F$21="Tenaga Pengajar",0.25,IF(OR('LAMPIRAN I DONE'!$F$21="Asisten Ahli",'LAMPIRAN I DONE'!$F$21="Lektor",'LAMPIRAN I DONE'!$F$21="Lektor Kepala",'LAMPIRAN I DONE'!$F$21="Guru Besar"),0.5,"")),I60*J60*IF('LAMPIRAN I DONE'!$F$21="Tenaga Pengajar",0.5,IF(OR('LAMPIRAN I DONE'!$F$21="Asisten Ahli",'LAMPIRAN I DONE'!$F$21="Lektor",'LAMPIRAN I DONE'!$F$21="Lektor Kepala",'LAMPIRAN I DONE'!$F$21="Guru Besar"),1,""))))),"rumus")</f>
        <v>8</v>
      </c>
      <c r="L60" s="401" t="str">
        <f t="shared" ref="L60:L65" si="21">IF(AND(I60&lt;&gt;"",J60&lt;&gt;""),(IF(SUMPRODUCT($I$60:I60,$J$60:J60)&lt;=10,"SKS&lt;=10",IF(SUMPRODUCT($I$60:I60,$J$60:J60)&gt;10,"SKS&gt;10",""))),"rumus")</f>
        <v>SKS&lt;=10</v>
      </c>
      <c r="M60" s="4"/>
      <c r="N60" s="4"/>
      <c r="O60" s="4"/>
      <c r="P60" s="4"/>
      <c r="Q60" s="4"/>
      <c r="R60" s="4"/>
      <c r="S60" s="4"/>
      <c r="T60" s="4"/>
      <c r="U60" s="4"/>
      <c r="V60" s="4"/>
      <c r="W60" s="4"/>
      <c r="X60" s="4"/>
      <c r="Y60" s="4"/>
      <c r="Z60" s="4"/>
    </row>
    <row r="61" spans="1:26" ht="25.5" customHeight="1" x14ac:dyDescent="0.25">
      <c r="A61" s="109">
        <v>2</v>
      </c>
      <c r="B61" s="397" t="s">
        <v>314</v>
      </c>
      <c r="C61" s="106" t="s">
        <v>321</v>
      </c>
      <c r="D61" s="106" t="str">
        <f t="shared" si="19"/>
        <v/>
      </c>
      <c r="E61" s="398" t="str">
        <f t="shared" si="20"/>
        <v/>
      </c>
      <c r="F61" s="398" t="str">
        <f>IF(K61&lt;&gt;"rumus",(IF(OR(AND(L61="sks&gt;10",L60="sks&lt;=10",IFERROR(SUMPRODUCT($I$59:I60,$J$59:J60)&lt;10,FALSE)),AND(L61="sks&gt;10",L60="")),((IF('LAMPIRAN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Besar"),0.5,"")))),((IF(OR(AND(L61="sks&gt;10",L60="sks&gt;10"),AND(L61="sks&gt;10",L60="sks&lt;=10")),IF('LAMPIRAN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61" s="398" t="str">
        <f>IF(K61&lt;&gt;"rumus",(IF(OR(AND(L61="sks&gt;10",L60="sks&lt;=10",IFERROR(SUMPRODUCT($I$59:I60,$J$59:J60)&lt;10,FALSE)),AND(L61="sks&gt;10",L60="")),(((10-SUMPRODUCT($I$59:I60,$J$59:J60))&amp;" x "&amp;1&amp;" x "&amp;IF('LAMPIRAN I DONE'!$F$21="Tenaga Pengajar",0.5,IF(OR('LAMPIRAN I DONE'!$F$21="Asisten Ahli",'LAMPIRAN I DONE'!$F$21="Lektor",'LAMPIRAN I DONE'!$F$21="Lektor Kepala",'LAMPIRAN I DONE'!$F$21="Guru Besar"),1,""))&amp;" = "&amp;((10-SUMPRODUCT($I$59:I60,$J$59:J60))*IF('LAMPIRAN I DONE'!$F$21="Tenaga Pengajar",0.5,IF(OR('LAMPIRAN I DONE'!$F$21="Asisten Ahli",'LAMPIRAN I DONE'!$F$21="Lektor",'LAMPIRAN I DONE'!$F$21="Lektor Kepala",'LAMPIRAN I DONE'!$F$21="Guru Besar"),1,""))))&amp;"
"&amp;(((I61*J61)-(10-SUMPRODUCT($I$59:I60,$J$59:J60)))&amp;" x "&amp;1&amp;" x "&amp;IF('LAMPIRAN I DONE'!$F$21="Tenaga Pengajar",0.25,IF(OR('LAMPIRAN I DONE'!$F$21="Asisten Ahli",'LAMPIRAN I DONE'!$F$21="Lektor",'LAMPIRAN I DONE'!$F$21="Lektor Kepala",'LAMPIRAN I DONE'!$F$21="Guru Besar"),0.5,""))&amp;" = "&amp;(((I61*J61)-(10-SUMPRODUCT($I$59:I60,$J$59:J60)))*IF('LAMPIRAN I DONE'!$F$21="Tenaga Pengajar",0.25,IF(OR('LAMPIRAN I DONE'!$F$21="Asisten Ahli",'LAMPIRAN I DONE'!$F$21="Lektor",'LAMPIRAN I DONE'!$F$21="Lektor Kepala",'LAMPIRAN I DONE'!$F$21="Guru Besar"),0.5,""))))),(I61&amp;" x "&amp;J61&amp;" x "&amp;(IF(OR(AND(L61="sks&gt;10",L60="sks&gt;10"),AND(L61="sks&gt;10",L60="sks&lt;=10")),IF('LAMPIRAN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"&amp;K61))),"rumus")</f>
        <v>rumus</v>
      </c>
      <c r="H61" s="106" t="s">
        <v>315</v>
      </c>
      <c r="I61" s="409"/>
      <c r="J61" s="409"/>
      <c r="K61" s="401" t="str">
        <f>IF(AND(I61&lt;&gt;"",J61&lt;&gt;""),(IF(OR(AND(L61="sks&gt;10",L60="sks&lt;=10",IFERROR(SUMPRODUCT($I$59:I60,$J$59:J60)&lt;10,FALSE)),AND(L61="sks&gt;10",L60="")),(((10-SUMPRODUCT($I$59:I60,$J$59:J60))*IF('LAMPIRAN I DONE'!$F$21="Tenaga Pengajar",0.5,IF(OR('LAMPIRAN I DONE'!$F$21="Asisten Ahli",'LAMPIRAN I DONE'!$F$21="Lektor",'LAMPIRAN I DONE'!$F$21="Lektor Kepala",'LAMPIRAN I DONE'!$F$21="Guru Besar"),1,"")))+(((I61*J61)-(10-SUMPRODUCT($I$59:I60,$J$59:J60)))*IF('LAMPIRAN I DONE'!$F$21="Tenaga Pengajar",0.25,IF(OR('LAMPIRAN I DONE'!$F$21="Asisten Ahli",'LAMPIRAN I DONE'!$F$21="Lektor",'LAMPIRAN I DONE'!$F$21="Lektor Kepala",'LAMPIRAN I DONE'!$F$21="Guru Besar"),0.5,"")))),IF(OR(AND(L61="sks&gt;10",L60="sks&gt;10"),AND(L61="sks&gt;10",L60="sks&lt;=10")),I61*J61*IF('LAMPIRAN I DONE'!$F$21="Tenaga Pengajar",0.25,IF(OR('LAMPIRAN I DONE'!$F$21="Asisten Ahli",'LAMPIRAN I DONE'!$F$21="Lektor",'LAMPIRAN I DONE'!$F$21="Lektor Kepala",'LAMPIRAN I DONE'!$F$21="Guru Besar"),0.5,"")),I61*J61*IF('LAMPIRAN I DONE'!$F$21="Tenaga Pengajar",0.5,IF(OR('LAMPIRAN I DONE'!$F$21="Asisten Ahli",'LAMPIRAN I DONE'!$F$21="Lektor",'LAMPIRAN I DONE'!$F$21="Lektor Kepala",'LAMPIRAN I DONE'!$F$21="Guru Besar"),1,""))))),"rumus")</f>
        <v>rumus</v>
      </c>
      <c r="L61" s="401" t="str">
        <f t="shared" si="21"/>
        <v>rumus</v>
      </c>
      <c r="M61" s="4"/>
      <c r="N61" s="4"/>
      <c r="O61" s="4"/>
      <c r="P61" s="4"/>
      <c r="Q61" s="4"/>
      <c r="R61" s="4"/>
      <c r="S61" s="4"/>
      <c r="T61" s="4"/>
      <c r="U61" s="4"/>
      <c r="V61" s="4"/>
      <c r="W61" s="4"/>
      <c r="X61" s="4"/>
      <c r="Y61" s="4"/>
      <c r="Z61" s="4"/>
    </row>
    <row r="62" spans="1:26" ht="25.5" customHeight="1" x14ac:dyDescent="0.25">
      <c r="A62" s="109">
        <v>3</v>
      </c>
      <c r="B62" s="397" t="s">
        <v>314</v>
      </c>
      <c r="C62" s="106" t="s">
        <v>321</v>
      </c>
      <c r="D62" s="106" t="str">
        <f t="shared" si="19"/>
        <v/>
      </c>
      <c r="E62" s="398" t="str">
        <f t="shared" si="20"/>
        <v/>
      </c>
      <c r="F62" s="398" t="str">
        <f>IF(K62&lt;&gt;"rumus",(IF(OR(AND(L62="sks&gt;10",L61="sks&lt;=10",IFERROR(SUMPRODUCT($I$59:I61,$J$59:J61)&lt;10,FALSE)),AND(L62="sks&gt;10",L61="")),((IF('LAMPIRAN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Besar"),0.5,"")))),((IF(OR(AND(L62="sks&gt;10",L61="sks&gt;10"),AND(L62="sks&gt;10",L61="sks&lt;=10")),IF('LAMPIRAN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62" s="398" t="str">
        <f>IF(K62&lt;&gt;"rumus",(IF(OR(AND(L62="sks&gt;10",L61="sks&lt;=10",IFERROR(SUMPRODUCT($I$59:I61,$J$59:J61)&lt;10,FALSE)),AND(L62="sks&gt;10",L61="")),(((10-SUMPRODUCT($I$59:I61,$J$59:J61))&amp;" x "&amp;1&amp;" x "&amp;IF('LAMPIRAN I DONE'!$F$21="Tenaga Pengajar",0.5,IF(OR('LAMPIRAN I DONE'!$F$21="Asisten Ahli",'LAMPIRAN I DONE'!$F$21="Lektor",'LAMPIRAN I DONE'!$F$21="Lektor Kepala",'LAMPIRAN I DONE'!$F$21="Guru Besar"),1,""))&amp;" = "&amp;((10-SUMPRODUCT($I$59:I61,$J$59:J61))*IF('LAMPIRAN I DONE'!$F$21="Tenaga Pengajar",0.5,IF(OR('LAMPIRAN I DONE'!$F$21="Asisten Ahli",'LAMPIRAN I DONE'!$F$21="Lektor",'LAMPIRAN I DONE'!$F$21="Lektor Kepala",'LAMPIRAN I DONE'!$F$21="Guru Besar"),1,""))))&amp;"
"&amp;(((I62*J62)-(10-SUMPRODUCT($I$59:I61,$J$59:J61)))&amp;" x "&amp;1&amp;" x "&amp;IF('LAMPIRAN I DONE'!$F$21="Tenaga Pengajar",0.25,IF(OR('LAMPIRAN I DONE'!$F$21="Asisten Ahli",'LAMPIRAN I DONE'!$F$21="Lektor",'LAMPIRAN I DONE'!$F$21="Lektor Kepala",'LAMPIRAN I DONE'!$F$21="Guru Besar"),0.5,""))&amp;" = "&amp;(((I62*J62)-(10-SUMPRODUCT($I$59:I61,$J$59:J61)))*IF('LAMPIRAN I DONE'!$F$21="Tenaga Pengajar",0.25,IF(OR('LAMPIRAN I DONE'!$F$21="Asisten Ahli",'LAMPIRAN I DONE'!$F$21="Lektor",'LAMPIRAN I DONE'!$F$21="Lektor Kepala",'LAMPIRAN I DONE'!$F$21="Guru Besar"),0.5,""))))),(I62&amp;" x "&amp;J62&amp;" x "&amp;(IF(OR(AND(L62="sks&gt;10",L61="sks&gt;10"),AND(L62="sks&gt;10",L61="sks&lt;=10")),IF('LAMPIRAN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"&amp;K62))),"rumus")</f>
        <v>rumus</v>
      </c>
      <c r="H62" s="106" t="s">
        <v>315</v>
      </c>
      <c r="I62" s="409"/>
      <c r="J62" s="409"/>
      <c r="K62" s="401" t="str">
        <f>IF(AND(I62&lt;&gt;"",J62&lt;&gt;""),(IF(OR(AND(L62="sks&gt;10",L61="sks&lt;=10",IFERROR(SUMPRODUCT($I$59:I61,$J$59:J61)&lt;10,FALSE)),AND(L62="sks&gt;10",L61="")),(((10-SUMPRODUCT($I$59:I61,$J$59:J61))*IF('LAMPIRAN I DONE'!$F$21="Tenaga Pengajar",0.5,IF(OR('LAMPIRAN I DONE'!$F$21="Asisten Ahli",'LAMPIRAN I DONE'!$F$21="Lektor",'LAMPIRAN I DONE'!$F$21="Lektor Kepala",'LAMPIRAN I DONE'!$F$21="Guru Besar"),1,"")))+(((I62*J62)-(10-SUMPRODUCT($I$59:I61,$J$59:J61)))*IF('LAMPIRAN I DONE'!$F$21="Tenaga Pengajar",0.25,IF(OR('LAMPIRAN I DONE'!$F$21="Asisten Ahli",'LAMPIRAN I DONE'!$F$21="Lektor",'LAMPIRAN I DONE'!$F$21="Lektor Kepala",'LAMPIRAN I DONE'!$F$21="Guru Besar"),0.5,"")))),IF(OR(AND(L62="sks&gt;10",L61="sks&gt;10"),AND(L62="sks&gt;10",L61="sks&lt;=10")),I62*J62*IF('LAMPIRAN I DONE'!$F$21="Tenaga Pengajar",0.25,IF(OR('LAMPIRAN I DONE'!$F$21="Asisten Ahli",'LAMPIRAN I DONE'!$F$21="Lektor",'LAMPIRAN I DONE'!$F$21="Lektor Kepala",'LAMPIRAN I DONE'!$F$21="Guru Besar"),0.5,"")),I62*J62*IF('LAMPIRAN I DONE'!$F$21="Tenaga Pengajar",0.5,IF(OR('LAMPIRAN I DONE'!$F$21="Asisten Ahli",'LAMPIRAN I DONE'!$F$21="Lektor",'LAMPIRAN I DONE'!$F$21="Lektor Kepala",'LAMPIRAN I DONE'!$F$21="Guru Besar"),1,""))))),"rumus")</f>
        <v>rumus</v>
      </c>
      <c r="L62" s="401" t="str">
        <f t="shared" si="21"/>
        <v>rumus</v>
      </c>
      <c r="M62" s="4"/>
      <c r="N62" s="4"/>
      <c r="O62" s="4"/>
      <c r="P62" s="4"/>
      <c r="Q62" s="4"/>
      <c r="R62" s="4"/>
      <c r="S62" s="4"/>
      <c r="T62" s="4"/>
      <c r="U62" s="4"/>
      <c r="V62" s="4"/>
      <c r="W62" s="4"/>
      <c r="X62" s="4"/>
      <c r="Y62" s="4"/>
      <c r="Z62" s="4"/>
    </row>
    <row r="63" spans="1:26" ht="25.5" customHeight="1" x14ac:dyDescent="0.25">
      <c r="A63" s="109">
        <v>4</v>
      </c>
      <c r="B63" s="397" t="s">
        <v>314</v>
      </c>
      <c r="C63" s="106" t="s">
        <v>321</v>
      </c>
      <c r="D63" s="106" t="str">
        <f t="shared" si="19"/>
        <v/>
      </c>
      <c r="E63" s="398" t="str">
        <f t="shared" si="20"/>
        <v/>
      </c>
      <c r="F63" s="398" t="str">
        <f>IF(K63&lt;&gt;"rumus",(IF(OR(AND(L63="sks&gt;10",L62="sks&lt;=10",IFERROR(SUMPRODUCT($I$59:I62,$J$59:J62)&lt;10,FALSE)),AND(L63="sks&gt;10",L62="")),((IF('LAMPIRAN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Besar"),0.5,"")))),((IF(OR(AND(L63="sks&gt;10",L62="sks&gt;10"),AND(L63="sks&gt;10",L62="sks&lt;=10")),IF('LAMPIRAN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63" s="398" t="str">
        <f>IF(K63&lt;&gt;"rumus",(IF(OR(AND(L63="sks&gt;10",L62="sks&lt;=10",IFERROR(SUMPRODUCT($I$59:I62,$J$59:J62)&lt;10,FALSE)),AND(L63="sks&gt;10",L62="")),(((10-SUMPRODUCT($I$59:I62,$J$59:J62))&amp;" x "&amp;1&amp;" x "&amp;IF('LAMPIRAN I DONE'!$F$21="Tenaga Pengajar",0.5,IF(OR('LAMPIRAN I DONE'!$F$21="Asisten Ahli",'LAMPIRAN I DONE'!$F$21="Lektor",'LAMPIRAN I DONE'!$F$21="Lektor Kepala",'LAMPIRAN I DONE'!$F$21="Guru Besar"),1,""))&amp;" = "&amp;((10-SUMPRODUCT($I$59:I62,$J$59:J62))*IF('LAMPIRAN I DONE'!$F$21="Tenaga Pengajar",0.5,IF(OR('LAMPIRAN I DONE'!$F$21="Asisten Ahli",'LAMPIRAN I DONE'!$F$21="Lektor",'LAMPIRAN I DONE'!$F$21="Lektor Kepala",'LAMPIRAN I DONE'!$F$21="Guru Besar"),1,""))))&amp;"
"&amp;(((I63*J63)-(10-SUMPRODUCT($I$59:I62,$J$59:J62)))&amp;" x "&amp;1&amp;" x "&amp;IF('LAMPIRAN I DONE'!$F$21="Tenaga Pengajar",0.25,IF(OR('LAMPIRAN I DONE'!$F$21="Asisten Ahli",'LAMPIRAN I DONE'!$F$21="Lektor",'LAMPIRAN I DONE'!$F$21="Lektor Kepala",'LAMPIRAN I DONE'!$F$21="Guru Besar"),0.5,""))&amp;" = "&amp;(((I63*J63)-(10-SUMPRODUCT($I$59:I62,$J$59:J62)))*IF('LAMPIRAN I DONE'!$F$21="Tenaga Pengajar",0.25,IF(OR('LAMPIRAN I DONE'!$F$21="Asisten Ahli",'LAMPIRAN I DONE'!$F$21="Lektor",'LAMPIRAN I DONE'!$F$21="Lektor Kepala",'LAMPIRAN I DONE'!$F$21="Guru Besar"),0.5,""))))),(I63&amp;" x "&amp;J63&amp;" x "&amp;(IF(OR(AND(L63="sks&gt;10",L62="sks&gt;10"),AND(L63="sks&gt;10",L62="sks&lt;=10")),IF('LAMPIRAN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"&amp;K63))),"rumus")</f>
        <v>rumus</v>
      </c>
      <c r="H63" s="106" t="s">
        <v>315</v>
      </c>
      <c r="I63" s="409"/>
      <c r="J63" s="409"/>
      <c r="K63" s="401" t="str">
        <f>IF(AND(I63&lt;&gt;"",J63&lt;&gt;""),(IF(OR(AND(L63="sks&gt;10",L62="sks&lt;=10",IFERROR(SUMPRODUCT($I$59:I62,$J$59:J62)&lt;10,FALSE)),AND(L63="sks&gt;10",L62="")),(((10-SUMPRODUCT($I$59:I62,$J$59:J62))*IF('LAMPIRAN I DONE'!$F$21="Tenaga Pengajar",0.5,IF(OR('LAMPIRAN I DONE'!$F$21="Asisten Ahli",'LAMPIRAN I DONE'!$F$21="Lektor",'LAMPIRAN I DONE'!$F$21="Lektor Kepala",'LAMPIRAN I DONE'!$F$21="Guru Besar"),1,"")))+(((I63*J63)-(10-SUMPRODUCT($I$59:I62,$J$59:J62)))*IF('LAMPIRAN I DONE'!$F$21="Tenaga Pengajar",0.25,IF(OR('LAMPIRAN I DONE'!$F$21="Asisten Ahli",'LAMPIRAN I DONE'!$F$21="Lektor",'LAMPIRAN I DONE'!$F$21="Lektor Kepala",'LAMPIRAN I DONE'!$F$21="Guru Besar"),0.5,"")))),IF(OR(AND(L63="sks&gt;10",L62="sks&gt;10"),AND(L63="sks&gt;10",L62="sks&lt;=10")),I63*J63*IF('LAMPIRAN I DONE'!$F$21="Tenaga Pengajar",0.25,IF(OR('LAMPIRAN I DONE'!$F$21="Asisten Ahli",'LAMPIRAN I DONE'!$F$21="Lektor",'LAMPIRAN I DONE'!$F$21="Lektor Kepala",'LAMPIRAN I DONE'!$F$21="Guru Besar"),0.5,"")),I63*J63*IF('LAMPIRAN I DONE'!$F$21="Tenaga Pengajar",0.5,IF(OR('LAMPIRAN I DONE'!$F$21="Asisten Ahli",'LAMPIRAN I DONE'!$F$21="Lektor",'LAMPIRAN I DONE'!$F$21="Lektor Kepala",'LAMPIRAN I DONE'!$F$21="Guru Besar"),1,""))))),"rumus")</f>
        <v>rumus</v>
      </c>
      <c r="L63" s="401" t="str">
        <f t="shared" si="21"/>
        <v>rumus</v>
      </c>
      <c r="M63" s="4"/>
      <c r="N63" s="4"/>
      <c r="O63" s="4"/>
      <c r="P63" s="4"/>
      <c r="Q63" s="4"/>
      <c r="R63" s="4"/>
      <c r="S63" s="4"/>
      <c r="T63" s="4"/>
      <c r="U63" s="4"/>
      <c r="V63" s="4"/>
      <c r="W63" s="4"/>
      <c r="X63" s="4"/>
      <c r="Y63" s="4"/>
      <c r="Z63" s="4"/>
    </row>
    <row r="64" spans="1:26" ht="25.5" customHeight="1" x14ac:dyDescent="0.25">
      <c r="A64" s="109">
        <v>5</v>
      </c>
      <c r="B64" s="397" t="s">
        <v>314</v>
      </c>
      <c r="C64" s="106" t="s">
        <v>321</v>
      </c>
      <c r="D64" s="106" t="str">
        <f t="shared" si="19"/>
        <v/>
      </c>
      <c r="E64" s="398" t="str">
        <f t="shared" si="20"/>
        <v/>
      </c>
      <c r="F64" s="398" t="str">
        <f>IF(K64&lt;&gt;"rumus",(IF(OR(AND(L64="sks&gt;10",L63="sks&lt;=10",IFERROR(SUMPRODUCT($I$59:I63,$J$59:J63)&lt;10,FALSE)),AND(L64="sks&gt;10",L63="")),((IF('LAMPIRAN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Besar"),0.5,"")))),((IF(OR(AND(L64="sks&gt;10",L63="sks&gt;10"),AND(L64="sks&gt;10",L63="sks&lt;=10")),IF('LAMPIRAN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64" s="398" t="str">
        <f>IF(K64&lt;&gt;"rumus",(IF(OR(AND(L64="sks&gt;10",L63="sks&lt;=10",IFERROR(SUMPRODUCT($I$59:I63,$J$59:J63)&lt;10,FALSE)),AND(L64="sks&gt;10",L63="")),(((10-SUMPRODUCT($I$59:I63,$J$59:J63))&amp;" x "&amp;1&amp;" x "&amp;IF('LAMPIRAN I DONE'!$F$21="Tenaga Pengajar",0.5,IF(OR('LAMPIRAN I DONE'!$F$21="Asisten Ahli",'LAMPIRAN I DONE'!$F$21="Lektor",'LAMPIRAN I DONE'!$F$21="Lektor Kepala",'LAMPIRAN I DONE'!$F$21="Guru Besar"),1,""))&amp;" = "&amp;((10-SUMPRODUCT($I$59:I63,$J$59:J63))*IF('LAMPIRAN I DONE'!$F$21="Tenaga Pengajar",0.5,IF(OR('LAMPIRAN I DONE'!$F$21="Asisten Ahli",'LAMPIRAN I DONE'!$F$21="Lektor",'LAMPIRAN I DONE'!$F$21="Lektor Kepala",'LAMPIRAN I DONE'!$F$21="Guru Besar"),1,""))))&amp;"
"&amp;(((I64*J64)-(10-SUMPRODUCT($I$59:I63,$J$59:J63)))&amp;" x "&amp;1&amp;" x "&amp;IF('LAMPIRAN I DONE'!$F$21="Tenaga Pengajar",0.25,IF(OR('LAMPIRAN I DONE'!$F$21="Asisten Ahli",'LAMPIRAN I DONE'!$F$21="Lektor",'LAMPIRAN I DONE'!$F$21="Lektor Kepala",'LAMPIRAN I DONE'!$F$21="Guru Besar"),0.5,""))&amp;" = "&amp;(((I64*J64)-(10-SUMPRODUCT($I$59:I63,$J$59:J63)))*IF('LAMPIRAN I DONE'!$F$21="Tenaga Pengajar",0.25,IF(OR('LAMPIRAN I DONE'!$F$21="Asisten Ahli",'LAMPIRAN I DONE'!$F$21="Lektor",'LAMPIRAN I DONE'!$F$21="Lektor Kepala",'LAMPIRAN I DONE'!$F$21="Guru Besar"),0.5,""))))),(I64&amp;" x "&amp;J64&amp;" x "&amp;(IF(OR(AND(L64="sks&gt;10",L63="sks&gt;10"),AND(L64="sks&gt;10",L63="sks&lt;=10")),IF('LAMPIRAN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"&amp;K64))),"rumus")</f>
        <v>rumus</v>
      </c>
      <c r="H64" s="106" t="s">
        <v>315</v>
      </c>
      <c r="I64" s="409"/>
      <c r="J64" s="409"/>
      <c r="K64" s="401" t="str">
        <f>IF(AND(I64&lt;&gt;"",J64&lt;&gt;""),(IF(OR(AND(L64="sks&gt;10",L63="sks&lt;=10",IFERROR(SUMPRODUCT($I$59:I63,$J$59:J63)&lt;10,FALSE)),AND(L64="sks&gt;10",L63="")),(((10-SUMPRODUCT($I$59:I63,$J$59:J63))*IF('LAMPIRAN I DONE'!$F$21="Tenaga Pengajar",0.5,IF(OR('LAMPIRAN I DONE'!$F$21="Asisten Ahli",'LAMPIRAN I DONE'!$F$21="Lektor",'LAMPIRAN I DONE'!$F$21="Lektor Kepala",'LAMPIRAN I DONE'!$F$21="Guru Besar"),1,"")))+(((I64*J64)-(10-SUMPRODUCT($I$59:I63,$J$59:J63)))*IF('LAMPIRAN I DONE'!$F$21="Tenaga Pengajar",0.25,IF(OR('LAMPIRAN I DONE'!$F$21="Asisten Ahli",'LAMPIRAN I DONE'!$F$21="Lektor",'LAMPIRAN I DONE'!$F$21="Lektor Kepala",'LAMPIRAN I DONE'!$F$21="Guru Besar"),0.5,"")))),IF(OR(AND(L64="sks&gt;10",L63="sks&gt;10"),AND(L64="sks&gt;10",L63="sks&lt;=10")),I64*J64*IF('LAMPIRAN I DONE'!$F$21="Tenaga Pengajar",0.25,IF(OR('LAMPIRAN I DONE'!$F$21="Asisten Ahli",'LAMPIRAN I DONE'!$F$21="Lektor",'LAMPIRAN I DONE'!$F$21="Lektor Kepala",'LAMPIRAN I DONE'!$F$21="Guru Besar"),0.5,"")),I64*J64*IF('LAMPIRAN I DONE'!$F$21="Tenaga Pengajar",0.5,IF(OR('LAMPIRAN I DONE'!$F$21="Asisten Ahli",'LAMPIRAN I DONE'!$F$21="Lektor",'LAMPIRAN I DONE'!$F$21="Lektor Kepala",'LAMPIRAN I DONE'!$F$21="Guru Besar"),1,""))))),"rumus")</f>
        <v>rumus</v>
      </c>
      <c r="L64" s="401" t="str">
        <f t="shared" si="21"/>
        <v>rumus</v>
      </c>
      <c r="M64" s="4"/>
      <c r="N64" s="4"/>
      <c r="O64" s="4"/>
      <c r="P64" s="4"/>
      <c r="Q64" s="4"/>
      <c r="R64" s="4"/>
      <c r="S64" s="4"/>
      <c r="T64" s="4"/>
      <c r="U64" s="4"/>
      <c r="V64" s="4"/>
      <c r="W64" s="4"/>
      <c r="X64" s="4"/>
      <c r="Y64" s="4"/>
      <c r="Z64" s="4"/>
    </row>
    <row r="65" spans="1:26" ht="25.5" customHeight="1" x14ac:dyDescent="0.25">
      <c r="A65" s="109">
        <v>6</v>
      </c>
      <c r="B65" s="397" t="s">
        <v>314</v>
      </c>
      <c r="C65" s="106" t="s">
        <v>321</v>
      </c>
      <c r="D65" s="106" t="str">
        <f t="shared" si="19"/>
        <v/>
      </c>
      <c r="E65" s="398" t="str">
        <f t="shared" si="20"/>
        <v/>
      </c>
      <c r="F65" s="398" t="str">
        <f>IF(K65&lt;&gt;"rumus",(IF(OR(AND(L65="sks&gt;10",L64="sks&lt;=10",IFERROR(SUMPRODUCT($I$59:I64,$J$59:J64)&lt;10,FALSE)),AND(L65="sks&gt;10",L64="")),((IF('LAMPIRAN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Besar"),0.5,"")))),((IF(OR(AND(L65="sks&gt;10",L64="sks&gt;10"),AND(L65="sks&gt;10",L64="sks&lt;=10")),IF('LAMPIRAN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65" s="398" t="str">
        <f>IF(K65&lt;&gt;"rumus",(IF(OR(AND(L65="sks&gt;10",L64="sks&lt;=10",IFERROR(SUMPRODUCT($I$59:I64,$J$59:J64)&lt;10,FALSE)),AND(L65="sks&gt;10",L64="")),(((10-SUMPRODUCT($I$59:I64,$J$59:J64))&amp;" x "&amp;1&amp;" x "&amp;IF('LAMPIRAN I DONE'!$F$21="Tenaga Pengajar",0.5,IF(OR('LAMPIRAN I DONE'!$F$21="Asisten Ahli",'LAMPIRAN I DONE'!$F$21="Lektor",'LAMPIRAN I DONE'!$F$21="Lektor Kepala",'LAMPIRAN I DONE'!$F$21="Guru Besar"),1,""))&amp;" = "&amp;((10-SUMPRODUCT($I$59:I64,$J$59:J64))*IF('LAMPIRAN I DONE'!$F$21="Tenaga Pengajar",0.5,IF(OR('LAMPIRAN I DONE'!$F$21="Asisten Ahli",'LAMPIRAN I DONE'!$F$21="Lektor",'LAMPIRAN I DONE'!$F$21="Lektor Kepala",'LAMPIRAN I DONE'!$F$21="Guru Besar"),1,""))))&amp;"
"&amp;(((I65*J65)-(10-SUMPRODUCT($I$59:I64,$J$59:J64)))&amp;" x "&amp;1&amp;" x "&amp;IF('LAMPIRAN I DONE'!$F$21="Tenaga Pengajar",0.25,IF(OR('LAMPIRAN I DONE'!$F$21="Asisten Ahli",'LAMPIRAN I DONE'!$F$21="Lektor",'LAMPIRAN I DONE'!$F$21="Lektor Kepala",'LAMPIRAN I DONE'!$F$21="Guru Besar"),0.5,""))&amp;" = "&amp;(((I65*J65)-(10-SUMPRODUCT($I$59:I64,$J$59:J64)))*IF('LAMPIRAN I DONE'!$F$21="Tenaga Pengajar",0.25,IF(OR('LAMPIRAN I DONE'!$F$21="Asisten Ahli",'LAMPIRAN I DONE'!$F$21="Lektor",'LAMPIRAN I DONE'!$F$21="Lektor Kepala",'LAMPIRAN I DONE'!$F$21="Guru Besar"),0.5,""))))),(I65&amp;" x "&amp;J65&amp;" x "&amp;(IF(OR(AND(L65="sks&gt;10",L64="sks&gt;10"),AND(L65="sks&gt;10",L64="sks&lt;=10")),IF('LAMPIRAN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"&amp;K65))),"rumus")</f>
        <v>rumus</v>
      </c>
      <c r="H65" s="106" t="s">
        <v>315</v>
      </c>
      <c r="I65" s="409"/>
      <c r="J65" s="409"/>
      <c r="K65" s="401" t="str">
        <f>IF(AND(I65&lt;&gt;"",J65&lt;&gt;""),(IF(OR(AND(L65="sks&gt;10",L64="sks&lt;=10",IFERROR(SUMPRODUCT($I$59:I64,$J$59:J64)&lt;10,FALSE)),AND(L65="sks&gt;10",L64="")),(((10-SUMPRODUCT($I$59:I64,$J$59:J64))*IF('LAMPIRAN I DONE'!$F$21="Tenaga Pengajar",0.5,IF(OR('LAMPIRAN I DONE'!$F$21="Asisten Ahli",'LAMPIRAN I DONE'!$F$21="Lektor",'LAMPIRAN I DONE'!$F$21="Lektor Kepala",'LAMPIRAN I DONE'!$F$21="Guru Besar"),1,"")))+(((I65*J65)-(10-SUMPRODUCT($I$59:I64,$J$59:J64)))*IF('LAMPIRAN I DONE'!$F$21="Tenaga Pengajar",0.25,IF(OR('LAMPIRAN I DONE'!$F$21="Asisten Ahli",'LAMPIRAN I DONE'!$F$21="Lektor",'LAMPIRAN I DONE'!$F$21="Lektor Kepala",'LAMPIRAN I DONE'!$F$21="Guru Besar"),0.5,"")))),IF(OR(AND(L65="sks&gt;10",L64="sks&gt;10"),AND(L65="sks&gt;10",L64="sks&lt;=10")),I65*J65*IF('LAMPIRAN I DONE'!$F$21="Tenaga Pengajar",0.25,IF(OR('LAMPIRAN I DONE'!$F$21="Asisten Ahli",'LAMPIRAN I DONE'!$F$21="Lektor",'LAMPIRAN I DONE'!$F$21="Lektor Kepala",'LAMPIRAN I DONE'!$F$21="Guru Besar"),0.5,"")),I65*J65*IF('LAMPIRAN I DONE'!$F$21="Tenaga Pengajar",0.5,IF(OR('LAMPIRAN I DONE'!$F$21="Asisten Ahli",'LAMPIRAN I DONE'!$F$21="Lektor",'LAMPIRAN I DONE'!$F$21="Lektor Kepala",'LAMPIRAN I DONE'!$F$21="Guru Besar"),1,""))))),"rumus")</f>
        <v>rumus</v>
      </c>
      <c r="L65" s="401" t="str">
        <f t="shared" si="21"/>
        <v>rumus</v>
      </c>
      <c r="M65" s="4"/>
      <c r="N65" s="4"/>
      <c r="O65" s="4"/>
      <c r="P65" s="4"/>
      <c r="Q65" s="4"/>
      <c r="R65" s="4"/>
      <c r="S65" s="4"/>
      <c r="T65" s="4"/>
      <c r="U65" s="4"/>
      <c r="V65" s="4"/>
      <c r="W65" s="4"/>
      <c r="X65" s="4"/>
      <c r="Y65" s="4"/>
      <c r="Z65" s="4"/>
    </row>
    <row r="66" spans="1:26" ht="15" customHeight="1" x14ac:dyDescent="0.25">
      <c r="A66" s="109"/>
      <c r="B66" s="406" t="str">
        <f>"a. Semester Gasal "&amp;IF(C67&lt;&gt;"",C67,"")&amp;" :"</f>
        <v>a. Semester Gasal 2016/2017 :</v>
      </c>
      <c r="C66" s="410"/>
      <c r="D66" s="410"/>
      <c r="E66" s="410"/>
      <c r="F66" s="410"/>
      <c r="G66" s="410"/>
      <c r="H66" s="411"/>
      <c r="I66" s="110"/>
      <c r="J66" s="110"/>
      <c r="K66" s="112"/>
      <c r="L66" s="112"/>
      <c r="M66" s="111">
        <f>IF((AND(N66="Max 5,5",SUM(K60:K65)&lt;=5.5)),SUM(K60:K65),IF((AND(N66="Max 5,5",SUM(K60:K65)&gt;5.5)),5.5,IF((AND(N66="Max 11",SUM(K60:K65)&lt;=11)),SUM(K60:K65),IF((AND(N66="Max 11",SUM(K60:K65)&gt;11)),11,""))))</f>
        <v>8</v>
      </c>
      <c r="N66" s="103" t="str">
        <f>IF('LAMPIRAN I DONE'!$F$21="Tenaga Pengajar","Max 5,5",IF(OR('LAMPIRAN I DONE'!$F$21="Asisten Ahli",'LAMPIRAN I DONE'!$F$21="Lektor",'LAMPIRAN I DONE'!$F$21="Lektor Kepala",'LAMPIRAN I DONE'!$F$21="Guru Besar"),"Max 11",""))</f>
        <v>Max 11</v>
      </c>
      <c r="O66" s="4"/>
      <c r="P66" s="4"/>
      <c r="Q66" s="4"/>
      <c r="R66" s="4"/>
      <c r="S66" s="4"/>
      <c r="T66" s="4"/>
      <c r="U66" s="4"/>
      <c r="V66" s="4"/>
      <c r="W66" s="4"/>
      <c r="X66" s="4"/>
      <c r="Y66" s="4"/>
      <c r="Z66" s="4"/>
    </row>
    <row r="67" spans="1:26" ht="25.5" customHeight="1" x14ac:dyDescent="0.25">
      <c r="A67" s="109">
        <v>1</v>
      </c>
      <c r="B67" s="570" t="s">
        <v>323</v>
      </c>
      <c r="C67" s="106" t="s">
        <v>324</v>
      </c>
      <c r="D67" s="106" t="str">
        <f t="shared" ref="D67:D72" si="22">IF(G67&lt;&gt;"rumus","SKS","")</f>
        <v>SKS</v>
      </c>
      <c r="E67" s="398" t="str">
        <f t="shared" ref="E67:E72" si="23">IF(K67&lt;&gt;"rumus",(IF(OR(AND(L67="sks&gt;10",L66="sks&lt;=10",IFERROR(SUMPRODUCT($I$66:I66,$J$66:J66)&lt;10,FALSE)),AND(L67="sks&gt;10",L66="")),(((10-SUMPRODUCT($I$66:I66,$J$66:J66))&amp;" x "&amp;1)&amp;"
"&amp;(((I67*J67)-(10-SUMPRODUCT($I$66:I66,$J$66:J66)))&amp;" x "&amp;1)),(I67&amp;" x "&amp;J67))),"")</f>
        <v>4 x 2</v>
      </c>
      <c r="F67" s="398">
        <f>IF(K67&lt;&gt;"rumus",(IF(OR(AND(L67="sks&gt;10",L66="sks&lt;=10",IFERROR(SUMPRODUCT($I$66:I66,$J$66:J66)&lt;10,FALSE)),AND(L67="sks&gt;10",L66="")),((IF('LAMPIRAN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Besar"),0.5,"")))),((IF(OR(AND(L67="sks&gt;10",L66="sks&gt;10"),AND(L67="sks&gt;10",L66="sks&lt;=10")),IF('LAMPIRAN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67" s="398" t="str">
        <f>IF(K67&lt;&gt;"rumus",(IF(OR(AND(L67="sks&gt;10",L66="sks&lt;=10",IFERROR(SUMPRODUCT($I$66:I66,$J$66:J66)&lt;10,FALSE)),AND(L67="sks&gt;10",L66="")),(((10-SUMPRODUCT($I$66:I66,$J$66:J66))&amp;" x "&amp;1&amp;" x "&amp;IF('LAMPIRAN I DONE'!$F$21="Tenaga Pengajar",0.5,IF(OR('LAMPIRAN I DONE'!$F$21="Asisten Ahli",'LAMPIRAN I DONE'!$F$21="Lektor",'LAMPIRAN I DONE'!$F$21="Lektor Kepala",'LAMPIRAN I DONE'!$F$21="Guru Besar"),1,""))&amp;" = "&amp;((10-SUMPRODUCT($I$66:I66,$J$66:J66))*IF('LAMPIRAN I DONE'!$F$21="Tenaga Pengajar",0.5,IF(OR('LAMPIRAN I DONE'!$F$21="Asisten Ahli",'LAMPIRAN I DONE'!$F$21="Lektor",'LAMPIRAN I DONE'!$F$21="Lektor Kepala",'LAMPIRAN I DONE'!$F$21="Guru Besar"),1,""))))&amp;"
"&amp;(((I67*J67)-(10-SUMPRODUCT($I$66:I66,$J$66:J66)))&amp;" x "&amp;1&amp;" x "&amp;IF('LAMPIRAN I DONE'!$F$21="Tenaga Pengajar",0.25,IF(OR('LAMPIRAN I DONE'!$F$21="Asisten Ahli",'LAMPIRAN I DONE'!$F$21="Lektor",'LAMPIRAN I DONE'!$F$21="Lektor Kepala",'LAMPIRAN I DONE'!$F$21="Guru Besar"),0.5,""))&amp;" = "&amp;(((I67*J67)-(10-SUMPRODUCT($I$66:I66,$J$66:J66)))*IF('LAMPIRAN I DONE'!$F$21="Tenaga Pengajar",0.25,IF(OR('LAMPIRAN I DONE'!$F$21="Asisten Ahli",'LAMPIRAN I DONE'!$F$21="Lektor",'LAMPIRAN I DONE'!$F$21="Lektor Kepala",'LAMPIRAN I DONE'!$F$21="Guru Besar"),0.5,""))))),(I67&amp;" x "&amp;J67&amp;" x "&amp;(IF(OR(AND(L67="sks&gt;10",L66="sks&gt;10"),AND(L67="sks&gt;10",L66="sks&lt;=10")),IF('LAMPIRAN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"&amp;K67))),"rumus")</f>
        <v>4 x 2 x 1 = 8</v>
      </c>
      <c r="H67" s="106" t="s">
        <v>325</v>
      </c>
      <c r="I67" s="409">
        <v>4</v>
      </c>
      <c r="J67" s="409">
        <v>2</v>
      </c>
      <c r="K67" s="401">
        <f>IF(AND(I67&lt;&gt;"",J67&lt;&gt;""),(IF(OR(AND(L67="sks&gt;10",L66="sks&lt;=10",IFERROR(SUMPRODUCT($I$66:I66,$J$66:J66)&lt;10,FALSE)),AND(L67="sks&gt;10",L66="")),(((10-SUMPRODUCT($I$66:I66,$J$66:J66))*IF('LAMPIRAN I DONE'!$F$21="Tenaga Pengajar",0.5,IF(OR('LAMPIRAN I DONE'!$F$21="Asisten Ahli",'LAMPIRAN I DONE'!$F$21="Lektor",'LAMPIRAN I DONE'!$F$21="Lektor Kepala",'LAMPIRAN I DONE'!$F$21="Guru Besar"),1,"")))+(((I67*J67)-(10-SUMPRODUCT($I$66:I66,$J$66:J66)))*IF('LAMPIRAN I DONE'!$F$21="Tenaga Pengajar",0.25,IF(OR('LAMPIRAN I DONE'!$F$21="Asisten Ahli",'LAMPIRAN I DONE'!$F$21="Lektor",'LAMPIRAN I DONE'!$F$21="Lektor Kepala",'LAMPIRAN I DONE'!$F$21="Guru Besar"),0.5,"")))),IF(OR(AND(L67="sks&gt;10",L66="sks&gt;10"),AND(L67="sks&gt;10",L66="sks&lt;=10")),I67*J67*IF('LAMPIRAN I DONE'!$F$21="Tenaga Pengajar",0.25,IF(OR('LAMPIRAN I DONE'!$F$21="Asisten Ahli",'LAMPIRAN I DONE'!$F$21="Lektor",'LAMPIRAN I DONE'!$F$21="Lektor Kepala",'LAMPIRAN I DONE'!$F$21="Guru Besar"),0.5,"")),I67*J67*IF('LAMPIRAN I DONE'!$F$21="Tenaga Pengajar",0.5,IF(OR('LAMPIRAN I DONE'!$F$21="Asisten Ahli",'LAMPIRAN I DONE'!$F$21="Lektor",'LAMPIRAN I DONE'!$F$21="Lektor Kepala",'LAMPIRAN I DONE'!$F$21="Guru Besar"),1,""))))),"rumus")</f>
        <v>8</v>
      </c>
      <c r="L67" s="401" t="str">
        <f t="shared" ref="L67:L72" si="24">IF(AND(I67&lt;&gt;"",J67&lt;&gt;""),(IF(SUMPRODUCT($I$67:I67,$J$67:J67)&lt;=10,"SKS&lt;=10",IF(SUMPRODUCT($I$67:I67,$J$67:J67)&gt;10,"SKS&gt;10",""))),"rumus")</f>
        <v>SKS&lt;=10</v>
      </c>
      <c r="M67" s="4"/>
      <c r="N67" s="4"/>
      <c r="O67" s="4"/>
      <c r="P67" s="4"/>
      <c r="Q67" s="4"/>
      <c r="R67" s="4"/>
      <c r="S67" s="4"/>
      <c r="T67" s="4"/>
      <c r="U67" s="4"/>
      <c r="V67" s="4"/>
      <c r="W67" s="4"/>
      <c r="X67" s="4"/>
      <c r="Y67" s="4"/>
      <c r="Z67" s="4"/>
    </row>
    <row r="68" spans="1:26" ht="25.5" customHeight="1" x14ac:dyDescent="0.25">
      <c r="A68" s="109">
        <v>2</v>
      </c>
      <c r="B68" s="397" t="s">
        <v>314</v>
      </c>
      <c r="C68" s="106" t="s">
        <v>324</v>
      </c>
      <c r="D68" s="106" t="str">
        <f t="shared" si="22"/>
        <v/>
      </c>
      <c r="E68" s="398" t="str">
        <f t="shared" si="23"/>
        <v/>
      </c>
      <c r="F68" s="398" t="str">
        <f>IF(K68&lt;&gt;"rumus",(IF(OR(AND(L68="sks&gt;10",L67="sks&lt;=10",IFERROR(SUMPRODUCT($I$66:I67,$J$66:J67)&lt;10,FALSE)),AND(L68="sks&gt;10",L67="")),((IF('LAMPIRAN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Besar"),0.5,"")))),((IF(OR(AND(L68="sks&gt;10",L67="sks&gt;10"),AND(L68="sks&gt;10",L67="sks&lt;=10")),IF('LAMPIRAN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68" s="398" t="str">
        <f>IF(K68&lt;&gt;"rumus",(IF(OR(AND(L68="sks&gt;10",L67="sks&lt;=10",IFERROR(SUMPRODUCT($I$66:I67,$J$66:J67)&lt;10,FALSE)),AND(L68="sks&gt;10",L67="")),(((10-SUMPRODUCT($I$66:I67,$J$66:J67))&amp;" x "&amp;1&amp;" x "&amp;IF('LAMPIRAN I DONE'!$F$21="Tenaga Pengajar",0.5,IF(OR('LAMPIRAN I DONE'!$F$21="Asisten Ahli",'LAMPIRAN I DONE'!$F$21="Lektor",'LAMPIRAN I DONE'!$F$21="Lektor Kepala",'LAMPIRAN I DONE'!$F$21="Guru Besar"),1,""))&amp;" = "&amp;((10-SUMPRODUCT($I$66:I67,$J$66:J67))*IF('LAMPIRAN I DONE'!$F$21="Tenaga Pengajar",0.5,IF(OR('LAMPIRAN I DONE'!$F$21="Asisten Ahli",'LAMPIRAN I DONE'!$F$21="Lektor",'LAMPIRAN I DONE'!$F$21="Lektor Kepala",'LAMPIRAN I DONE'!$F$21="Guru Besar"),1,""))))&amp;"
"&amp;(((I68*J68)-(10-SUMPRODUCT($I$66:I67,$J$66:J67)))&amp;" x "&amp;1&amp;" x "&amp;IF('LAMPIRAN I DONE'!$F$21="Tenaga Pengajar",0.25,IF(OR('LAMPIRAN I DONE'!$F$21="Asisten Ahli",'LAMPIRAN I DONE'!$F$21="Lektor",'LAMPIRAN I DONE'!$F$21="Lektor Kepala",'LAMPIRAN I DONE'!$F$21="Guru Besar"),0.5,""))&amp;" = "&amp;(((I68*J68)-(10-SUMPRODUCT($I$66:I67,$J$66:J67)))*IF('LAMPIRAN I DONE'!$F$21="Tenaga Pengajar",0.25,IF(OR('LAMPIRAN I DONE'!$F$21="Asisten Ahli",'LAMPIRAN I DONE'!$F$21="Lektor",'LAMPIRAN I DONE'!$F$21="Lektor Kepala",'LAMPIRAN I DONE'!$F$21="Guru Besar"),0.5,""))))),(I68&amp;" x "&amp;J68&amp;" x "&amp;(IF(OR(AND(L68="sks&gt;10",L67="sks&gt;10"),AND(L68="sks&gt;10",L67="sks&lt;=10")),IF('LAMPIRAN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"&amp;K68))),"rumus")</f>
        <v>rumus</v>
      </c>
      <c r="H68" s="106" t="s">
        <v>315</v>
      </c>
      <c r="I68" s="409"/>
      <c r="J68" s="409"/>
      <c r="K68" s="401" t="str">
        <f>IF(AND(I68&lt;&gt;"",J68&lt;&gt;""),(IF(OR(AND(L68="sks&gt;10",L67="sks&lt;=10",IFERROR(SUMPRODUCT($I$66:I67,$J$66:J67)&lt;10,FALSE)),AND(L68="sks&gt;10",L67="")),(((10-SUMPRODUCT($I$66:I67,$J$66:J67))*IF('LAMPIRAN I DONE'!$F$21="Tenaga Pengajar",0.5,IF(OR('LAMPIRAN I DONE'!$F$21="Asisten Ahli",'LAMPIRAN I DONE'!$F$21="Lektor",'LAMPIRAN I DONE'!$F$21="Lektor Kepala",'LAMPIRAN I DONE'!$F$21="Guru Besar"),1,"")))+(((I68*J68)-(10-SUMPRODUCT($I$66:I67,$J$66:J67)))*IF('LAMPIRAN I DONE'!$F$21="Tenaga Pengajar",0.25,IF(OR('LAMPIRAN I DONE'!$F$21="Asisten Ahli",'LAMPIRAN I DONE'!$F$21="Lektor",'LAMPIRAN I DONE'!$F$21="Lektor Kepala",'LAMPIRAN I DONE'!$F$21="Guru Besar"),0.5,"")))),IF(OR(AND(L68="sks&gt;10",L67="sks&gt;10"),AND(L68="sks&gt;10",L67="sks&lt;=10")),I68*J68*IF('LAMPIRAN I DONE'!$F$21="Tenaga Pengajar",0.25,IF(OR('LAMPIRAN I DONE'!$F$21="Asisten Ahli",'LAMPIRAN I DONE'!$F$21="Lektor",'LAMPIRAN I DONE'!$F$21="Lektor Kepala",'LAMPIRAN I DONE'!$F$21="Guru Besar"),0.5,"")),I68*J68*IF('LAMPIRAN I DONE'!$F$21="Tenaga Pengajar",0.5,IF(OR('LAMPIRAN I DONE'!$F$21="Asisten Ahli",'LAMPIRAN I DONE'!$F$21="Lektor",'LAMPIRAN I DONE'!$F$21="Lektor Kepala",'LAMPIRAN I DONE'!$F$21="Guru Besar"),1,""))))),"rumus")</f>
        <v>rumus</v>
      </c>
      <c r="L68" s="401" t="str">
        <f t="shared" si="24"/>
        <v>rumus</v>
      </c>
      <c r="M68" s="4"/>
      <c r="N68" s="4"/>
      <c r="O68" s="4"/>
      <c r="P68" s="4"/>
      <c r="Q68" s="4"/>
      <c r="R68" s="4"/>
      <c r="S68" s="4"/>
      <c r="T68" s="4"/>
      <c r="U68" s="4"/>
      <c r="V68" s="4"/>
      <c r="W68" s="4"/>
      <c r="X68" s="4"/>
      <c r="Y68" s="4"/>
      <c r="Z68" s="4"/>
    </row>
    <row r="69" spans="1:26" ht="25.5" customHeight="1" x14ac:dyDescent="0.25">
      <c r="A69" s="109">
        <v>3</v>
      </c>
      <c r="B69" s="397" t="s">
        <v>314</v>
      </c>
      <c r="C69" s="106" t="s">
        <v>324</v>
      </c>
      <c r="D69" s="106" t="str">
        <f t="shared" si="22"/>
        <v/>
      </c>
      <c r="E69" s="398" t="str">
        <f t="shared" si="23"/>
        <v/>
      </c>
      <c r="F69" s="398" t="str">
        <f>IF(K69&lt;&gt;"rumus",(IF(OR(AND(L69="sks&gt;10",L68="sks&lt;=10",IFERROR(SUMPRODUCT($I$66:I68,$J$66:J68)&lt;10,FALSE)),AND(L69="sks&gt;10",L68="")),((IF('LAMPIRAN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Besar"),0.5,"")))),((IF(OR(AND(L69="sks&gt;10",L68="sks&gt;10"),AND(L69="sks&gt;10",L68="sks&lt;=10")),IF('LAMPIRAN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69" s="398" t="str">
        <f>IF(K69&lt;&gt;"rumus",(IF(OR(AND(L69="sks&gt;10",L68="sks&lt;=10",IFERROR(SUMPRODUCT($I$66:I68,$J$66:J68)&lt;10,FALSE)),AND(L69="sks&gt;10",L68="")),(((10-SUMPRODUCT($I$66:I68,$J$66:J68))&amp;" x "&amp;1&amp;" x "&amp;IF('LAMPIRAN I DONE'!$F$21="Tenaga Pengajar",0.5,IF(OR('LAMPIRAN I DONE'!$F$21="Asisten Ahli",'LAMPIRAN I DONE'!$F$21="Lektor",'LAMPIRAN I DONE'!$F$21="Lektor Kepala",'LAMPIRAN I DONE'!$F$21="Guru Besar"),1,""))&amp;" = "&amp;((10-SUMPRODUCT($I$66:I68,$J$66:J68))*IF('LAMPIRAN I DONE'!$F$21="Tenaga Pengajar",0.5,IF(OR('LAMPIRAN I DONE'!$F$21="Asisten Ahli",'LAMPIRAN I DONE'!$F$21="Lektor",'LAMPIRAN I DONE'!$F$21="Lektor Kepala",'LAMPIRAN I DONE'!$F$21="Guru Besar"),1,""))))&amp;"
"&amp;(((I69*J69)-(10-SUMPRODUCT($I$66:I68,$J$66:J68)))&amp;" x "&amp;1&amp;" x "&amp;IF('LAMPIRAN I DONE'!$F$21="Tenaga Pengajar",0.25,IF(OR('LAMPIRAN I DONE'!$F$21="Asisten Ahli",'LAMPIRAN I DONE'!$F$21="Lektor",'LAMPIRAN I DONE'!$F$21="Lektor Kepala",'LAMPIRAN I DONE'!$F$21="Guru Besar"),0.5,""))&amp;" = "&amp;(((I69*J69)-(10-SUMPRODUCT($I$66:I68,$J$66:J68)))*IF('LAMPIRAN I DONE'!$F$21="Tenaga Pengajar",0.25,IF(OR('LAMPIRAN I DONE'!$F$21="Asisten Ahli",'LAMPIRAN I DONE'!$F$21="Lektor",'LAMPIRAN I DONE'!$F$21="Lektor Kepala",'LAMPIRAN I DONE'!$F$21="Guru Besar"),0.5,""))))),(I69&amp;" x "&amp;J69&amp;" x "&amp;(IF(OR(AND(L69="sks&gt;10",L68="sks&gt;10"),AND(L69="sks&gt;10",L68="sks&lt;=10")),IF('LAMPIRAN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"&amp;K69))),"rumus")</f>
        <v>rumus</v>
      </c>
      <c r="H69" s="106" t="s">
        <v>315</v>
      </c>
      <c r="I69" s="409"/>
      <c r="J69" s="409"/>
      <c r="K69" s="401" t="str">
        <f>IF(AND(I69&lt;&gt;"",J69&lt;&gt;""),(IF(OR(AND(L69="sks&gt;10",L68="sks&lt;=10",IFERROR(SUMPRODUCT($I$66:I68,$J$66:J68)&lt;10,FALSE)),AND(L69="sks&gt;10",L68="")),(((10-SUMPRODUCT($I$66:I68,$J$66:J68))*IF('LAMPIRAN I DONE'!$F$21="Tenaga Pengajar",0.5,IF(OR('LAMPIRAN I DONE'!$F$21="Asisten Ahli",'LAMPIRAN I DONE'!$F$21="Lektor",'LAMPIRAN I DONE'!$F$21="Lektor Kepala",'LAMPIRAN I DONE'!$F$21="Guru Besar"),1,"")))+(((I69*J69)-(10-SUMPRODUCT($I$66:I68,$J$66:J68)))*IF('LAMPIRAN I DONE'!$F$21="Tenaga Pengajar",0.25,IF(OR('LAMPIRAN I DONE'!$F$21="Asisten Ahli",'LAMPIRAN I DONE'!$F$21="Lektor",'LAMPIRAN I DONE'!$F$21="Lektor Kepala",'LAMPIRAN I DONE'!$F$21="Guru Besar"),0.5,"")))),IF(OR(AND(L69="sks&gt;10",L68="sks&gt;10"),AND(L69="sks&gt;10",L68="sks&lt;=10")),I69*J69*IF('LAMPIRAN I DONE'!$F$21="Tenaga Pengajar",0.25,IF(OR('LAMPIRAN I DONE'!$F$21="Asisten Ahli",'LAMPIRAN I DONE'!$F$21="Lektor",'LAMPIRAN I DONE'!$F$21="Lektor Kepala",'LAMPIRAN I DONE'!$F$21="Guru Besar"),0.5,"")),I69*J69*IF('LAMPIRAN I DONE'!$F$21="Tenaga Pengajar",0.5,IF(OR('LAMPIRAN I DONE'!$F$21="Asisten Ahli",'LAMPIRAN I DONE'!$F$21="Lektor",'LAMPIRAN I DONE'!$F$21="Lektor Kepala",'LAMPIRAN I DONE'!$F$21="Guru Besar"),1,""))))),"rumus")</f>
        <v>rumus</v>
      </c>
      <c r="L69" s="401" t="str">
        <f t="shared" si="24"/>
        <v>rumus</v>
      </c>
      <c r="M69" s="4"/>
      <c r="N69" s="4"/>
      <c r="O69" s="4"/>
      <c r="P69" s="4"/>
      <c r="Q69" s="4"/>
      <c r="R69" s="4"/>
      <c r="S69" s="4"/>
      <c r="T69" s="4"/>
      <c r="U69" s="4"/>
      <c r="V69" s="4"/>
      <c r="W69" s="4"/>
      <c r="X69" s="4"/>
      <c r="Y69" s="4"/>
      <c r="Z69" s="4"/>
    </row>
    <row r="70" spans="1:26" ht="25.5" customHeight="1" x14ac:dyDescent="0.25">
      <c r="A70" s="109">
        <v>4</v>
      </c>
      <c r="B70" s="397" t="s">
        <v>314</v>
      </c>
      <c r="C70" s="106" t="s">
        <v>324</v>
      </c>
      <c r="D70" s="106" t="str">
        <f t="shared" si="22"/>
        <v/>
      </c>
      <c r="E70" s="398" t="str">
        <f t="shared" si="23"/>
        <v/>
      </c>
      <c r="F70" s="398" t="str">
        <f>IF(K70&lt;&gt;"rumus",(IF(OR(AND(L70="sks&gt;10",L69="sks&lt;=10",IFERROR(SUMPRODUCT($I$66:I69,$J$66:J69)&lt;10,FALSE)),AND(L70="sks&gt;10",L69="")),((IF('LAMPIRAN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Besar"),0.5,"")))),((IF(OR(AND(L70="sks&gt;10",L69="sks&gt;10"),AND(L70="sks&gt;10",L69="sks&lt;=10")),IF('LAMPIRAN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70" s="398" t="str">
        <f>IF(K70&lt;&gt;"rumus",(IF(OR(AND(L70="sks&gt;10",L69="sks&lt;=10",IFERROR(SUMPRODUCT($I$66:I69,$J$66:J69)&lt;10,FALSE)),AND(L70="sks&gt;10",L69="")),(((10-SUMPRODUCT($I$66:I69,$J$66:J69))&amp;" x "&amp;1&amp;" x "&amp;IF('LAMPIRAN I DONE'!$F$21="Tenaga Pengajar",0.5,IF(OR('LAMPIRAN I DONE'!$F$21="Asisten Ahli",'LAMPIRAN I DONE'!$F$21="Lektor",'LAMPIRAN I DONE'!$F$21="Lektor Kepala",'LAMPIRAN I DONE'!$F$21="Guru Besar"),1,""))&amp;" = "&amp;((10-SUMPRODUCT($I$66:I69,$J$66:J69))*IF('LAMPIRAN I DONE'!$F$21="Tenaga Pengajar",0.5,IF(OR('LAMPIRAN I DONE'!$F$21="Asisten Ahli",'LAMPIRAN I DONE'!$F$21="Lektor",'LAMPIRAN I DONE'!$F$21="Lektor Kepala",'LAMPIRAN I DONE'!$F$21="Guru Besar"),1,""))))&amp;"
"&amp;(((I70*J70)-(10-SUMPRODUCT($I$66:I69,$J$66:J69)))&amp;" x "&amp;1&amp;" x "&amp;IF('LAMPIRAN I DONE'!$F$21="Tenaga Pengajar",0.25,IF(OR('LAMPIRAN I DONE'!$F$21="Asisten Ahli",'LAMPIRAN I DONE'!$F$21="Lektor",'LAMPIRAN I DONE'!$F$21="Lektor Kepala",'LAMPIRAN I DONE'!$F$21="Guru Besar"),0.5,""))&amp;" = "&amp;(((I70*J70)-(10-SUMPRODUCT($I$66:I69,$J$66:J69)))*IF('LAMPIRAN I DONE'!$F$21="Tenaga Pengajar",0.25,IF(OR('LAMPIRAN I DONE'!$F$21="Asisten Ahli",'LAMPIRAN I DONE'!$F$21="Lektor",'LAMPIRAN I DONE'!$F$21="Lektor Kepala",'LAMPIRAN I DONE'!$F$21="Guru Besar"),0.5,""))))),(I70&amp;" x "&amp;J70&amp;" x "&amp;(IF(OR(AND(L70="sks&gt;10",L69="sks&gt;10"),AND(L70="sks&gt;10",L69="sks&lt;=10")),IF('LAMPIRAN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"&amp;K70))),"rumus")</f>
        <v>rumus</v>
      </c>
      <c r="H70" s="106" t="s">
        <v>315</v>
      </c>
      <c r="I70" s="409"/>
      <c r="J70" s="409"/>
      <c r="K70" s="401" t="str">
        <f>IF(AND(I70&lt;&gt;"",J70&lt;&gt;""),(IF(OR(AND(L70="sks&gt;10",L69="sks&lt;=10",IFERROR(SUMPRODUCT($I$66:I69,$J$66:J69)&lt;10,FALSE)),AND(L70="sks&gt;10",L69="")),(((10-SUMPRODUCT($I$66:I69,$J$66:J69))*IF('LAMPIRAN I DONE'!$F$21="Tenaga Pengajar",0.5,IF(OR('LAMPIRAN I DONE'!$F$21="Asisten Ahli",'LAMPIRAN I DONE'!$F$21="Lektor",'LAMPIRAN I DONE'!$F$21="Lektor Kepala",'LAMPIRAN I DONE'!$F$21="Guru Besar"),1,"")))+(((I70*J70)-(10-SUMPRODUCT($I$66:I69,$J$66:J69)))*IF('LAMPIRAN I DONE'!$F$21="Tenaga Pengajar",0.25,IF(OR('LAMPIRAN I DONE'!$F$21="Asisten Ahli",'LAMPIRAN I DONE'!$F$21="Lektor",'LAMPIRAN I DONE'!$F$21="Lektor Kepala",'LAMPIRAN I DONE'!$F$21="Guru Besar"),0.5,"")))),IF(OR(AND(L70="sks&gt;10",L69="sks&gt;10"),AND(L70="sks&gt;10",L69="sks&lt;=10")),I70*J70*IF('LAMPIRAN I DONE'!$F$21="Tenaga Pengajar",0.25,IF(OR('LAMPIRAN I DONE'!$F$21="Asisten Ahli",'LAMPIRAN I DONE'!$F$21="Lektor",'LAMPIRAN I DONE'!$F$21="Lektor Kepala",'LAMPIRAN I DONE'!$F$21="Guru Besar"),0.5,"")),I70*J70*IF('LAMPIRAN I DONE'!$F$21="Tenaga Pengajar",0.5,IF(OR('LAMPIRAN I DONE'!$F$21="Asisten Ahli",'LAMPIRAN I DONE'!$F$21="Lektor",'LAMPIRAN I DONE'!$F$21="Lektor Kepala",'LAMPIRAN I DONE'!$F$21="Guru Besar"),1,""))))),"rumus")</f>
        <v>rumus</v>
      </c>
      <c r="L70" s="401" t="str">
        <f t="shared" si="24"/>
        <v>rumus</v>
      </c>
      <c r="M70" s="4"/>
      <c r="N70" s="4"/>
      <c r="O70" s="4"/>
      <c r="P70" s="4"/>
      <c r="Q70" s="4"/>
      <c r="R70" s="4"/>
      <c r="S70" s="4"/>
      <c r="T70" s="4"/>
      <c r="U70" s="4"/>
      <c r="V70" s="4"/>
      <c r="W70" s="4"/>
      <c r="X70" s="4"/>
      <c r="Y70" s="4"/>
      <c r="Z70" s="4"/>
    </row>
    <row r="71" spans="1:26" ht="25.5" customHeight="1" x14ac:dyDescent="0.25">
      <c r="A71" s="109">
        <v>5</v>
      </c>
      <c r="B71" s="397" t="s">
        <v>314</v>
      </c>
      <c r="C71" s="106" t="s">
        <v>324</v>
      </c>
      <c r="D71" s="106" t="str">
        <f t="shared" si="22"/>
        <v/>
      </c>
      <c r="E71" s="398" t="str">
        <f t="shared" si="23"/>
        <v/>
      </c>
      <c r="F71" s="398" t="str">
        <f>IF(K71&lt;&gt;"rumus",(IF(OR(AND(L71="sks&gt;10",L70="sks&lt;=10",IFERROR(SUMPRODUCT($I$66:I70,$J$66:J70)&lt;10,FALSE)),AND(L71="sks&gt;10",L70="")),((IF('LAMPIRAN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Besar"),0.5,"")))),((IF(OR(AND(L71="sks&gt;10",L70="sks&gt;10"),AND(L71="sks&gt;10",L70="sks&lt;=10")),IF('LAMPIRAN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71" s="398" t="str">
        <f>IF(K71&lt;&gt;"rumus",(IF(OR(AND(L71="sks&gt;10",L70="sks&lt;=10",IFERROR(SUMPRODUCT($I$66:I70,$J$66:J70)&lt;10,FALSE)),AND(L71="sks&gt;10",L70="")),(((10-SUMPRODUCT($I$66:I70,$J$66:J70))&amp;" x "&amp;1&amp;" x "&amp;IF('LAMPIRAN I DONE'!$F$21="Tenaga Pengajar",0.5,IF(OR('LAMPIRAN I DONE'!$F$21="Asisten Ahli",'LAMPIRAN I DONE'!$F$21="Lektor",'LAMPIRAN I DONE'!$F$21="Lektor Kepala",'LAMPIRAN I DONE'!$F$21="Guru Besar"),1,""))&amp;" = "&amp;((10-SUMPRODUCT($I$66:I70,$J$66:J70))*IF('LAMPIRAN I DONE'!$F$21="Tenaga Pengajar",0.5,IF(OR('LAMPIRAN I DONE'!$F$21="Asisten Ahli",'LAMPIRAN I DONE'!$F$21="Lektor",'LAMPIRAN I DONE'!$F$21="Lektor Kepala",'LAMPIRAN I DONE'!$F$21="Guru Besar"),1,""))))&amp;"
"&amp;(((I71*J71)-(10-SUMPRODUCT($I$66:I70,$J$66:J70)))&amp;" x "&amp;1&amp;" x "&amp;IF('LAMPIRAN I DONE'!$F$21="Tenaga Pengajar",0.25,IF(OR('LAMPIRAN I DONE'!$F$21="Asisten Ahli",'LAMPIRAN I DONE'!$F$21="Lektor",'LAMPIRAN I DONE'!$F$21="Lektor Kepala",'LAMPIRAN I DONE'!$F$21="Guru Besar"),0.5,""))&amp;" = "&amp;(((I71*J71)-(10-SUMPRODUCT($I$66:I70,$J$66:J70)))*IF('LAMPIRAN I DONE'!$F$21="Tenaga Pengajar",0.25,IF(OR('LAMPIRAN I DONE'!$F$21="Asisten Ahli",'LAMPIRAN I DONE'!$F$21="Lektor",'LAMPIRAN I DONE'!$F$21="Lektor Kepala",'LAMPIRAN I DONE'!$F$21="Guru Besar"),0.5,""))))),(I71&amp;" x "&amp;J71&amp;" x "&amp;(IF(OR(AND(L71="sks&gt;10",L70="sks&gt;10"),AND(L71="sks&gt;10",L70="sks&lt;=10")),IF('LAMPIRAN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"&amp;K71))),"rumus")</f>
        <v>rumus</v>
      </c>
      <c r="H71" s="106" t="s">
        <v>315</v>
      </c>
      <c r="I71" s="409"/>
      <c r="J71" s="409"/>
      <c r="K71" s="401" t="str">
        <f>IF(AND(I71&lt;&gt;"",J71&lt;&gt;""),(IF(OR(AND(L71="sks&gt;10",L70="sks&lt;=10",IFERROR(SUMPRODUCT($I$66:I70,$J$66:J70)&lt;10,FALSE)),AND(L71="sks&gt;10",L70="")),(((10-SUMPRODUCT($I$66:I70,$J$66:J70))*IF('LAMPIRAN I DONE'!$F$21="Tenaga Pengajar",0.5,IF(OR('LAMPIRAN I DONE'!$F$21="Asisten Ahli",'LAMPIRAN I DONE'!$F$21="Lektor",'LAMPIRAN I DONE'!$F$21="Lektor Kepala",'LAMPIRAN I DONE'!$F$21="Guru Besar"),1,"")))+(((I71*J71)-(10-SUMPRODUCT($I$66:I70,$J$66:J70)))*IF('LAMPIRAN I DONE'!$F$21="Tenaga Pengajar",0.25,IF(OR('LAMPIRAN I DONE'!$F$21="Asisten Ahli",'LAMPIRAN I DONE'!$F$21="Lektor",'LAMPIRAN I DONE'!$F$21="Lektor Kepala",'LAMPIRAN I DONE'!$F$21="Guru Besar"),0.5,"")))),IF(OR(AND(L71="sks&gt;10",L70="sks&gt;10"),AND(L71="sks&gt;10",L70="sks&lt;=10")),I71*J71*IF('LAMPIRAN I DONE'!$F$21="Tenaga Pengajar",0.25,IF(OR('LAMPIRAN I DONE'!$F$21="Asisten Ahli",'LAMPIRAN I DONE'!$F$21="Lektor",'LAMPIRAN I DONE'!$F$21="Lektor Kepala",'LAMPIRAN I DONE'!$F$21="Guru Besar"),0.5,"")),I71*J71*IF('LAMPIRAN I DONE'!$F$21="Tenaga Pengajar",0.5,IF(OR('LAMPIRAN I DONE'!$F$21="Asisten Ahli",'LAMPIRAN I DONE'!$F$21="Lektor",'LAMPIRAN I DONE'!$F$21="Lektor Kepala",'LAMPIRAN I DONE'!$F$21="Guru Besar"),1,""))))),"rumus")</f>
        <v>rumus</v>
      </c>
      <c r="L71" s="401" t="str">
        <f t="shared" si="24"/>
        <v>rumus</v>
      </c>
      <c r="M71" s="4"/>
      <c r="N71" s="4"/>
      <c r="O71" s="4"/>
      <c r="P71" s="4"/>
      <c r="Q71" s="4"/>
      <c r="R71" s="4"/>
      <c r="S71" s="4"/>
      <c r="T71" s="4"/>
      <c r="U71" s="4"/>
      <c r="V71" s="4"/>
      <c r="W71" s="4"/>
      <c r="X71" s="4"/>
      <c r="Y71" s="4"/>
      <c r="Z71" s="4"/>
    </row>
    <row r="72" spans="1:26" ht="25.5" customHeight="1" x14ac:dyDescent="0.25">
      <c r="A72" s="109">
        <v>6</v>
      </c>
      <c r="B72" s="397" t="s">
        <v>314</v>
      </c>
      <c r="C72" s="106" t="s">
        <v>324</v>
      </c>
      <c r="D72" s="106" t="str">
        <f t="shared" si="22"/>
        <v/>
      </c>
      <c r="E72" s="398" t="str">
        <f t="shared" si="23"/>
        <v/>
      </c>
      <c r="F72" s="398" t="str">
        <f>IF(K72&lt;&gt;"rumus",(IF(OR(AND(L72="sks&gt;10",L71="sks&lt;=10",IFERROR(SUMPRODUCT($I$66:I71,$J$66:J71)&lt;10,FALSE)),AND(L72="sks&gt;10",L71="")),((IF('LAMPIRAN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Besar"),0.5,"")))),((IF(OR(AND(L72="sks&gt;10",L71="sks&gt;10"),AND(L72="sks&gt;10",L71="sks&lt;=10")),IF('LAMPIRAN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72" s="398" t="str">
        <f>IF(K72&lt;&gt;"rumus",(IF(OR(AND(L72="sks&gt;10",L71="sks&lt;=10",IFERROR(SUMPRODUCT($I$66:I71,$J$66:J71)&lt;10,FALSE)),AND(L72="sks&gt;10",L71="")),(((10-SUMPRODUCT($I$66:I71,$J$66:J71))&amp;" x "&amp;1&amp;" x "&amp;IF('LAMPIRAN I DONE'!$F$21="Tenaga Pengajar",0.5,IF(OR('LAMPIRAN I DONE'!$F$21="Asisten Ahli",'LAMPIRAN I DONE'!$F$21="Lektor",'LAMPIRAN I DONE'!$F$21="Lektor Kepala",'LAMPIRAN I DONE'!$F$21="Guru Besar"),1,""))&amp;" = "&amp;((10-SUMPRODUCT($I$66:I71,$J$66:J71))*IF('LAMPIRAN I DONE'!$F$21="Tenaga Pengajar",0.5,IF(OR('LAMPIRAN I DONE'!$F$21="Asisten Ahli",'LAMPIRAN I DONE'!$F$21="Lektor",'LAMPIRAN I DONE'!$F$21="Lektor Kepala",'LAMPIRAN I DONE'!$F$21="Guru Besar"),1,""))))&amp;"
"&amp;(((I72*J72)-(10-SUMPRODUCT($I$66:I71,$J$66:J71)))&amp;" x "&amp;1&amp;" x "&amp;IF('LAMPIRAN I DONE'!$F$21="Tenaga Pengajar",0.25,IF(OR('LAMPIRAN I DONE'!$F$21="Asisten Ahli",'LAMPIRAN I DONE'!$F$21="Lektor",'LAMPIRAN I DONE'!$F$21="Lektor Kepala",'LAMPIRAN I DONE'!$F$21="Guru Besar"),0.5,""))&amp;" = "&amp;(((I72*J72)-(10-SUMPRODUCT($I$66:I71,$J$66:J71)))*IF('LAMPIRAN I DONE'!$F$21="Tenaga Pengajar",0.25,IF(OR('LAMPIRAN I DONE'!$F$21="Asisten Ahli",'LAMPIRAN I DONE'!$F$21="Lektor",'LAMPIRAN I DONE'!$F$21="Lektor Kepala",'LAMPIRAN I DONE'!$F$21="Guru Besar"),0.5,""))))),(I72&amp;" x "&amp;J72&amp;" x "&amp;(IF(OR(AND(L72="sks&gt;10",L71="sks&gt;10"),AND(L72="sks&gt;10",L71="sks&lt;=10")),IF('LAMPIRAN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"&amp;K72))),"rumus")</f>
        <v>rumus</v>
      </c>
      <c r="H72" s="106" t="s">
        <v>315</v>
      </c>
      <c r="I72" s="409"/>
      <c r="J72" s="409"/>
      <c r="K72" s="401" t="str">
        <f>IF(AND(I72&lt;&gt;"",J72&lt;&gt;""),(IF(OR(AND(L72="sks&gt;10",L71="sks&lt;=10",IFERROR(SUMPRODUCT($I$66:I71,$J$66:J71)&lt;10,FALSE)),AND(L72="sks&gt;10",L71="")),(((10-SUMPRODUCT($I$66:I71,$J$66:J71))*IF('LAMPIRAN I DONE'!$F$21="Tenaga Pengajar",0.5,IF(OR('LAMPIRAN I DONE'!$F$21="Asisten Ahli",'LAMPIRAN I DONE'!$F$21="Lektor",'LAMPIRAN I DONE'!$F$21="Lektor Kepala",'LAMPIRAN I DONE'!$F$21="Guru Besar"),1,"")))+(((I72*J72)-(10-SUMPRODUCT($I$66:I71,$J$66:J71)))*IF('LAMPIRAN I DONE'!$F$21="Tenaga Pengajar",0.25,IF(OR('LAMPIRAN I DONE'!$F$21="Asisten Ahli",'LAMPIRAN I DONE'!$F$21="Lektor",'LAMPIRAN I DONE'!$F$21="Lektor Kepala",'LAMPIRAN I DONE'!$F$21="Guru Besar"),0.5,"")))),IF(OR(AND(L72="sks&gt;10",L71="sks&gt;10"),AND(L72="sks&gt;10",L71="sks&lt;=10")),I72*J72*IF('LAMPIRAN I DONE'!$F$21="Tenaga Pengajar",0.25,IF(OR('LAMPIRAN I DONE'!$F$21="Asisten Ahli",'LAMPIRAN I DONE'!$F$21="Lektor",'LAMPIRAN I DONE'!$F$21="Lektor Kepala",'LAMPIRAN I DONE'!$F$21="Guru Besar"),0.5,"")),I72*J72*IF('LAMPIRAN I DONE'!$F$21="Tenaga Pengajar",0.5,IF(OR('LAMPIRAN I DONE'!$F$21="Asisten Ahli",'LAMPIRAN I DONE'!$F$21="Lektor",'LAMPIRAN I DONE'!$F$21="Lektor Kepala",'LAMPIRAN I DONE'!$F$21="Guru Besar"),1,""))))),"rumus")</f>
        <v>rumus</v>
      </c>
      <c r="L72" s="401" t="str">
        <f t="shared" si="24"/>
        <v>rumus</v>
      </c>
      <c r="M72" s="4"/>
      <c r="N72" s="4"/>
      <c r="O72" s="4"/>
      <c r="P72" s="4"/>
      <c r="Q72" s="4"/>
      <c r="R72" s="4"/>
      <c r="S72" s="4"/>
      <c r="T72" s="4"/>
      <c r="U72" s="4"/>
      <c r="V72" s="4"/>
      <c r="W72" s="4"/>
      <c r="X72" s="4"/>
      <c r="Y72" s="4"/>
      <c r="Z72" s="4"/>
    </row>
    <row r="73" spans="1:26" ht="15" customHeight="1" x14ac:dyDescent="0.25">
      <c r="A73" s="109"/>
      <c r="B73" s="406" t="str">
        <f>"a. Semester Gasal "&amp;IF(C74&lt;&gt;"",C74,"")&amp;" :"</f>
        <v>a. Semester Gasal 2017/2018 :</v>
      </c>
      <c r="C73" s="407"/>
      <c r="D73" s="407"/>
      <c r="E73" s="407"/>
      <c r="F73" s="407"/>
      <c r="G73" s="407"/>
      <c r="H73" s="408"/>
      <c r="I73" s="110"/>
      <c r="J73" s="110"/>
      <c r="K73" s="4"/>
      <c r="L73" s="4"/>
      <c r="M73" s="111">
        <f>IF((AND(N73="Max 5,5",SUM(K67:K72)&lt;=5.5)),SUM(K67:K72),IF((AND(N73="Max 5,5",SUM(K67:K72)&gt;5.5)),5.5,IF((AND(N73="Max 11",SUM(K67:K72)&lt;=11)),SUM(K67:K72),IF((AND(N73="Max 11",SUM(K67:K72)&gt;11)),11,""))))</f>
        <v>8</v>
      </c>
      <c r="N73" s="103" t="str">
        <f>IF('LAMPIRAN I DONE'!$F$21="Tenaga Pengajar","Max 5,5",IF(OR('LAMPIRAN I DONE'!$F$21="Asisten Ahli",'LAMPIRAN I DONE'!$F$21="Lektor",'LAMPIRAN I DONE'!$F$21="Lektor Kepala",'LAMPIRAN I DONE'!$F$21="Guru Besar"),"Max 11",""))</f>
        <v>Max 11</v>
      </c>
      <c r="O73" s="4"/>
      <c r="P73" s="4"/>
      <c r="Q73" s="4"/>
      <c r="R73" s="4"/>
      <c r="S73" s="4"/>
      <c r="T73" s="4"/>
      <c r="U73" s="4"/>
      <c r="V73" s="4"/>
      <c r="W73" s="4"/>
      <c r="X73" s="4"/>
      <c r="Y73" s="4"/>
      <c r="Z73" s="4"/>
    </row>
    <row r="74" spans="1:26" ht="25.5" customHeight="1" x14ac:dyDescent="0.25">
      <c r="A74" s="109">
        <v>1</v>
      </c>
      <c r="B74" s="570" t="s">
        <v>326</v>
      </c>
      <c r="C74" s="106" t="s">
        <v>327</v>
      </c>
      <c r="D74" s="106" t="str">
        <f t="shared" ref="D74:D79" si="25">IF(G74&lt;&gt;"rumus","SKS","")</f>
        <v>SKS</v>
      </c>
      <c r="E74" s="398" t="str">
        <f t="shared" ref="E74:E79" si="26">IF(K74&lt;&gt;"rumus",(IF(OR(AND(L74="sks&gt;10",L73="sks&lt;=10",IFERROR(SUMPRODUCT($I$73:I73,$J$73:J73)&lt;10,FALSE)),AND(L74="sks&gt;10",L73="")),(((10-SUMPRODUCT($I$73:I73,$J$73:J73))&amp;" x "&amp;1)&amp;"
"&amp;(((I74*J74)-(10-SUMPRODUCT($I$73:I73,$J$73:J73)))&amp;" x "&amp;1)),(I74&amp;" x "&amp;J74))),"")</f>
        <v>4 x 1</v>
      </c>
      <c r="F74" s="398">
        <f>IF(K74&lt;&gt;"rumus",(IF(OR(AND(L74="sks&gt;10",L73="sks&lt;=10",IFERROR(SUMPRODUCT($I$73:I73,$J$73:J73)&lt;10,FALSE)),AND(L74="sks&gt;10",L73="")),((IF('LAMPIRAN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Besar"),0.5,"")))),((IF(OR(AND(L74="sks&gt;10",L73="sks&gt;10"),AND(L74="sks&gt;10",L73="sks&lt;=10")),IF('LAMPIRAN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74" s="398" t="str">
        <f>IF(K74&lt;&gt;"rumus",(IF(OR(AND(L74="sks&gt;10",L73="sks&lt;=10",IFERROR(SUMPRODUCT($I$73:I73,$J$73:J73)&lt;10,FALSE)),AND(L74="sks&gt;10",L73="")),(((10-SUMPRODUCT($I$73:I73,$J$73:J73))&amp;" x "&amp;1&amp;" x "&amp;IF('LAMPIRAN I DONE'!$F$21="Tenaga Pengajar",0.5,IF(OR('LAMPIRAN I DONE'!$F$21="Asisten Ahli",'LAMPIRAN I DONE'!$F$21="Lektor",'LAMPIRAN I DONE'!$F$21="Lektor Kepala",'LAMPIRAN I DONE'!$F$21="Guru Besar"),1,""))&amp;" = "&amp;((10-SUMPRODUCT($I$73:I73,$J$73:J73))*IF('LAMPIRAN I DONE'!$F$21="Tenaga Pengajar",0.5,IF(OR('LAMPIRAN I DONE'!$F$21="Asisten Ahli",'LAMPIRAN I DONE'!$F$21="Lektor",'LAMPIRAN I DONE'!$F$21="Lektor Kepala",'LAMPIRAN I DONE'!$F$21="Guru Besar"),1,""))))&amp;"
"&amp;(((I74*J74)-(10-SUMPRODUCT($I$73:I73,$J$73:J73)))&amp;" x "&amp;1&amp;" x "&amp;IF('LAMPIRAN I DONE'!$F$21="Tenaga Pengajar",0.25,IF(OR('LAMPIRAN I DONE'!$F$21="Asisten Ahli",'LAMPIRAN I DONE'!$F$21="Lektor",'LAMPIRAN I DONE'!$F$21="Lektor Kepala",'LAMPIRAN I DONE'!$F$21="Guru Besar"),0.5,""))&amp;" = "&amp;(((I74*J74)-(10-SUMPRODUCT($I$73:I73,$J$73:J73)))*IF('LAMPIRAN I DONE'!$F$21="Tenaga Pengajar",0.25,IF(OR('LAMPIRAN I DONE'!$F$21="Asisten Ahli",'LAMPIRAN I DONE'!$F$21="Lektor",'LAMPIRAN I DONE'!$F$21="Lektor Kepala",'LAMPIRAN I DONE'!$F$21="Guru Besar"),0.5,""))))),(I74&amp;" x "&amp;J74&amp;" x "&amp;(IF(OR(AND(L74="sks&gt;10",L73="sks&gt;10"),AND(L74="sks&gt;10",L73="sks&lt;=10")),IF('LAMPIRAN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"&amp;K74))),"rumus")</f>
        <v>4 x 1 x 1 = 4</v>
      </c>
      <c r="H74" s="106" t="s">
        <v>328</v>
      </c>
      <c r="I74" s="409">
        <v>4</v>
      </c>
      <c r="J74" s="409">
        <v>1</v>
      </c>
      <c r="K74" s="401">
        <f>IF(AND(I74&lt;&gt;"",J74&lt;&gt;""),(IF(OR(AND(L74="sks&gt;10",L73="sks&lt;=10",IFERROR(SUMPRODUCT($I$73:I73,$J$73:J73)&lt;10,FALSE)),AND(L74="sks&gt;10",L73="")),(((10-SUMPRODUCT($I$73:I73,$J$73:J73))*IF('LAMPIRAN I DONE'!$F$21="Tenaga Pengajar",0.5,IF(OR('LAMPIRAN I DONE'!$F$21="Asisten Ahli",'LAMPIRAN I DONE'!$F$21="Lektor",'LAMPIRAN I DONE'!$F$21="Lektor Kepala",'LAMPIRAN I DONE'!$F$21="Guru Besar"),1,"")))+(((I74*J74)-(10-SUMPRODUCT($I$73:I73,$J$73:J73)))*IF('LAMPIRAN I DONE'!$F$21="Tenaga Pengajar",0.25,IF(OR('LAMPIRAN I DONE'!$F$21="Asisten Ahli",'LAMPIRAN I DONE'!$F$21="Lektor",'LAMPIRAN I DONE'!$F$21="Lektor Kepala",'LAMPIRAN I DONE'!$F$21="Guru Besar"),0.5,"")))),IF(OR(AND(L74="sks&gt;10",L73="sks&gt;10"),AND(L74="sks&gt;10",L73="sks&lt;=10")),I74*J74*IF('LAMPIRAN I DONE'!$F$21="Tenaga Pengajar",0.25,IF(OR('LAMPIRAN I DONE'!$F$21="Asisten Ahli",'LAMPIRAN I DONE'!$F$21="Lektor",'LAMPIRAN I DONE'!$F$21="Lektor Kepala",'LAMPIRAN I DONE'!$F$21="Guru Besar"),0.5,"")),I74*J74*IF('LAMPIRAN I DONE'!$F$21="Tenaga Pengajar",0.5,IF(OR('LAMPIRAN I DONE'!$F$21="Asisten Ahli",'LAMPIRAN I DONE'!$F$21="Lektor",'LAMPIRAN I DONE'!$F$21="Lektor Kepala",'LAMPIRAN I DONE'!$F$21="Guru Besar"),1,""))))),"rumus")</f>
        <v>4</v>
      </c>
      <c r="L74" s="401" t="str">
        <f t="shared" ref="L74:L79" si="27">IF(AND(I74&lt;&gt;"",J74&lt;&gt;""),(IF(SUMPRODUCT($I$74:I74,$J$74:J74)&lt;=10,"SKS&lt;=10",IF(SUMPRODUCT($I$74:I74,$J$74:J74)&gt;10,"SKS&gt;10",""))),"rumus")</f>
        <v>SKS&lt;=10</v>
      </c>
      <c r="M74" s="4"/>
      <c r="N74" s="4"/>
      <c r="O74" s="4"/>
      <c r="P74" s="4"/>
      <c r="Q74" s="4"/>
      <c r="R74" s="4"/>
      <c r="S74" s="4"/>
      <c r="T74" s="4"/>
      <c r="U74" s="4"/>
      <c r="V74" s="4"/>
      <c r="W74" s="4"/>
      <c r="X74" s="4"/>
      <c r="Y74" s="4"/>
      <c r="Z74" s="4"/>
    </row>
    <row r="75" spans="1:26" ht="25.5" customHeight="1" x14ac:dyDescent="0.25">
      <c r="A75" s="109">
        <v>2</v>
      </c>
      <c r="B75" s="571" t="s">
        <v>329</v>
      </c>
      <c r="C75" s="106" t="s">
        <v>327</v>
      </c>
      <c r="D75" s="106" t="str">
        <f t="shared" si="25"/>
        <v>SKS</v>
      </c>
      <c r="E75" s="398" t="str">
        <f t="shared" si="26"/>
        <v>3 x 2</v>
      </c>
      <c r="F75" s="398">
        <f>IF(K75&lt;&gt;"rumus",(IF(OR(AND(L75="sks&gt;10",L74="sks&lt;=10",IFERROR(SUMPRODUCT($I$73:I74,$J$73:J74)&lt;10,FALSE)),AND(L75="sks&gt;10",L74="")),((IF('LAMPIRAN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Besar"),0.5,"")))),((IF(OR(AND(L75="sks&gt;10",L74="sks&gt;10"),AND(L75="sks&gt;10",L74="sks&lt;=10")),IF('LAMPIRAN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75" s="398" t="str">
        <f>IF(K75&lt;&gt;"rumus",(IF(OR(AND(L75="sks&gt;10",L74="sks&lt;=10",IFERROR(SUMPRODUCT($I$73:I74,$J$73:J74)&lt;10,FALSE)),AND(L75="sks&gt;10",L74="")),(((10-SUMPRODUCT($I$73:I74,$J$73:J74))&amp;" x "&amp;1&amp;" x "&amp;IF('LAMPIRAN I DONE'!$F$21="Tenaga Pengajar",0.5,IF(OR('LAMPIRAN I DONE'!$F$21="Asisten Ahli",'LAMPIRAN I DONE'!$F$21="Lektor",'LAMPIRAN I DONE'!$F$21="Lektor Kepala",'LAMPIRAN I DONE'!$F$21="Guru Besar"),1,""))&amp;" = "&amp;((10-SUMPRODUCT($I$73:I74,$J$73:J74))*IF('LAMPIRAN I DONE'!$F$21="Tenaga Pengajar",0.5,IF(OR('LAMPIRAN I DONE'!$F$21="Asisten Ahli",'LAMPIRAN I DONE'!$F$21="Lektor",'LAMPIRAN I DONE'!$F$21="Lektor Kepala",'LAMPIRAN I DONE'!$F$21="Guru Besar"),1,""))))&amp;"
"&amp;(((I75*J75)-(10-SUMPRODUCT($I$73:I74,$J$73:J74)))&amp;" x "&amp;1&amp;" x "&amp;IF('LAMPIRAN I DONE'!$F$21="Tenaga Pengajar",0.25,IF(OR('LAMPIRAN I DONE'!$F$21="Asisten Ahli",'LAMPIRAN I DONE'!$F$21="Lektor",'LAMPIRAN I DONE'!$F$21="Lektor Kepala",'LAMPIRAN I DONE'!$F$21="Guru Besar"),0.5,""))&amp;" = "&amp;(((I75*J75)-(10-SUMPRODUCT($I$73:I74,$J$73:J74)))*IF('LAMPIRAN I DONE'!$F$21="Tenaga Pengajar",0.25,IF(OR('LAMPIRAN I DONE'!$F$21="Asisten Ahli",'LAMPIRAN I DONE'!$F$21="Lektor",'LAMPIRAN I DONE'!$F$21="Lektor Kepala",'LAMPIRAN I DONE'!$F$21="Guru Besar"),0.5,""))))),(I75&amp;" x "&amp;J75&amp;" x "&amp;(IF(OR(AND(L75="sks&gt;10",L74="sks&gt;10"),AND(L75="sks&gt;10",L74="sks&lt;=10")),IF('LAMPIRAN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"&amp;K75))),"rumus")</f>
        <v>3 x 2 x 1 = 6</v>
      </c>
      <c r="H75" s="106" t="s">
        <v>328</v>
      </c>
      <c r="I75" s="409">
        <v>3</v>
      </c>
      <c r="J75" s="409">
        <v>2</v>
      </c>
      <c r="K75" s="401">
        <f>IF(AND(I75&lt;&gt;"",J75&lt;&gt;""),(IF(OR(AND(L75="sks&gt;10",L74="sks&lt;=10",IFERROR(SUMPRODUCT($I$73:I74,$J$73:J74)&lt;10,FALSE)),AND(L75="sks&gt;10",L74="")),(((10-SUMPRODUCT($I$73:I74,$J$73:J74))*IF('LAMPIRAN I DONE'!$F$21="Tenaga Pengajar",0.5,IF(OR('LAMPIRAN I DONE'!$F$21="Asisten Ahli",'LAMPIRAN I DONE'!$F$21="Lektor",'LAMPIRAN I DONE'!$F$21="Lektor Kepala",'LAMPIRAN I DONE'!$F$21="Guru Besar"),1,"")))+(((I75*J75)-(10-SUMPRODUCT($I$73:I74,$J$73:J74)))*IF('LAMPIRAN I DONE'!$F$21="Tenaga Pengajar",0.25,IF(OR('LAMPIRAN I DONE'!$F$21="Asisten Ahli",'LAMPIRAN I DONE'!$F$21="Lektor",'LAMPIRAN I DONE'!$F$21="Lektor Kepala",'LAMPIRAN I DONE'!$F$21="Guru Besar"),0.5,"")))),IF(OR(AND(L75="sks&gt;10",L74="sks&gt;10"),AND(L75="sks&gt;10",L74="sks&lt;=10")),I75*J75*IF('LAMPIRAN I DONE'!$F$21="Tenaga Pengajar",0.25,IF(OR('LAMPIRAN I DONE'!$F$21="Asisten Ahli",'LAMPIRAN I DONE'!$F$21="Lektor",'LAMPIRAN I DONE'!$F$21="Lektor Kepala",'LAMPIRAN I DONE'!$F$21="Guru Besar"),0.5,"")),I75*J75*IF('LAMPIRAN I DONE'!$F$21="Tenaga Pengajar",0.5,IF(OR('LAMPIRAN I DONE'!$F$21="Asisten Ahli",'LAMPIRAN I DONE'!$F$21="Lektor",'LAMPIRAN I DONE'!$F$21="Lektor Kepala",'LAMPIRAN I DONE'!$F$21="Guru Besar"),1,""))))),"rumus")</f>
        <v>6</v>
      </c>
      <c r="L75" s="401" t="str">
        <f t="shared" si="27"/>
        <v>SKS&lt;=10</v>
      </c>
      <c r="M75" s="4"/>
      <c r="N75" s="4"/>
      <c r="O75" s="4"/>
      <c r="P75" s="4"/>
      <c r="Q75" s="4"/>
      <c r="R75" s="4"/>
      <c r="S75" s="4"/>
      <c r="T75" s="4"/>
      <c r="U75" s="4"/>
      <c r="V75" s="4"/>
      <c r="W75" s="4"/>
      <c r="X75" s="4"/>
      <c r="Y75" s="4"/>
      <c r="Z75" s="4"/>
    </row>
    <row r="76" spans="1:26" ht="25.5" customHeight="1" x14ac:dyDescent="0.25">
      <c r="A76" s="109">
        <v>3</v>
      </c>
      <c r="B76" s="397" t="s">
        <v>314</v>
      </c>
      <c r="C76" s="106" t="s">
        <v>327</v>
      </c>
      <c r="D76" s="106" t="str">
        <f t="shared" si="25"/>
        <v/>
      </c>
      <c r="E76" s="398" t="str">
        <f t="shared" si="26"/>
        <v/>
      </c>
      <c r="F76" s="398" t="str">
        <f>IF(K76&lt;&gt;"rumus",(IF(OR(AND(L76="sks&gt;10",L75="sks&lt;=10",IFERROR(SUMPRODUCT($I$73:I75,$J$73:J75)&lt;10,FALSE)),AND(L76="sks&gt;10",L75="")),((IF('LAMPIRAN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Besar"),0.5,"")))),((IF(OR(AND(L76="sks&gt;10",L75="sks&gt;10"),AND(L76="sks&gt;10",L75="sks&lt;=10")),IF('LAMPIRAN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76" s="398" t="str">
        <f>IF(K76&lt;&gt;"rumus",(IF(OR(AND(L76="sks&gt;10",L75="sks&lt;=10",IFERROR(SUMPRODUCT($I$73:I75,$J$73:J75)&lt;10,FALSE)),AND(L76="sks&gt;10",L75="")),(((10-SUMPRODUCT($I$73:I75,$J$73:J75))&amp;" x "&amp;1&amp;" x "&amp;IF('LAMPIRAN I DONE'!$F$21="Tenaga Pengajar",0.5,IF(OR('LAMPIRAN I DONE'!$F$21="Asisten Ahli",'LAMPIRAN I DONE'!$F$21="Lektor",'LAMPIRAN I DONE'!$F$21="Lektor Kepala",'LAMPIRAN I DONE'!$F$21="Guru Besar"),1,""))&amp;" = "&amp;((10-SUMPRODUCT($I$73:I75,$J$73:J75))*IF('LAMPIRAN I DONE'!$F$21="Tenaga Pengajar",0.5,IF(OR('LAMPIRAN I DONE'!$F$21="Asisten Ahli",'LAMPIRAN I DONE'!$F$21="Lektor",'LAMPIRAN I DONE'!$F$21="Lektor Kepala",'LAMPIRAN I DONE'!$F$21="Guru Besar"),1,""))))&amp;"
"&amp;(((I76*J76)-(10-SUMPRODUCT($I$73:I75,$J$73:J75)))&amp;" x "&amp;1&amp;" x "&amp;IF('LAMPIRAN I DONE'!$F$21="Tenaga Pengajar",0.25,IF(OR('LAMPIRAN I DONE'!$F$21="Asisten Ahli",'LAMPIRAN I DONE'!$F$21="Lektor",'LAMPIRAN I DONE'!$F$21="Lektor Kepala",'LAMPIRAN I DONE'!$F$21="Guru Besar"),0.5,""))&amp;" = "&amp;(((I76*J76)-(10-SUMPRODUCT($I$73:I75,$J$73:J75)))*IF('LAMPIRAN I DONE'!$F$21="Tenaga Pengajar",0.25,IF(OR('LAMPIRAN I DONE'!$F$21="Asisten Ahli",'LAMPIRAN I DONE'!$F$21="Lektor",'LAMPIRAN I DONE'!$F$21="Lektor Kepala",'LAMPIRAN I DONE'!$F$21="Guru Besar"),0.5,""))))),(I76&amp;" x "&amp;J76&amp;" x "&amp;(IF(OR(AND(L76="sks&gt;10",L75="sks&gt;10"),AND(L76="sks&gt;10",L75="sks&lt;=10")),IF('LAMPIRAN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"&amp;K76))),"rumus")</f>
        <v>rumus</v>
      </c>
      <c r="H76" s="106" t="s">
        <v>315</v>
      </c>
      <c r="I76" s="409"/>
      <c r="J76" s="409"/>
      <c r="K76" s="401" t="str">
        <f>IF(AND(I76&lt;&gt;"",J76&lt;&gt;""),(IF(OR(AND(L76="sks&gt;10",L75="sks&lt;=10",IFERROR(SUMPRODUCT($I$73:I75,$J$73:J75)&lt;10,FALSE)),AND(L76="sks&gt;10",L75="")),(((10-SUMPRODUCT($I$73:I75,$J$73:J75))*IF('LAMPIRAN I DONE'!$F$21="Tenaga Pengajar",0.5,IF(OR('LAMPIRAN I DONE'!$F$21="Asisten Ahli",'LAMPIRAN I DONE'!$F$21="Lektor",'LAMPIRAN I DONE'!$F$21="Lektor Kepala",'LAMPIRAN I DONE'!$F$21="Guru Besar"),1,"")))+(((I76*J76)-(10-SUMPRODUCT($I$73:I75,$J$73:J75)))*IF('LAMPIRAN I DONE'!$F$21="Tenaga Pengajar",0.25,IF(OR('LAMPIRAN I DONE'!$F$21="Asisten Ahli",'LAMPIRAN I DONE'!$F$21="Lektor",'LAMPIRAN I DONE'!$F$21="Lektor Kepala",'LAMPIRAN I DONE'!$F$21="Guru Besar"),0.5,"")))),IF(OR(AND(L76="sks&gt;10",L75="sks&gt;10"),AND(L76="sks&gt;10",L75="sks&lt;=10")),I76*J76*IF('LAMPIRAN I DONE'!$F$21="Tenaga Pengajar",0.25,IF(OR('LAMPIRAN I DONE'!$F$21="Asisten Ahli",'LAMPIRAN I DONE'!$F$21="Lektor",'LAMPIRAN I DONE'!$F$21="Lektor Kepala",'LAMPIRAN I DONE'!$F$21="Guru Besar"),0.5,"")),I76*J76*IF('LAMPIRAN I DONE'!$F$21="Tenaga Pengajar",0.5,IF(OR('LAMPIRAN I DONE'!$F$21="Asisten Ahli",'LAMPIRAN I DONE'!$F$21="Lektor",'LAMPIRAN I DONE'!$F$21="Lektor Kepala",'LAMPIRAN I DONE'!$F$21="Guru Besar"),1,""))))),"rumus")</f>
        <v>rumus</v>
      </c>
      <c r="L76" s="401" t="str">
        <f t="shared" si="27"/>
        <v>rumus</v>
      </c>
      <c r="M76" s="4"/>
      <c r="N76" s="4"/>
      <c r="O76" s="4"/>
      <c r="P76" s="4"/>
      <c r="Q76" s="4"/>
      <c r="R76" s="4"/>
      <c r="S76" s="4"/>
      <c r="T76" s="4"/>
      <c r="U76" s="4"/>
      <c r="V76" s="4"/>
      <c r="W76" s="4"/>
      <c r="X76" s="4"/>
      <c r="Y76" s="4"/>
      <c r="Z76" s="4"/>
    </row>
    <row r="77" spans="1:26" ht="25.5" customHeight="1" x14ac:dyDescent="0.25">
      <c r="A77" s="109">
        <v>4</v>
      </c>
      <c r="B77" s="397" t="s">
        <v>314</v>
      </c>
      <c r="C77" s="106" t="s">
        <v>327</v>
      </c>
      <c r="D77" s="106" t="str">
        <f t="shared" si="25"/>
        <v/>
      </c>
      <c r="E77" s="398" t="str">
        <f t="shared" si="26"/>
        <v/>
      </c>
      <c r="F77" s="398" t="str">
        <f>IF(K77&lt;&gt;"rumus",(IF(OR(AND(L77="sks&gt;10",L76="sks&lt;=10",IFERROR(SUMPRODUCT($I$73:I76,$J$73:J76)&lt;10,FALSE)),AND(L77="sks&gt;10",L76="")),((IF('LAMPIRAN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Besar"),0.5,"")))),((IF(OR(AND(L77="sks&gt;10",L76="sks&gt;10"),AND(L77="sks&gt;10",L76="sks&lt;=10")),IF('LAMPIRAN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77" s="398" t="str">
        <f>IF(K77&lt;&gt;"rumus",(IF(OR(AND(L77="sks&gt;10",L76="sks&lt;=10",IFERROR(SUMPRODUCT($I$73:I76,$J$73:J76)&lt;10,FALSE)),AND(L77="sks&gt;10",L76="")),(((10-SUMPRODUCT($I$73:I76,$J$73:J76))&amp;" x "&amp;1&amp;" x "&amp;IF('LAMPIRAN I DONE'!$F$21="Tenaga Pengajar",0.5,IF(OR('LAMPIRAN I DONE'!$F$21="Asisten Ahli",'LAMPIRAN I DONE'!$F$21="Lektor",'LAMPIRAN I DONE'!$F$21="Lektor Kepala",'LAMPIRAN I DONE'!$F$21="Guru Besar"),1,""))&amp;" = "&amp;((10-SUMPRODUCT($I$73:I76,$J$73:J76))*IF('LAMPIRAN I DONE'!$F$21="Tenaga Pengajar",0.5,IF(OR('LAMPIRAN I DONE'!$F$21="Asisten Ahli",'LAMPIRAN I DONE'!$F$21="Lektor",'LAMPIRAN I DONE'!$F$21="Lektor Kepala",'LAMPIRAN I DONE'!$F$21="Guru Besar"),1,""))))&amp;"
"&amp;(((I77*J77)-(10-SUMPRODUCT($I$73:I76,$J$73:J76)))&amp;" x "&amp;1&amp;" x "&amp;IF('LAMPIRAN I DONE'!$F$21="Tenaga Pengajar",0.25,IF(OR('LAMPIRAN I DONE'!$F$21="Asisten Ahli",'LAMPIRAN I DONE'!$F$21="Lektor",'LAMPIRAN I DONE'!$F$21="Lektor Kepala",'LAMPIRAN I DONE'!$F$21="Guru Besar"),0.5,""))&amp;" = "&amp;(((I77*J77)-(10-SUMPRODUCT($I$73:I76,$J$73:J76)))*IF('LAMPIRAN I DONE'!$F$21="Tenaga Pengajar",0.25,IF(OR('LAMPIRAN I DONE'!$F$21="Asisten Ahli",'LAMPIRAN I DONE'!$F$21="Lektor",'LAMPIRAN I DONE'!$F$21="Lektor Kepala",'LAMPIRAN I DONE'!$F$21="Guru Besar"),0.5,""))))),(I77&amp;" x "&amp;J77&amp;" x "&amp;(IF(OR(AND(L77="sks&gt;10",L76="sks&gt;10"),AND(L77="sks&gt;10",L76="sks&lt;=10")),IF('LAMPIRAN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"&amp;K77))),"rumus")</f>
        <v>rumus</v>
      </c>
      <c r="H77" s="106" t="s">
        <v>315</v>
      </c>
      <c r="I77" s="409"/>
      <c r="J77" s="409"/>
      <c r="K77" s="401" t="str">
        <f>IF(AND(I77&lt;&gt;"",J77&lt;&gt;""),(IF(OR(AND(L77="sks&gt;10",L76="sks&lt;=10",IFERROR(SUMPRODUCT($I$73:I76,$J$73:J76)&lt;10,FALSE)),AND(L77="sks&gt;10",L76="")),(((10-SUMPRODUCT($I$73:I76,$J$73:J76))*IF('LAMPIRAN I DONE'!$F$21="Tenaga Pengajar",0.5,IF(OR('LAMPIRAN I DONE'!$F$21="Asisten Ahli",'LAMPIRAN I DONE'!$F$21="Lektor",'LAMPIRAN I DONE'!$F$21="Lektor Kepala",'LAMPIRAN I DONE'!$F$21="Guru Besar"),1,"")))+(((I77*J77)-(10-SUMPRODUCT($I$73:I76,$J$73:J76)))*IF('LAMPIRAN I DONE'!$F$21="Tenaga Pengajar",0.25,IF(OR('LAMPIRAN I DONE'!$F$21="Asisten Ahli",'LAMPIRAN I DONE'!$F$21="Lektor",'LAMPIRAN I DONE'!$F$21="Lektor Kepala",'LAMPIRAN I DONE'!$F$21="Guru Besar"),0.5,"")))),IF(OR(AND(L77="sks&gt;10",L76="sks&gt;10"),AND(L77="sks&gt;10",L76="sks&lt;=10")),I77*J77*IF('LAMPIRAN I DONE'!$F$21="Tenaga Pengajar",0.25,IF(OR('LAMPIRAN I DONE'!$F$21="Asisten Ahli",'LAMPIRAN I DONE'!$F$21="Lektor",'LAMPIRAN I DONE'!$F$21="Lektor Kepala",'LAMPIRAN I DONE'!$F$21="Guru Besar"),0.5,"")),I77*J77*IF('LAMPIRAN I DONE'!$F$21="Tenaga Pengajar",0.5,IF(OR('LAMPIRAN I DONE'!$F$21="Asisten Ahli",'LAMPIRAN I DONE'!$F$21="Lektor",'LAMPIRAN I DONE'!$F$21="Lektor Kepala",'LAMPIRAN I DONE'!$F$21="Guru Besar"),1,""))))),"rumus")</f>
        <v>rumus</v>
      </c>
      <c r="L77" s="401" t="str">
        <f t="shared" si="27"/>
        <v>rumus</v>
      </c>
      <c r="M77" s="4"/>
      <c r="N77" s="4"/>
      <c r="O77" s="4"/>
      <c r="P77" s="4"/>
      <c r="Q77" s="4"/>
      <c r="R77" s="4"/>
      <c r="S77" s="4"/>
      <c r="T77" s="4"/>
      <c r="U77" s="4"/>
      <c r="V77" s="4"/>
      <c r="W77" s="4"/>
      <c r="X77" s="4"/>
      <c r="Y77" s="4"/>
      <c r="Z77" s="4"/>
    </row>
    <row r="78" spans="1:26" ht="25.5" customHeight="1" x14ac:dyDescent="0.25">
      <c r="A78" s="109">
        <v>5</v>
      </c>
      <c r="B78" s="397" t="s">
        <v>314</v>
      </c>
      <c r="C78" s="106" t="s">
        <v>327</v>
      </c>
      <c r="D78" s="106" t="str">
        <f t="shared" si="25"/>
        <v/>
      </c>
      <c r="E78" s="398" t="str">
        <f t="shared" si="26"/>
        <v/>
      </c>
      <c r="F78" s="398" t="str">
        <f>IF(K78&lt;&gt;"rumus",(IF(OR(AND(L78="sks&gt;10",L77="sks&lt;=10",IFERROR(SUMPRODUCT($I$73:I77,$J$73:J77)&lt;10,FALSE)),AND(L78="sks&gt;10",L77="")),((IF('LAMPIRAN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Besar"),0.5,"")))),((IF(OR(AND(L78="sks&gt;10",L77="sks&gt;10"),AND(L78="sks&gt;10",L77="sks&lt;=10")),IF('LAMPIRAN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78" s="398" t="str">
        <f>IF(K78&lt;&gt;"rumus",(IF(OR(AND(L78="sks&gt;10",L77="sks&lt;=10",IFERROR(SUMPRODUCT($I$73:I77,$J$73:J77)&lt;10,FALSE)),AND(L78="sks&gt;10",L77="")),(((10-SUMPRODUCT($I$73:I77,$J$73:J77))&amp;" x "&amp;1&amp;" x "&amp;IF('LAMPIRAN I DONE'!$F$21="Tenaga Pengajar",0.5,IF(OR('LAMPIRAN I DONE'!$F$21="Asisten Ahli",'LAMPIRAN I DONE'!$F$21="Lektor",'LAMPIRAN I DONE'!$F$21="Lektor Kepala",'LAMPIRAN I DONE'!$F$21="Guru Besar"),1,""))&amp;" = "&amp;((10-SUMPRODUCT($I$73:I77,$J$73:J77))*IF('LAMPIRAN I DONE'!$F$21="Tenaga Pengajar",0.5,IF(OR('LAMPIRAN I DONE'!$F$21="Asisten Ahli",'LAMPIRAN I DONE'!$F$21="Lektor",'LAMPIRAN I DONE'!$F$21="Lektor Kepala",'LAMPIRAN I DONE'!$F$21="Guru Besar"),1,""))))&amp;"
"&amp;(((I78*J78)-(10-SUMPRODUCT($I$73:I77,$J$73:J77)))&amp;" x "&amp;1&amp;" x "&amp;IF('LAMPIRAN I DONE'!$F$21="Tenaga Pengajar",0.25,IF(OR('LAMPIRAN I DONE'!$F$21="Asisten Ahli",'LAMPIRAN I DONE'!$F$21="Lektor",'LAMPIRAN I DONE'!$F$21="Lektor Kepala",'LAMPIRAN I DONE'!$F$21="Guru Besar"),0.5,""))&amp;" = "&amp;(((I78*J78)-(10-SUMPRODUCT($I$73:I77,$J$73:J77)))*IF('LAMPIRAN I DONE'!$F$21="Tenaga Pengajar",0.25,IF(OR('LAMPIRAN I DONE'!$F$21="Asisten Ahli",'LAMPIRAN I DONE'!$F$21="Lektor",'LAMPIRAN I DONE'!$F$21="Lektor Kepala",'LAMPIRAN I DONE'!$F$21="Guru Besar"),0.5,""))))),(I78&amp;" x "&amp;J78&amp;" x "&amp;(IF(OR(AND(L78="sks&gt;10",L77="sks&gt;10"),AND(L78="sks&gt;10",L77="sks&lt;=10")),IF('LAMPIRAN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"&amp;K78))),"rumus")</f>
        <v>rumus</v>
      </c>
      <c r="H78" s="106" t="s">
        <v>315</v>
      </c>
      <c r="I78" s="409"/>
      <c r="J78" s="409"/>
      <c r="K78" s="401" t="str">
        <f>IF(AND(I78&lt;&gt;"",J78&lt;&gt;""),(IF(OR(AND(L78="sks&gt;10",L77="sks&lt;=10",IFERROR(SUMPRODUCT($I$73:I77,$J$73:J77)&lt;10,FALSE)),AND(L78="sks&gt;10",L77="")),(((10-SUMPRODUCT($I$73:I77,$J$73:J77))*IF('LAMPIRAN I DONE'!$F$21="Tenaga Pengajar",0.5,IF(OR('LAMPIRAN I DONE'!$F$21="Asisten Ahli",'LAMPIRAN I DONE'!$F$21="Lektor",'LAMPIRAN I DONE'!$F$21="Lektor Kepala",'LAMPIRAN I DONE'!$F$21="Guru Besar"),1,"")))+(((I78*J78)-(10-SUMPRODUCT($I$73:I77,$J$73:J77)))*IF('LAMPIRAN I DONE'!$F$21="Tenaga Pengajar",0.25,IF(OR('LAMPIRAN I DONE'!$F$21="Asisten Ahli",'LAMPIRAN I DONE'!$F$21="Lektor",'LAMPIRAN I DONE'!$F$21="Lektor Kepala",'LAMPIRAN I DONE'!$F$21="Guru Besar"),0.5,"")))),IF(OR(AND(L78="sks&gt;10",L77="sks&gt;10"),AND(L78="sks&gt;10",L77="sks&lt;=10")),I78*J78*IF('LAMPIRAN I DONE'!$F$21="Tenaga Pengajar",0.25,IF(OR('LAMPIRAN I DONE'!$F$21="Asisten Ahli",'LAMPIRAN I DONE'!$F$21="Lektor",'LAMPIRAN I DONE'!$F$21="Lektor Kepala",'LAMPIRAN I DONE'!$F$21="Guru Besar"),0.5,"")),I78*J78*IF('LAMPIRAN I DONE'!$F$21="Tenaga Pengajar",0.5,IF(OR('LAMPIRAN I DONE'!$F$21="Asisten Ahli",'LAMPIRAN I DONE'!$F$21="Lektor",'LAMPIRAN I DONE'!$F$21="Lektor Kepala",'LAMPIRAN I DONE'!$F$21="Guru Besar"),1,""))))),"rumus")</f>
        <v>rumus</v>
      </c>
      <c r="L78" s="401" t="str">
        <f t="shared" si="27"/>
        <v>rumus</v>
      </c>
      <c r="M78" s="4"/>
      <c r="N78" s="4"/>
      <c r="O78" s="4"/>
      <c r="P78" s="4"/>
      <c r="Q78" s="4"/>
      <c r="R78" s="4"/>
      <c r="S78" s="4"/>
      <c r="T78" s="4"/>
      <c r="U78" s="4"/>
      <c r="V78" s="4"/>
      <c r="W78" s="4"/>
      <c r="X78" s="4"/>
      <c r="Y78" s="4"/>
      <c r="Z78" s="4"/>
    </row>
    <row r="79" spans="1:26" ht="25.5" customHeight="1" x14ac:dyDescent="0.25">
      <c r="A79" s="109">
        <v>6</v>
      </c>
      <c r="B79" s="397" t="s">
        <v>314</v>
      </c>
      <c r="C79" s="106" t="s">
        <v>327</v>
      </c>
      <c r="D79" s="106" t="str">
        <f t="shared" si="25"/>
        <v/>
      </c>
      <c r="E79" s="398" t="str">
        <f t="shared" si="26"/>
        <v/>
      </c>
      <c r="F79" s="398" t="str">
        <f>IF(K79&lt;&gt;"rumus",(IF(OR(AND(L79="sks&gt;10",L78="sks&lt;=10",IFERROR(SUMPRODUCT($I$73:I78,$J$73:J78)&lt;10,FALSE)),AND(L79="sks&gt;10",L78="")),((IF('LAMPIRAN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Besar"),0.5,"")))),((IF(OR(AND(L79="sks&gt;10",L78="sks&gt;10"),AND(L79="sks&gt;10",L78="sks&lt;=10")),IF('LAMPIRAN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79" s="398" t="str">
        <f>IF(K79&lt;&gt;"rumus",(IF(OR(AND(L79="sks&gt;10",L78="sks&lt;=10",IFERROR(SUMPRODUCT($I$73:I78,$J$73:J78)&lt;10,FALSE)),AND(L79="sks&gt;10",L78="")),(((10-SUMPRODUCT($I$73:I78,$J$73:J78))&amp;" x "&amp;1&amp;" x "&amp;IF('LAMPIRAN I DONE'!$F$21="Tenaga Pengajar",0.5,IF(OR('LAMPIRAN I DONE'!$F$21="Asisten Ahli",'LAMPIRAN I DONE'!$F$21="Lektor",'LAMPIRAN I DONE'!$F$21="Lektor Kepala",'LAMPIRAN I DONE'!$F$21="Guru Besar"),1,""))&amp;" = "&amp;((10-SUMPRODUCT($I$73:I78,$J$73:J78))*IF('LAMPIRAN I DONE'!$F$21="Tenaga Pengajar",0.5,IF(OR('LAMPIRAN I DONE'!$F$21="Asisten Ahli",'LAMPIRAN I DONE'!$F$21="Lektor",'LAMPIRAN I DONE'!$F$21="Lektor Kepala",'LAMPIRAN I DONE'!$F$21="Guru Besar"),1,""))))&amp;"
"&amp;(((I79*J79)-(10-SUMPRODUCT($I$73:I78,$J$73:J78)))&amp;" x "&amp;1&amp;" x "&amp;IF('LAMPIRAN I DONE'!$F$21="Tenaga Pengajar",0.25,IF(OR('LAMPIRAN I DONE'!$F$21="Asisten Ahli",'LAMPIRAN I DONE'!$F$21="Lektor",'LAMPIRAN I DONE'!$F$21="Lektor Kepala",'LAMPIRAN I DONE'!$F$21="Guru Besar"),0.5,""))&amp;" = "&amp;(((I79*J79)-(10-SUMPRODUCT($I$73:I78,$J$73:J78)))*IF('LAMPIRAN I DONE'!$F$21="Tenaga Pengajar",0.25,IF(OR('LAMPIRAN I DONE'!$F$21="Asisten Ahli",'LAMPIRAN I DONE'!$F$21="Lektor",'LAMPIRAN I DONE'!$F$21="Lektor Kepala",'LAMPIRAN I DONE'!$F$21="Guru Besar"),0.5,""))))),(I79&amp;" x "&amp;J79&amp;" x "&amp;(IF(OR(AND(L79="sks&gt;10",L78="sks&gt;10"),AND(L79="sks&gt;10",L78="sks&lt;=10")),IF('LAMPIRAN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"&amp;K79))),"rumus")</f>
        <v>rumus</v>
      </c>
      <c r="H79" s="106" t="s">
        <v>315</v>
      </c>
      <c r="I79" s="409"/>
      <c r="J79" s="409"/>
      <c r="K79" s="401" t="str">
        <f>IF(AND(I79&lt;&gt;"",J79&lt;&gt;""),(IF(OR(AND(L79="sks&gt;10",L78="sks&lt;=10",IFERROR(SUMPRODUCT($I$73:I78,$J$73:J78)&lt;10,FALSE)),AND(L79="sks&gt;10",L78="")),(((10-SUMPRODUCT($I$73:I78,$J$73:J78))*IF('LAMPIRAN I DONE'!$F$21="Tenaga Pengajar",0.5,IF(OR('LAMPIRAN I DONE'!$F$21="Asisten Ahli",'LAMPIRAN I DONE'!$F$21="Lektor",'LAMPIRAN I DONE'!$F$21="Lektor Kepala",'LAMPIRAN I DONE'!$F$21="Guru Besar"),1,"")))+(((I79*J79)-(10-SUMPRODUCT($I$73:I78,$J$73:J78)))*IF('LAMPIRAN I DONE'!$F$21="Tenaga Pengajar",0.25,IF(OR('LAMPIRAN I DONE'!$F$21="Asisten Ahli",'LAMPIRAN I DONE'!$F$21="Lektor",'LAMPIRAN I DONE'!$F$21="Lektor Kepala",'LAMPIRAN I DONE'!$F$21="Guru Besar"),0.5,"")))),IF(OR(AND(L79="sks&gt;10",L78="sks&gt;10"),AND(L79="sks&gt;10",L78="sks&lt;=10")),I79*J79*IF('LAMPIRAN I DONE'!$F$21="Tenaga Pengajar",0.25,IF(OR('LAMPIRAN I DONE'!$F$21="Asisten Ahli",'LAMPIRAN I DONE'!$F$21="Lektor",'LAMPIRAN I DONE'!$F$21="Lektor Kepala",'LAMPIRAN I DONE'!$F$21="Guru Besar"),0.5,"")),I79*J79*IF('LAMPIRAN I DONE'!$F$21="Tenaga Pengajar",0.5,IF(OR('LAMPIRAN I DONE'!$F$21="Asisten Ahli",'LAMPIRAN I DONE'!$F$21="Lektor",'LAMPIRAN I DONE'!$F$21="Lektor Kepala",'LAMPIRAN I DONE'!$F$21="Guru Besar"),1,""))))),"rumus")</f>
        <v>rumus</v>
      </c>
      <c r="L79" s="401" t="str">
        <f t="shared" si="27"/>
        <v>rumus</v>
      </c>
      <c r="M79" s="4"/>
      <c r="N79" s="4"/>
      <c r="O79" s="4"/>
      <c r="P79" s="4"/>
      <c r="Q79" s="4"/>
      <c r="R79" s="4"/>
      <c r="S79" s="4"/>
      <c r="T79" s="4"/>
      <c r="U79" s="4"/>
      <c r="V79" s="4"/>
      <c r="W79" s="4"/>
      <c r="X79" s="4"/>
      <c r="Y79" s="4"/>
      <c r="Z79" s="4"/>
    </row>
    <row r="80" spans="1:26" ht="15" customHeight="1" x14ac:dyDescent="0.25">
      <c r="A80" s="109"/>
      <c r="B80" s="406" t="str">
        <f>"a. Semester Gasal "&amp;IF(C81&lt;&gt;"",C81,"")&amp;" :"</f>
        <v>a. Semester Gasal 2018/2019 :</v>
      </c>
      <c r="C80" s="410"/>
      <c r="D80" s="410"/>
      <c r="E80" s="410"/>
      <c r="F80" s="410"/>
      <c r="G80" s="410"/>
      <c r="H80" s="411"/>
      <c r="I80" s="110"/>
      <c r="J80" s="110"/>
      <c r="K80" s="112"/>
      <c r="L80" s="112"/>
      <c r="M80" s="111">
        <f>IF((AND(N80="Max 5,5",SUM(K74:K79)&lt;=5.5)),SUM(K74:K79),IF((AND(N80="Max 5,5",SUM(K74:K79)&gt;5.5)),5.5,IF((AND(N80="Max 11",SUM(K74:K79)&lt;=11)),SUM(K74:K79),IF((AND(N80="Max 11",SUM(K74:K79)&gt;11)),11,""))))</f>
        <v>10</v>
      </c>
      <c r="N80" s="103" t="str">
        <f>IF('LAMPIRAN I DONE'!$F$21="Tenaga Pengajar","Max 5,5",IF(OR('LAMPIRAN I DONE'!$F$21="Asisten Ahli",'LAMPIRAN I DONE'!$F$21="Lektor",'LAMPIRAN I DONE'!$F$21="Lektor Kepala",'LAMPIRAN I DONE'!$F$21="Guru Besar"),"Max 11",""))</f>
        <v>Max 11</v>
      </c>
      <c r="O80" s="4"/>
      <c r="P80" s="4"/>
      <c r="Q80" s="4"/>
      <c r="R80" s="4"/>
      <c r="S80" s="4"/>
      <c r="T80" s="4"/>
      <c r="U80" s="4"/>
      <c r="V80" s="4"/>
      <c r="W80" s="4"/>
      <c r="X80" s="4"/>
      <c r="Y80" s="4"/>
      <c r="Z80" s="4"/>
    </row>
    <row r="81" spans="1:26" ht="25.5" customHeight="1" x14ac:dyDescent="0.25">
      <c r="A81" s="109">
        <v>1</v>
      </c>
      <c r="B81" s="570" t="s">
        <v>330</v>
      </c>
      <c r="C81" s="106" t="s">
        <v>331</v>
      </c>
      <c r="D81" s="106" t="str">
        <f t="shared" ref="D81:D86" si="28">IF(G81&lt;&gt;"rumus","SKS","")</f>
        <v>SKS</v>
      </c>
      <c r="E81" s="398" t="str">
        <f t="shared" ref="E81:E86" si="29">IF(K81&lt;&gt;"rumus",(IF(OR(AND(L81="sks&gt;10",L80="sks&lt;=10",IFERROR(SUMPRODUCT($I$80:I80,$J$80:J80)&lt;10,FALSE)),AND(L81="sks&gt;10",L80="")),(((10-SUMPRODUCT($I$80:I80,$J$80:J80))&amp;" x "&amp;1)&amp;"
"&amp;(((I81*J81)-(10-SUMPRODUCT($I$80:I80,$J$80:J80)))&amp;" x "&amp;1)),(I81&amp;" x "&amp;J81))),"")</f>
        <v>2 x 2</v>
      </c>
      <c r="F81" s="398">
        <f>IF(K81&lt;&gt;"rumus",(IF(OR(AND(L81="sks&gt;10",L80="sks&lt;=10",IFERROR(SUMPRODUCT($I$80:I80,$J$80:J80)&lt;10,FALSE)),AND(L81="sks&gt;10",L80="")),((IF('LAMPIRAN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Besar"),0.5,"")))),((IF(OR(AND(L81="sks&gt;10",L80="sks&gt;10"),AND(L81="sks&gt;10",L80="sks&lt;=10")),IF('LAMPIRAN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81" s="398" t="str">
        <f>IF(K81&lt;&gt;"rumus",(IF(OR(AND(L81="sks&gt;10",L80="sks&lt;=10",IFERROR(SUMPRODUCT($I$80:I80,$J$80:J80)&lt;10,FALSE)),AND(L81="sks&gt;10",L80="")),(((10-SUMPRODUCT($I$80:I80,$J$80:J80))&amp;" x "&amp;1&amp;" x "&amp;IF('LAMPIRAN I DONE'!$F$21="Tenaga Pengajar",0.5,IF(OR('LAMPIRAN I DONE'!$F$21="Asisten Ahli",'LAMPIRAN I DONE'!$F$21="Lektor",'LAMPIRAN I DONE'!$F$21="Lektor Kepala",'LAMPIRAN I DONE'!$F$21="Guru Besar"),1,""))&amp;" = "&amp;((10-SUMPRODUCT($I$80:I80,$J$80:J80))*IF('LAMPIRAN I DONE'!$F$21="Tenaga Pengajar",0.5,IF(OR('LAMPIRAN I DONE'!$F$21="Asisten Ahli",'LAMPIRAN I DONE'!$F$21="Lektor",'LAMPIRAN I DONE'!$F$21="Lektor Kepala",'LAMPIRAN I DONE'!$F$21="Guru Besar"),1,""))))&amp;"
"&amp;(((I81*J81)-(10-SUMPRODUCT($I$80:I80,$J$80:J80)))&amp;" x "&amp;1&amp;" x "&amp;IF('LAMPIRAN I DONE'!$F$21="Tenaga Pengajar",0.25,IF(OR('LAMPIRAN I DONE'!$F$21="Asisten Ahli",'LAMPIRAN I DONE'!$F$21="Lektor",'LAMPIRAN I DONE'!$F$21="Lektor Kepala",'LAMPIRAN I DONE'!$F$21="Guru Besar"),0.5,""))&amp;" = "&amp;(((I81*J81)-(10-SUMPRODUCT($I$80:I80,$J$80:J80)))*IF('LAMPIRAN I DONE'!$F$21="Tenaga Pengajar",0.25,IF(OR('LAMPIRAN I DONE'!$F$21="Asisten Ahli",'LAMPIRAN I DONE'!$F$21="Lektor",'LAMPIRAN I DONE'!$F$21="Lektor Kepala",'LAMPIRAN I DONE'!$F$21="Guru Besar"),0.5,""))))),(I81&amp;" x "&amp;J81&amp;" x "&amp;(IF(OR(AND(L81="sks&gt;10",L80="sks&gt;10"),AND(L81="sks&gt;10",L80="sks&lt;=10")),IF('LAMPIRAN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"&amp;K81))),"rumus")</f>
        <v>2 x 2 x 1 = 4</v>
      </c>
      <c r="H81" s="106" t="s">
        <v>332</v>
      </c>
      <c r="I81" s="409">
        <v>2</v>
      </c>
      <c r="J81" s="409">
        <v>2</v>
      </c>
      <c r="K81" s="401">
        <f>IF(AND(I81&lt;&gt;"",J81&lt;&gt;""),(IF(OR(AND(L81="sks&gt;10",L80="sks&lt;=10",IFERROR(SUMPRODUCT($I$80:I80,$J$80:J80)&lt;10,FALSE)),AND(L81="sks&gt;10",L80="")),(((10-SUMPRODUCT($I$80:I80,$J$80:J80))*IF('LAMPIRAN I DONE'!$F$21="Tenaga Pengajar",0.5,IF(OR('LAMPIRAN I DONE'!$F$21="Asisten Ahli",'LAMPIRAN I DONE'!$F$21="Lektor",'LAMPIRAN I DONE'!$F$21="Lektor Kepala",'LAMPIRAN I DONE'!$F$21="Guru Besar"),1,"")))+(((I81*J81)-(10-SUMPRODUCT($I$80:I80,$J$80:J80)))*IF('LAMPIRAN I DONE'!$F$21="Tenaga Pengajar",0.25,IF(OR('LAMPIRAN I DONE'!$F$21="Asisten Ahli",'LAMPIRAN I DONE'!$F$21="Lektor",'LAMPIRAN I DONE'!$F$21="Lektor Kepala",'LAMPIRAN I DONE'!$F$21="Guru Besar"),0.5,"")))),IF(OR(AND(L81="sks&gt;10",L80="sks&gt;10"),AND(L81="sks&gt;10",L80="sks&lt;=10")),I81*J81*IF('LAMPIRAN I DONE'!$F$21="Tenaga Pengajar",0.25,IF(OR('LAMPIRAN I DONE'!$F$21="Asisten Ahli",'LAMPIRAN I DONE'!$F$21="Lektor",'LAMPIRAN I DONE'!$F$21="Lektor Kepala",'LAMPIRAN I DONE'!$F$21="Guru Besar"),0.5,"")),I81*J81*IF('LAMPIRAN I DONE'!$F$21="Tenaga Pengajar",0.5,IF(OR('LAMPIRAN I DONE'!$F$21="Asisten Ahli",'LAMPIRAN I DONE'!$F$21="Lektor",'LAMPIRAN I DONE'!$F$21="Lektor Kepala",'LAMPIRAN I DONE'!$F$21="Guru Besar"),1,""))))),"rumus")</f>
        <v>4</v>
      </c>
      <c r="L81" s="401" t="str">
        <f t="shared" ref="L81:L86" si="30">IF(AND(I81&lt;&gt;"",J81&lt;&gt;""),(IF(SUMPRODUCT($I$81:I81,$J$81:J81)&lt;=10,"SKS&lt;=10",IF(SUMPRODUCT($I$81:I81,$J$81:J81)&gt;10,"SKS&gt;10",""))),"rumus")</f>
        <v>SKS&lt;=10</v>
      </c>
      <c r="M81" s="4"/>
      <c r="N81" s="4"/>
      <c r="O81" s="4"/>
      <c r="P81" s="4"/>
      <c r="Q81" s="4"/>
      <c r="R81" s="4"/>
      <c r="S81" s="4"/>
      <c r="T81" s="4"/>
      <c r="U81" s="4"/>
      <c r="V81" s="4"/>
      <c r="W81" s="4"/>
      <c r="X81" s="4"/>
      <c r="Y81" s="4"/>
      <c r="Z81" s="4"/>
    </row>
    <row r="82" spans="1:26" ht="25.5" customHeight="1" x14ac:dyDescent="0.25">
      <c r="A82" s="109">
        <v>2</v>
      </c>
      <c r="B82" s="571" t="s">
        <v>326</v>
      </c>
      <c r="C82" s="106" t="s">
        <v>331</v>
      </c>
      <c r="D82" s="106" t="str">
        <f t="shared" si="28"/>
        <v>SKS</v>
      </c>
      <c r="E82" s="398" t="str">
        <f t="shared" si="29"/>
        <v>4 x 1</v>
      </c>
      <c r="F82" s="398">
        <f>IF(K82&lt;&gt;"rumus",(IF(OR(AND(L82="sks&gt;10",L81="sks&lt;=10",IFERROR(SUMPRODUCT($I$80:I81,$J$80:J81)&lt;10,FALSE)),AND(L82="sks&gt;10",L81="")),((IF('LAMPIRAN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Besar"),0.5,"")))),((IF(OR(AND(L82="sks&gt;10",L81="sks&gt;10"),AND(L82="sks&gt;10",L81="sks&lt;=10")),IF('LAMPIRAN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82" s="398" t="str">
        <f>IF(K82&lt;&gt;"rumus",(IF(OR(AND(L82="sks&gt;10",L81="sks&lt;=10",IFERROR(SUMPRODUCT($I$80:I81,$J$80:J81)&lt;10,FALSE)),AND(L82="sks&gt;10",L81="")),(((10-SUMPRODUCT($I$80:I81,$J$80:J81))&amp;" x "&amp;1&amp;" x "&amp;IF('LAMPIRAN I DONE'!$F$21="Tenaga Pengajar",0.5,IF(OR('LAMPIRAN I DONE'!$F$21="Asisten Ahli",'LAMPIRAN I DONE'!$F$21="Lektor",'LAMPIRAN I DONE'!$F$21="Lektor Kepala",'LAMPIRAN I DONE'!$F$21="Guru Besar"),1,""))&amp;" = "&amp;((10-SUMPRODUCT($I$80:I81,$J$80:J81))*IF('LAMPIRAN I DONE'!$F$21="Tenaga Pengajar",0.5,IF(OR('LAMPIRAN I DONE'!$F$21="Asisten Ahli",'LAMPIRAN I DONE'!$F$21="Lektor",'LAMPIRAN I DONE'!$F$21="Lektor Kepala",'LAMPIRAN I DONE'!$F$21="Guru Besar"),1,""))))&amp;"
"&amp;(((I82*J82)-(10-SUMPRODUCT($I$80:I81,$J$80:J81)))&amp;" x "&amp;1&amp;" x "&amp;IF('LAMPIRAN I DONE'!$F$21="Tenaga Pengajar",0.25,IF(OR('LAMPIRAN I DONE'!$F$21="Asisten Ahli",'LAMPIRAN I DONE'!$F$21="Lektor",'LAMPIRAN I DONE'!$F$21="Lektor Kepala",'LAMPIRAN I DONE'!$F$21="Guru Besar"),0.5,""))&amp;" = "&amp;(((I82*J82)-(10-SUMPRODUCT($I$80:I81,$J$80:J81)))*IF('LAMPIRAN I DONE'!$F$21="Tenaga Pengajar",0.25,IF(OR('LAMPIRAN I DONE'!$F$21="Asisten Ahli",'LAMPIRAN I DONE'!$F$21="Lektor",'LAMPIRAN I DONE'!$F$21="Lektor Kepala",'LAMPIRAN I DONE'!$F$21="Guru Besar"),0.5,""))))),(I82&amp;" x "&amp;J82&amp;" x "&amp;(IF(OR(AND(L82="sks&gt;10",L81="sks&gt;10"),AND(L82="sks&gt;10",L81="sks&lt;=10")),IF('LAMPIRAN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"&amp;K82))),"rumus")</f>
        <v>4 x 1 x 1 = 4</v>
      </c>
      <c r="H82" s="106" t="s">
        <v>332</v>
      </c>
      <c r="I82" s="409">
        <v>4</v>
      </c>
      <c r="J82" s="409">
        <v>1</v>
      </c>
      <c r="K82" s="401">
        <f>IF(AND(I82&lt;&gt;"",J82&lt;&gt;""),(IF(OR(AND(L82="sks&gt;10",L81="sks&lt;=10",IFERROR(SUMPRODUCT($I$80:I81,$J$80:J81)&lt;10,FALSE)),AND(L82="sks&gt;10",L81="")),(((10-SUMPRODUCT($I$80:I81,$J$80:J81))*IF('LAMPIRAN I DONE'!$F$21="Tenaga Pengajar",0.5,IF(OR('LAMPIRAN I DONE'!$F$21="Asisten Ahli",'LAMPIRAN I DONE'!$F$21="Lektor",'LAMPIRAN I DONE'!$F$21="Lektor Kepala",'LAMPIRAN I DONE'!$F$21="Guru Besar"),1,"")))+(((I82*J82)-(10-SUMPRODUCT($I$80:I81,$J$80:J81)))*IF('LAMPIRAN I DONE'!$F$21="Tenaga Pengajar",0.25,IF(OR('LAMPIRAN I DONE'!$F$21="Asisten Ahli",'LAMPIRAN I DONE'!$F$21="Lektor",'LAMPIRAN I DONE'!$F$21="Lektor Kepala",'LAMPIRAN I DONE'!$F$21="Guru Besar"),0.5,"")))),IF(OR(AND(L82="sks&gt;10",L81="sks&gt;10"),AND(L82="sks&gt;10",L81="sks&lt;=10")),I82*J82*IF('LAMPIRAN I DONE'!$F$21="Tenaga Pengajar",0.25,IF(OR('LAMPIRAN I DONE'!$F$21="Asisten Ahli",'LAMPIRAN I DONE'!$F$21="Lektor",'LAMPIRAN I DONE'!$F$21="Lektor Kepala",'LAMPIRAN I DONE'!$F$21="Guru Besar"),0.5,"")),I82*J82*IF('LAMPIRAN I DONE'!$F$21="Tenaga Pengajar",0.5,IF(OR('LAMPIRAN I DONE'!$F$21="Asisten Ahli",'LAMPIRAN I DONE'!$F$21="Lektor",'LAMPIRAN I DONE'!$F$21="Lektor Kepala",'LAMPIRAN I DONE'!$F$21="Guru Besar"),1,""))))),"rumus")</f>
        <v>4</v>
      </c>
      <c r="L82" s="401" t="str">
        <f t="shared" si="30"/>
        <v>SKS&lt;=10</v>
      </c>
      <c r="M82" s="4"/>
      <c r="N82" s="4"/>
      <c r="O82" s="4"/>
      <c r="P82" s="4"/>
      <c r="Q82" s="4"/>
      <c r="R82" s="4"/>
      <c r="S82" s="4"/>
      <c r="T82" s="4"/>
      <c r="U82" s="4"/>
      <c r="V82" s="4"/>
      <c r="W82" s="4"/>
      <c r="X82" s="4"/>
      <c r="Y82" s="4"/>
      <c r="Z82" s="4"/>
    </row>
    <row r="83" spans="1:26" ht="25.5" customHeight="1" x14ac:dyDescent="0.25">
      <c r="A83" s="109">
        <v>3</v>
      </c>
      <c r="B83" s="397" t="s">
        <v>314</v>
      </c>
      <c r="C83" s="106" t="s">
        <v>331</v>
      </c>
      <c r="D83" s="106" t="str">
        <f t="shared" si="28"/>
        <v/>
      </c>
      <c r="E83" s="398" t="str">
        <f t="shared" si="29"/>
        <v/>
      </c>
      <c r="F83" s="398" t="str">
        <f>IF(K83&lt;&gt;"rumus",(IF(OR(AND(L83="sks&gt;10",L82="sks&lt;=10",IFERROR(SUMPRODUCT($I$80:I82,$J$80:J82)&lt;10,FALSE)),AND(L83="sks&gt;10",L82="")),((IF('LAMPIRAN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Besar"),0.5,"")))),((IF(OR(AND(L83="sks&gt;10",L82="sks&gt;10"),AND(L83="sks&gt;10",L82="sks&lt;=10")),IF('LAMPIRAN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83" s="398" t="str">
        <f>IF(K83&lt;&gt;"rumus",(IF(OR(AND(L83="sks&gt;10",L82="sks&lt;=10",IFERROR(SUMPRODUCT($I$80:I82,$J$80:J82)&lt;10,FALSE)),AND(L83="sks&gt;10",L82="")),(((10-SUMPRODUCT($I$80:I82,$J$80:J82))&amp;" x "&amp;1&amp;" x "&amp;IF('LAMPIRAN I DONE'!$F$21="Tenaga Pengajar",0.5,IF(OR('LAMPIRAN I DONE'!$F$21="Asisten Ahli",'LAMPIRAN I DONE'!$F$21="Lektor",'LAMPIRAN I DONE'!$F$21="Lektor Kepala",'LAMPIRAN I DONE'!$F$21="Guru Besar"),1,""))&amp;" = "&amp;((10-SUMPRODUCT($I$80:I82,$J$80:J82))*IF('LAMPIRAN I DONE'!$F$21="Tenaga Pengajar",0.5,IF(OR('LAMPIRAN I DONE'!$F$21="Asisten Ahli",'LAMPIRAN I DONE'!$F$21="Lektor",'LAMPIRAN I DONE'!$F$21="Lektor Kepala",'LAMPIRAN I DONE'!$F$21="Guru Besar"),1,""))))&amp;"
"&amp;(((I83*J83)-(10-SUMPRODUCT($I$80:I82,$J$80:J82)))&amp;" x "&amp;1&amp;" x "&amp;IF('LAMPIRAN I DONE'!$F$21="Tenaga Pengajar",0.25,IF(OR('LAMPIRAN I DONE'!$F$21="Asisten Ahli",'LAMPIRAN I DONE'!$F$21="Lektor",'LAMPIRAN I DONE'!$F$21="Lektor Kepala",'LAMPIRAN I DONE'!$F$21="Guru Besar"),0.5,""))&amp;" = "&amp;(((I83*J83)-(10-SUMPRODUCT($I$80:I82,$J$80:J82)))*IF('LAMPIRAN I DONE'!$F$21="Tenaga Pengajar",0.25,IF(OR('LAMPIRAN I DONE'!$F$21="Asisten Ahli",'LAMPIRAN I DONE'!$F$21="Lektor",'LAMPIRAN I DONE'!$F$21="Lektor Kepala",'LAMPIRAN I DONE'!$F$21="Guru Besar"),0.5,""))))),(I83&amp;" x "&amp;J83&amp;" x "&amp;(IF(OR(AND(L83="sks&gt;10",L82="sks&gt;10"),AND(L83="sks&gt;10",L82="sks&lt;=10")),IF('LAMPIRAN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"&amp;K83))),"rumus")</f>
        <v>rumus</v>
      </c>
      <c r="H83" s="106" t="s">
        <v>315</v>
      </c>
      <c r="I83" s="409"/>
      <c r="J83" s="409"/>
      <c r="K83" s="401" t="str">
        <f>IF(AND(I83&lt;&gt;"",J83&lt;&gt;""),(IF(OR(AND(L83="sks&gt;10",L82="sks&lt;=10",IFERROR(SUMPRODUCT($I$80:I82,$J$80:J82)&lt;10,FALSE)),AND(L83="sks&gt;10",L82="")),(((10-SUMPRODUCT($I$80:I82,$J$80:J82))*IF('LAMPIRAN I DONE'!$F$21="Tenaga Pengajar",0.5,IF(OR('LAMPIRAN I DONE'!$F$21="Asisten Ahli",'LAMPIRAN I DONE'!$F$21="Lektor",'LAMPIRAN I DONE'!$F$21="Lektor Kepala",'LAMPIRAN I DONE'!$F$21="Guru Besar"),1,"")))+(((I83*J83)-(10-SUMPRODUCT($I$80:I82,$J$80:J82)))*IF('LAMPIRAN I DONE'!$F$21="Tenaga Pengajar",0.25,IF(OR('LAMPIRAN I DONE'!$F$21="Asisten Ahli",'LAMPIRAN I DONE'!$F$21="Lektor",'LAMPIRAN I DONE'!$F$21="Lektor Kepala",'LAMPIRAN I DONE'!$F$21="Guru Besar"),0.5,"")))),IF(OR(AND(L83="sks&gt;10",L82="sks&gt;10"),AND(L83="sks&gt;10",L82="sks&lt;=10")),I83*J83*IF('LAMPIRAN I DONE'!$F$21="Tenaga Pengajar",0.25,IF(OR('LAMPIRAN I DONE'!$F$21="Asisten Ahli",'LAMPIRAN I DONE'!$F$21="Lektor",'LAMPIRAN I DONE'!$F$21="Lektor Kepala",'LAMPIRAN I DONE'!$F$21="Guru Besar"),0.5,"")),I83*J83*IF('LAMPIRAN I DONE'!$F$21="Tenaga Pengajar",0.5,IF(OR('LAMPIRAN I DONE'!$F$21="Asisten Ahli",'LAMPIRAN I DONE'!$F$21="Lektor",'LAMPIRAN I DONE'!$F$21="Lektor Kepala",'LAMPIRAN I DONE'!$F$21="Guru Besar"),1,""))))),"rumus")</f>
        <v>rumus</v>
      </c>
      <c r="L83" s="401" t="str">
        <f t="shared" si="30"/>
        <v>rumus</v>
      </c>
      <c r="M83" s="4"/>
      <c r="N83" s="4"/>
      <c r="O83" s="4"/>
      <c r="P83" s="4"/>
      <c r="Q83" s="4"/>
      <c r="R83" s="4"/>
      <c r="S83" s="4"/>
      <c r="T83" s="4"/>
      <c r="U83" s="4"/>
      <c r="V83" s="4"/>
      <c r="W83" s="4"/>
      <c r="X83" s="4"/>
      <c r="Y83" s="4"/>
      <c r="Z83" s="4"/>
    </row>
    <row r="84" spans="1:26" ht="25.5" customHeight="1" x14ac:dyDescent="0.25">
      <c r="A84" s="109">
        <v>4</v>
      </c>
      <c r="B84" s="397" t="s">
        <v>314</v>
      </c>
      <c r="C84" s="106" t="s">
        <v>331</v>
      </c>
      <c r="D84" s="106" t="str">
        <f t="shared" si="28"/>
        <v/>
      </c>
      <c r="E84" s="398" t="str">
        <f t="shared" si="29"/>
        <v/>
      </c>
      <c r="F84" s="398" t="str">
        <f>IF(K84&lt;&gt;"rumus",(IF(OR(AND(L84="sks&gt;10",L83="sks&lt;=10",IFERROR(SUMPRODUCT($I$80:I83,$J$80:J83)&lt;10,FALSE)),AND(L84="sks&gt;10",L83="")),((IF('LAMPIRAN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Besar"),0.5,"")))),((IF(OR(AND(L84="sks&gt;10",L83="sks&gt;10"),AND(L84="sks&gt;10",L83="sks&lt;=10")),IF('LAMPIRAN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84" s="398" t="str">
        <f>IF(K84&lt;&gt;"rumus",(IF(OR(AND(L84="sks&gt;10",L83="sks&lt;=10",IFERROR(SUMPRODUCT($I$80:I83,$J$80:J83)&lt;10,FALSE)),AND(L84="sks&gt;10",L83="")),(((10-SUMPRODUCT($I$80:I83,$J$80:J83))&amp;" x "&amp;1&amp;" x "&amp;IF('LAMPIRAN I DONE'!$F$21="Tenaga Pengajar",0.5,IF(OR('LAMPIRAN I DONE'!$F$21="Asisten Ahli",'LAMPIRAN I DONE'!$F$21="Lektor",'LAMPIRAN I DONE'!$F$21="Lektor Kepala",'LAMPIRAN I DONE'!$F$21="Guru Besar"),1,""))&amp;" = "&amp;((10-SUMPRODUCT($I$80:I83,$J$80:J83))*IF('LAMPIRAN I DONE'!$F$21="Tenaga Pengajar",0.5,IF(OR('LAMPIRAN I DONE'!$F$21="Asisten Ahli",'LAMPIRAN I DONE'!$F$21="Lektor",'LAMPIRAN I DONE'!$F$21="Lektor Kepala",'LAMPIRAN I DONE'!$F$21="Guru Besar"),1,""))))&amp;"
"&amp;(((I84*J84)-(10-SUMPRODUCT($I$80:I83,$J$80:J83)))&amp;" x "&amp;1&amp;" x "&amp;IF('LAMPIRAN I DONE'!$F$21="Tenaga Pengajar",0.25,IF(OR('LAMPIRAN I DONE'!$F$21="Asisten Ahli",'LAMPIRAN I DONE'!$F$21="Lektor",'LAMPIRAN I DONE'!$F$21="Lektor Kepala",'LAMPIRAN I DONE'!$F$21="Guru Besar"),0.5,""))&amp;" = "&amp;(((I84*J84)-(10-SUMPRODUCT($I$80:I83,$J$80:J83)))*IF('LAMPIRAN I DONE'!$F$21="Tenaga Pengajar",0.25,IF(OR('LAMPIRAN I DONE'!$F$21="Asisten Ahli",'LAMPIRAN I DONE'!$F$21="Lektor",'LAMPIRAN I DONE'!$F$21="Lektor Kepala",'LAMPIRAN I DONE'!$F$21="Guru Besar"),0.5,""))))),(I84&amp;" x "&amp;J84&amp;" x "&amp;(IF(OR(AND(L84="sks&gt;10",L83="sks&gt;10"),AND(L84="sks&gt;10",L83="sks&lt;=10")),IF('LAMPIRAN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"&amp;K84))),"rumus")</f>
        <v>rumus</v>
      </c>
      <c r="H84" s="106" t="s">
        <v>315</v>
      </c>
      <c r="I84" s="409"/>
      <c r="J84" s="409"/>
      <c r="K84" s="401" t="str">
        <f>IF(AND(I84&lt;&gt;"",J84&lt;&gt;""),(IF(OR(AND(L84="sks&gt;10",L83="sks&lt;=10",IFERROR(SUMPRODUCT($I$80:I83,$J$80:J83)&lt;10,FALSE)),AND(L84="sks&gt;10",L83="")),(((10-SUMPRODUCT($I$80:I83,$J$80:J83))*IF('LAMPIRAN I DONE'!$F$21="Tenaga Pengajar",0.5,IF(OR('LAMPIRAN I DONE'!$F$21="Asisten Ahli",'LAMPIRAN I DONE'!$F$21="Lektor",'LAMPIRAN I DONE'!$F$21="Lektor Kepala",'LAMPIRAN I DONE'!$F$21="Guru Besar"),1,"")))+(((I84*J84)-(10-SUMPRODUCT($I$80:I83,$J$80:J83)))*IF('LAMPIRAN I DONE'!$F$21="Tenaga Pengajar",0.25,IF(OR('LAMPIRAN I DONE'!$F$21="Asisten Ahli",'LAMPIRAN I DONE'!$F$21="Lektor",'LAMPIRAN I DONE'!$F$21="Lektor Kepala",'LAMPIRAN I DONE'!$F$21="Guru Besar"),0.5,"")))),IF(OR(AND(L84="sks&gt;10",L83="sks&gt;10"),AND(L84="sks&gt;10",L83="sks&lt;=10")),I84*J84*IF('LAMPIRAN I DONE'!$F$21="Tenaga Pengajar",0.25,IF(OR('LAMPIRAN I DONE'!$F$21="Asisten Ahli",'LAMPIRAN I DONE'!$F$21="Lektor",'LAMPIRAN I DONE'!$F$21="Lektor Kepala",'LAMPIRAN I DONE'!$F$21="Guru Besar"),0.5,"")),I84*J84*IF('LAMPIRAN I DONE'!$F$21="Tenaga Pengajar",0.5,IF(OR('LAMPIRAN I DONE'!$F$21="Asisten Ahli",'LAMPIRAN I DONE'!$F$21="Lektor",'LAMPIRAN I DONE'!$F$21="Lektor Kepala",'LAMPIRAN I DONE'!$F$21="Guru Besar"),1,""))))),"rumus")</f>
        <v>rumus</v>
      </c>
      <c r="L84" s="401" t="str">
        <f t="shared" si="30"/>
        <v>rumus</v>
      </c>
      <c r="M84" s="4"/>
      <c r="N84" s="4"/>
      <c r="O84" s="4"/>
      <c r="P84" s="4"/>
      <c r="Q84" s="4"/>
      <c r="R84" s="4"/>
      <c r="S84" s="4"/>
      <c r="T84" s="4"/>
      <c r="U84" s="4"/>
      <c r="V84" s="4"/>
      <c r="W84" s="4"/>
      <c r="X84" s="4"/>
      <c r="Y84" s="4"/>
      <c r="Z84" s="4"/>
    </row>
    <row r="85" spans="1:26" ht="25.5" customHeight="1" x14ac:dyDescent="0.25">
      <c r="A85" s="109">
        <v>5</v>
      </c>
      <c r="B85" s="397" t="s">
        <v>314</v>
      </c>
      <c r="C85" s="106" t="s">
        <v>331</v>
      </c>
      <c r="D85" s="106" t="str">
        <f t="shared" si="28"/>
        <v/>
      </c>
      <c r="E85" s="398" t="str">
        <f t="shared" si="29"/>
        <v/>
      </c>
      <c r="F85" s="398" t="str">
        <f>IF(K85&lt;&gt;"rumus",(IF(OR(AND(L85="sks&gt;10",L84="sks&lt;=10",IFERROR(SUMPRODUCT($I$80:I84,$J$80:J84)&lt;10,FALSE)),AND(L85="sks&gt;10",L84="")),((IF('LAMPIRAN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Besar"),0.5,"")))),((IF(OR(AND(L85="sks&gt;10",L84="sks&gt;10"),AND(L85="sks&gt;10",L84="sks&lt;=10")),IF('LAMPIRAN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85" s="398" t="str">
        <f>IF(K85&lt;&gt;"rumus",(IF(OR(AND(L85="sks&gt;10",L84="sks&lt;=10",IFERROR(SUMPRODUCT($I$80:I84,$J$80:J84)&lt;10,FALSE)),AND(L85="sks&gt;10",L84="")),(((10-SUMPRODUCT($I$80:I84,$J$80:J84))&amp;" x "&amp;1&amp;" x "&amp;IF('LAMPIRAN I DONE'!$F$21="Tenaga Pengajar",0.5,IF(OR('LAMPIRAN I DONE'!$F$21="Asisten Ahli",'LAMPIRAN I DONE'!$F$21="Lektor",'LAMPIRAN I DONE'!$F$21="Lektor Kepala",'LAMPIRAN I DONE'!$F$21="Guru Besar"),1,""))&amp;" = "&amp;((10-SUMPRODUCT($I$80:I84,$J$80:J84))*IF('LAMPIRAN I DONE'!$F$21="Tenaga Pengajar",0.5,IF(OR('LAMPIRAN I DONE'!$F$21="Asisten Ahli",'LAMPIRAN I DONE'!$F$21="Lektor",'LAMPIRAN I DONE'!$F$21="Lektor Kepala",'LAMPIRAN I DONE'!$F$21="Guru Besar"),1,""))))&amp;"
"&amp;(((I85*J85)-(10-SUMPRODUCT($I$80:I84,$J$80:J84)))&amp;" x "&amp;1&amp;" x "&amp;IF('LAMPIRAN I DONE'!$F$21="Tenaga Pengajar",0.25,IF(OR('LAMPIRAN I DONE'!$F$21="Asisten Ahli",'LAMPIRAN I DONE'!$F$21="Lektor",'LAMPIRAN I DONE'!$F$21="Lektor Kepala",'LAMPIRAN I DONE'!$F$21="Guru Besar"),0.5,""))&amp;" = "&amp;(((I85*J85)-(10-SUMPRODUCT($I$80:I84,$J$80:J84)))*IF('LAMPIRAN I DONE'!$F$21="Tenaga Pengajar",0.25,IF(OR('LAMPIRAN I DONE'!$F$21="Asisten Ahli",'LAMPIRAN I DONE'!$F$21="Lektor",'LAMPIRAN I DONE'!$F$21="Lektor Kepala",'LAMPIRAN I DONE'!$F$21="Guru Besar"),0.5,""))))),(I85&amp;" x "&amp;J85&amp;" x "&amp;(IF(OR(AND(L85="sks&gt;10",L84="sks&gt;10"),AND(L85="sks&gt;10",L84="sks&lt;=10")),IF('LAMPIRAN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"&amp;K85))),"rumus")</f>
        <v>rumus</v>
      </c>
      <c r="H85" s="106" t="s">
        <v>315</v>
      </c>
      <c r="I85" s="409"/>
      <c r="J85" s="409"/>
      <c r="K85" s="401" t="str">
        <f>IF(AND(I85&lt;&gt;"",J85&lt;&gt;""),(IF(OR(AND(L85="sks&gt;10",L84="sks&lt;=10",IFERROR(SUMPRODUCT($I$80:I84,$J$80:J84)&lt;10,FALSE)),AND(L85="sks&gt;10",L84="")),(((10-SUMPRODUCT($I$80:I84,$J$80:J84))*IF('LAMPIRAN I DONE'!$F$21="Tenaga Pengajar",0.5,IF(OR('LAMPIRAN I DONE'!$F$21="Asisten Ahli",'LAMPIRAN I DONE'!$F$21="Lektor",'LAMPIRAN I DONE'!$F$21="Lektor Kepala",'LAMPIRAN I DONE'!$F$21="Guru Besar"),1,"")))+(((I85*J85)-(10-SUMPRODUCT($I$80:I84,$J$80:J84)))*IF('LAMPIRAN I DONE'!$F$21="Tenaga Pengajar",0.25,IF(OR('LAMPIRAN I DONE'!$F$21="Asisten Ahli",'LAMPIRAN I DONE'!$F$21="Lektor",'LAMPIRAN I DONE'!$F$21="Lektor Kepala",'LAMPIRAN I DONE'!$F$21="Guru Besar"),0.5,"")))),IF(OR(AND(L85="sks&gt;10",L84="sks&gt;10"),AND(L85="sks&gt;10",L84="sks&lt;=10")),I85*J85*IF('LAMPIRAN I DONE'!$F$21="Tenaga Pengajar",0.25,IF(OR('LAMPIRAN I DONE'!$F$21="Asisten Ahli",'LAMPIRAN I DONE'!$F$21="Lektor",'LAMPIRAN I DONE'!$F$21="Lektor Kepala",'LAMPIRAN I DONE'!$F$21="Guru Besar"),0.5,"")),I85*J85*IF('LAMPIRAN I DONE'!$F$21="Tenaga Pengajar",0.5,IF(OR('LAMPIRAN I DONE'!$F$21="Asisten Ahli",'LAMPIRAN I DONE'!$F$21="Lektor",'LAMPIRAN I DONE'!$F$21="Lektor Kepala",'LAMPIRAN I DONE'!$F$21="Guru Besar"),1,""))))),"rumus")</f>
        <v>rumus</v>
      </c>
      <c r="L85" s="401" t="str">
        <f t="shared" si="30"/>
        <v>rumus</v>
      </c>
      <c r="M85" s="4"/>
      <c r="N85" s="4"/>
      <c r="O85" s="4"/>
      <c r="P85" s="4"/>
      <c r="Q85" s="4"/>
      <c r="R85" s="4"/>
      <c r="S85" s="4"/>
      <c r="T85" s="4"/>
      <c r="U85" s="4"/>
      <c r="V85" s="4"/>
      <c r="W85" s="4"/>
      <c r="X85" s="4"/>
      <c r="Y85" s="4"/>
      <c r="Z85" s="4"/>
    </row>
    <row r="86" spans="1:26" ht="25.5" customHeight="1" x14ac:dyDescent="0.25">
      <c r="A86" s="109">
        <v>6</v>
      </c>
      <c r="B86" s="397" t="s">
        <v>314</v>
      </c>
      <c r="C86" s="106" t="s">
        <v>331</v>
      </c>
      <c r="D86" s="106" t="str">
        <f t="shared" si="28"/>
        <v/>
      </c>
      <c r="E86" s="398" t="str">
        <f t="shared" si="29"/>
        <v/>
      </c>
      <c r="F86" s="398" t="str">
        <f>IF(K86&lt;&gt;"rumus",(IF(OR(AND(L86="sks&gt;10",L85="sks&lt;=10",IFERROR(SUMPRODUCT($I$80:I85,$J$80:J85)&lt;10,FALSE)),AND(L86="sks&gt;10",L85="")),((IF('LAMPIRAN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Besar"),0.5,"")))),((IF(OR(AND(L86="sks&gt;10",L85="sks&gt;10"),AND(L86="sks&gt;10",L85="sks&lt;=10")),IF('LAMPIRAN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86" s="398" t="str">
        <f>IF(K86&lt;&gt;"rumus",(IF(OR(AND(L86="sks&gt;10",L85="sks&lt;=10",IFERROR(SUMPRODUCT($I$80:I85,$J$80:J85)&lt;10,FALSE)),AND(L86="sks&gt;10",L85="")),(((10-SUMPRODUCT($I$80:I85,$J$80:J85))&amp;" x "&amp;1&amp;" x "&amp;IF('LAMPIRAN I DONE'!$F$21="Tenaga Pengajar",0.5,IF(OR('LAMPIRAN I DONE'!$F$21="Asisten Ahli",'LAMPIRAN I DONE'!$F$21="Lektor",'LAMPIRAN I DONE'!$F$21="Lektor Kepala",'LAMPIRAN I DONE'!$F$21="Guru Besar"),1,""))&amp;" = "&amp;((10-SUMPRODUCT($I$80:I85,$J$80:J85))*IF('LAMPIRAN I DONE'!$F$21="Tenaga Pengajar",0.5,IF(OR('LAMPIRAN I DONE'!$F$21="Asisten Ahli",'LAMPIRAN I DONE'!$F$21="Lektor",'LAMPIRAN I DONE'!$F$21="Lektor Kepala",'LAMPIRAN I DONE'!$F$21="Guru Besar"),1,""))))&amp;"
"&amp;(((I86*J86)-(10-SUMPRODUCT($I$80:I85,$J$80:J85)))&amp;" x "&amp;1&amp;" x "&amp;IF('LAMPIRAN I DONE'!$F$21="Tenaga Pengajar",0.25,IF(OR('LAMPIRAN I DONE'!$F$21="Asisten Ahli",'LAMPIRAN I DONE'!$F$21="Lektor",'LAMPIRAN I DONE'!$F$21="Lektor Kepala",'LAMPIRAN I DONE'!$F$21="Guru Besar"),0.5,""))&amp;" = "&amp;(((I86*J86)-(10-SUMPRODUCT($I$80:I85,$J$80:J85)))*IF('LAMPIRAN I DONE'!$F$21="Tenaga Pengajar",0.25,IF(OR('LAMPIRAN I DONE'!$F$21="Asisten Ahli",'LAMPIRAN I DONE'!$F$21="Lektor",'LAMPIRAN I DONE'!$F$21="Lektor Kepala",'LAMPIRAN I DONE'!$F$21="Guru Besar"),0.5,""))))),(I86&amp;" x "&amp;J86&amp;" x "&amp;(IF(OR(AND(L86="sks&gt;10",L85="sks&gt;10"),AND(L86="sks&gt;10",L85="sks&lt;=10")),IF('LAMPIRAN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"&amp;K86))),"rumus")</f>
        <v>rumus</v>
      </c>
      <c r="H86" s="106" t="s">
        <v>315</v>
      </c>
      <c r="I86" s="409"/>
      <c r="J86" s="409"/>
      <c r="K86" s="401" t="str">
        <f>IF(AND(I86&lt;&gt;"",J86&lt;&gt;""),(IF(OR(AND(L86="sks&gt;10",L85="sks&lt;=10",IFERROR(SUMPRODUCT($I$80:I85,$J$80:J85)&lt;10,FALSE)),AND(L86="sks&gt;10",L85="")),(((10-SUMPRODUCT($I$80:I85,$J$80:J85))*IF('LAMPIRAN I DONE'!$F$21="Tenaga Pengajar",0.5,IF(OR('LAMPIRAN I DONE'!$F$21="Asisten Ahli",'LAMPIRAN I DONE'!$F$21="Lektor",'LAMPIRAN I DONE'!$F$21="Lektor Kepala",'LAMPIRAN I DONE'!$F$21="Guru Besar"),1,"")))+(((I86*J86)-(10-SUMPRODUCT($I$80:I85,$J$80:J85)))*IF('LAMPIRAN I DONE'!$F$21="Tenaga Pengajar",0.25,IF(OR('LAMPIRAN I DONE'!$F$21="Asisten Ahli",'LAMPIRAN I DONE'!$F$21="Lektor",'LAMPIRAN I DONE'!$F$21="Lektor Kepala",'LAMPIRAN I DONE'!$F$21="Guru Besar"),0.5,"")))),IF(OR(AND(L86="sks&gt;10",L85="sks&gt;10"),AND(L86="sks&gt;10",L85="sks&lt;=10")),I86*J86*IF('LAMPIRAN I DONE'!$F$21="Tenaga Pengajar",0.25,IF(OR('LAMPIRAN I DONE'!$F$21="Asisten Ahli",'LAMPIRAN I DONE'!$F$21="Lektor",'LAMPIRAN I DONE'!$F$21="Lektor Kepala",'LAMPIRAN I DONE'!$F$21="Guru Besar"),0.5,"")),I86*J86*IF('LAMPIRAN I DONE'!$F$21="Tenaga Pengajar",0.5,IF(OR('LAMPIRAN I DONE'!$F$21="Asisten Ahli",'LAMPIRAN I DONE'!$F$21="Lektor",'LAMPIRAN I DONE'!$F$21="Lektor Kepala",'LAMPIRAN I DONE'!$F$21="Guru Besar"),1,""))))),"rumus")</f>
        <v>rumus</v>
      </c>
      <c r="L86" s="401" t="str">
        <f t="shared" si="30"/>
        <v>rumus</v>
      </c>
      <c r="M86" s="4"/>
      <c r="N86" s="4"/>
      <c r="O86" s="4"/>
      <c r="P86" s="4"/>
      <c r="Q86" s="4"/>
      <c r="R86" s="4"/>
      <c r="S86" s="4"/>
      <c r="T86" s="4"/>
      <c r="U86" s="4"/>
      <c r="V86" s="4"/>
      <c r="W86" s="4"/>
      <c r="X86" s="4"/>
      <c r="Y86" s="4"/>
      <c r="Z86" s="4"/>
    </row>
    <row r="87" spans="1:26" ht="15" customHeight="1" x14ac:dyDescent="0.25">
      <c r="A87" s="109"/>
      <c r="B87" s="406" t="str">
        <f>"a. Semester Gasal "&amp;IF(C88&lt;&gt;"",C88,"")&amp;" :"</f>
        <v>a. Semester Gasal 2019/2020 :</v>
      </c>
      <c r="C87" s="407"/>
      <c r="D87" s="407"/>
      <c r="E87" s="407"/>
      <c r="F87" s="407"/>
      <c r="G87" s="407"/>
      <c r="H87" s="408"/>
      <c r="I87" s="110"/>
      <c r="J87" s="110"/>
      <c r="K87" s="4"/>
      <c r="L87" s="4"/>
      <c r="M87" s="111">
        <f>IF((AND(N87="Max 5,5",SUM(K81:K86)&lt;=5.5)),SUM(K81:K86),IF((AND(N87="Max 5,5",SUM(K81:K86)&gt;5.5)),5.5,IF((AND(N87="Max 11",SUM(K81:K86)&lt;=11)),SUM(K81:K86),IF((AND(N87="Max 11",SUM(K81:K86)&gt;11)),11,""))))</f>
        <v>8</v>
      </c>
      <c r="N87" s="103" t="str">
        <f>IF('LAMPIRAN I DONE'!$F$21="Tenaga Pengajar","Max 5,5",IF(OR('LAMPIRAN I DONE'!$F$21="Asisten Ahli",'LAMPIRAN I DONE'!$F$21="Lektor",'LAMPIRAN I DONE'!$F$21="Lektor Kepala",'LAMPIRAN I DONE'!$F$21="Guru Besar"),"Max 11",""))</f>
        <v>Max 11</v>
      </c>
      <c r="O87" s="4"/>
      <c r="P87" s="4"/>
      <c r="Q87" s="4"/>
      <c r="R87" s="4"/>
      <c r="S87" s="4"/>
      <c r="T87" s="4"/>
      <c r="U87" s="4"/>
      <c r="V87" s="4"/>
      <c r="W87" s="4"/>
      <c r="X87" s="4"/>
      <c r="Y87" s="4"/>
      <c r="Z87" s="4"/>
    </row>
    <row r="88" spans="1:26" ht="25.5" customHeight="1" x14ac:dyDescent="0.25">
      <c r="A88" s="109">
        <v>1</v>
      </c>
      <c r="B88" s="570" t="s">
        <v>333</v>
      </c>
      <c r="C88" s="106" t="s">
        <v>334</v>
      </c>
      <c r="D88" s="106" t="str">
        <f t="shared" ref="D88:D93" si="31">IF(G88&lt;&gt;"rumus","SKS","")</f>
        <v>SKS</v>
      </c>
      <c r="E88" s="398" t="str">
        <f t="shared" ref="E88:E93" si="32">IF(K88&lt;&gt;"rumus",(IF(OR(AND(L88="sks&gt;10",L87="sks&lt;=10",IFERROR(SUMPRODUCT($I$87:I87,$J$87:J87)&lt;10,FALSE)),AND(L88="sks&gt;10",L87="")),(((10-SUMPRODUCT($I$87:I87,$J$87:J87))&amp;" x "&amp;1)&amp;"
"&amp;(((I88*J88)-(10-SUMPRODUCT($I$87:I87,$J$87:J87)))&amp;" x "&amp;1)),(I88&amp;" x "&amp;J88))),"")</f>
        <v>4 x 2</v>
      </c>
      <c r="F88" s="398">
        <f>IF(K88&lt;&gt;"rumus",(IF(OR(AND(L88="sks&gt;10",L87="sks&lt;=10",IFERROR(SUMPRODUCT($I$87:I87,$J$87:J87)&lt;10,FALSE)),AND(L88="sks&gt;10",L87="")),((IF('LAMPIRAN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Besar"),0.5,"")))),((IF(OR(AND(L88="sks&gt;10",L87="sks&gt;10"),AND(L88="sks&gt;10",L87="sks&lt;=10")),IF('LAMPIRAN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88" s="398" t="str">
        <f>IF(K88&lt;&gt;"rumus",(IF(OR(AND(L88="sks&gt;10",L87="sks&lt;=10",IFERROR(SUMPRODUCT($I$87:I87,$J$87:J87)&lt;10,FALSE)),AND(L88="sks&gt;10",L87="")),(((10-SUMPRODUCT($I$87:I87,$J$87:J87))&amp;" x "&amp;1&amp;" x "&amp;IF('LAMPIRAN I DONE'!$F$21="Tenaga Pengajar",0.5,IF(OR('LAMPIRAN I DONE'!$F$21="Asisten Ahli",'LAMPIRAN I DONE'!$F$21="Lektor",'LAMPIRAN I DONE'!$F$21="Lektor Kepala",'LAMPIRAN I DONE'!$F$21="Guru Besar"),1,""))&amp;" = "&amp;((10-SUMPRODUCT($I$87:I87,$J$87:J87))*IF('LAMPIRAN I DONE'!$F$21="Tenaga Pengajar",0.5,IF(OR('LAMPIRAN I DONE'!$F$21="Asisten Ahli",'LAMPIRAN I DONE'!$F$21="Lektor",'LAMPIRAN I DONE'!$F$21="Lektor Kepala",'LAMPIRAN I DONE'!$F$21="Guru Besar"),1,""))))&amp;"
"&amp;(((I88*J88)-(10-SUMPRODUCT($I$87:I87,$J$87:J87)))&amp;" x "&amp;1&amp;" x "&amp;IF('LAMPIRAN I DONE'!$F$21="Tenaga Pengajar",0.25,IF(OR('LAMPIRAN I DONE'!$F$21="Asisten Ahli",'LAMPIRAN I DONE'!$F$21="Lektor",'LAMPIRAN I DONE'!$F$21="Lektor Kepala",'LAMPIRAN I DONE'!$F$21="Guru Besar"),0.5,""))&amp;" = "&amp;(((I88*J88)-(10-SUMPRODUCT($I$87:I87,$J$87:J87)))*IF('LAMPIRAN I DONE'!$F$21="Tenaga Pengajar",0.25,IF(OR('LAMPIRAN I DONE'!$F$21="Asisten Ahli",'LAMPIRAN I DONE'!$F$21="Lektor",'LAMPIRAN I DONE'!$F$21="Lektor Kepala",'LAMPIRAN I DONE'!$F$21="Guru Besar"),0.5,""))))),(I88&amp;" x "&amp;J88&amp;" x "&amp;(IF(OR(AND(L88="sks&gt;10",L87="sks&gt;10"),AND(L88="sks&gt;10",L87="sks&lt;=10")),IF('LAMPIRAN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"&amp;K88))),"rumus")</f>
        <v>4 x 2 x 1 = 8</v>
      </c>
      <c r="H88" s="106" t="s">
        <v>335</v>
      </c>
      <c r="I88" s="409">
        <v>4</v>
      </c>
      <c r="J88" s="409">
        <v>2</v>
      </c>
      <c r="K88" s="401">
        <f>IF(AND(I88&lt;&gt;"",J88&lt;&gt;""),(IF(OR(AND(L88="sks&gt;10",L87="sks&lt;=10",IFERROR(SUMPRODUCT($I$87:I87,$J$87:J87)&lt;10,FALSE)),AND(L88="sks&gt;10",L87="")),(((10-SUMPRODUCT($I$87:I87,$J$87:J87))*IF('LAMPIRAN I DONE'!$F$21="Tenaga Pengajar",0.5,IF(OR('LAMPIRAN I DONE'!$F$21="Asisten Ahli",'LAMPIRAN I DONE'!$F$21="Lektor",'LAMPIRAN I DONE'!$F$21="Lektor Kepala",'LAMPIRAN I DONE'!$F$21="Guru Besar"),1,"")))+(((I88*J88)-(10-SUMPRODUCT($I$87:I87,$J$87:J87)))*IF('LAMPIRAN I DONE'!$F$21="Tenaga Pengajar",0.25,IF(OR('LAMPIRAN I DONE'!$F$21="Asisten Ahli",'LAMPIRAN I DONE'!$F$21="Lektor",'LAMPIRAN I DONE'!$F$21="Lektor Kepala",'LAMPIRAN I DONE'!$F$21="Guru Besar"),0.5,"")))),IF(OR(AND(L88="sks&gt;10",L87="sks&gt;10"),AND(L88="sks&gt;10",L87="sks&lt;=10")),I88*J88*IF('LAMPIRAN I DONE'!$F$21="Tenaga Pengajar",0.25,IF(OR('LAMPIRAN I DONE'!$F$21="Asisten Ahli",'LAMPIRAN I DONE'!$F$21="Lektor",'LAMPIRAN I DONE'!$F$21="Lektor Kepala",'LAMPIRAN I DONE'!$F$21="Guru Besar"),0.5,"")),I88*J88*IF('LAMPIRAN I DONE'!$F$21="Tenaga Pengajar",0.5,IF(OR('LAMPIRAN I DONE'!$F$21="Asisten Ahli",'LAMPIRAN I DONE'!$F$21="Lektor",'LAMPIRAN I DONE'!$F$21="Lektor Kepala",'LAMPIRAN I DONE'!$F$21="Guru Besar"),1,""))))),"rumus")</f>
        <v>8</v>
      </c>
      <c r="L88" s="401" t="str">
        <f t="shared" ref="L88:L93" si="33">IF(AND(I88&lt;&gt;"",J88&lt;&gt;""),(IF(SUMPRODUCT($I$88:I88,$J$88:J88)&lt;=10,"SKS&lt;=10",IF(SUMPRODUCT($I$88:I88,$J$88:J88)&gt;10,"SKS&gt;10",""))),"rumus")</f>
        <v>SKS&lt;=10</v>
      </c>
      <c r="M88" s="4"/>
      <c r="N88" s="4"/>
      <c r="O88" s="4"/>
      <c r="P88" s="4"/>
      <c r="Q88" s="4"/>
      <c r="R88" s="4"/>
      <c r="S88" s="4"/>
      <c r="T88" s="4"/>
      <c r="U88" s="4"/>
      <c r="V88" s="4"/>
      <c r="W88" s="4"/>
      <c r="X88" s="4"/>
      <c r="Y88" s="4"/>
      <c r="Z88" s="4"/>
    </row>
    <row r="89" spans="1:26" ht="25.5" customHeight="1" x14ac:dyDescent="0.25">
      <c r="A89" s="109">
        <v>2</v>
      </c>
      <c r="B89" s="397" t="s">
        <v>314</v>
      </c>
      <c r="C89" s="106" t="s">
        <v>334</v>
      </c>
      <c r="D89" s="106" t="str">
        <f t="shared" si="31"/>
        <v/>
      </c>
      <c r="E89" s="398" t="str">
        <f t="shared" si="32"/>
        <v/>
      </c>
      <c r="F89" s="398" t="str">
        <f>IF(K89&lt;&gt;"rumus",(IF(OR(AND(L89="sks&gt;10",L88="sks&lt;=10",IFERROR(SUMPRODUCT($I$87:I88,$J$87:J88)&lt;10,FALSE)),AND(L89="sks&gt;10",L88="")),((IF('LAMPIRAN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Besar"),0.5,"")))),((IF(OR(AND(L89="sks&gt;10",L88="sks&gt;10"),AND(L89="sks&gt;10",L88="sks&lt;=10")),IF('LAMPIRAN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89" s="398" t="str">
        <f>IF(K89&lt;&gt;"rumus",(IF(OR(AND(L89="sks&gt;10",L88="sks&lt;=10",IFERROR(SUMPRODUCT($I$87:I88,$J$87:J88)&lt;10,FALSE)),AND(L89="sks&gt;10",L88="")),(((10-SUMPRODUCT($I$87:I88,$J$87:J88))&amp;" x "&amp;1&amp;" x "&amp;IF('LAMPIRAN I DONE'!$F$21="Tenaga Pengajar",0.5,IF(OR('LAMPIRAN I DONE'!$F$21="Asisten Ahli",'LAMPIRAN I DONE'!$F$21="Lektor",'LAMPIRAN I DONE'!$F$21="Lektor Kepala",'LAMPIRAN I DONE'!$F$21="Guru Besar"),1,""))&amp;" = "&amp;((10-SUMPRODUCT($I$87:I88,$J$87:J88))*IF('LAMPIRAN I DONE'!$F$21="Tenaga Pengajar",0.5,IF(OR('LAMPIRAN I DONE'!$F$21="Asisten Ahli",'LAMPIRAN I DONE'!$F$21="Lektor",'LAMPIRAN I DONE'!$F$21="Lektor Kepala",'LAMPIRAN I DONE'!$F$21="Guru Besar"),1,""))))&amp;"
"&amp;(((I89*J89)-(10-SUMPRODUCT($I$87:I88,$J$87:J88)))&amp;" x "&amp;1&amp;" x "&amp;IF('LAMPIRAN I DONE'!$F$21="Tenaga Pengajar",0.25,IF(OR('LAMPIRAN I DONE'!$F$21="Asisten Ahli",'LAMPIRAN I DONE'!$F$21="Lektor",'LAMPIRAN I DONE'!$F$21="Lektor Kepala",'LAMPIRAN I DONE'!$F$21="Guru Besar"),0.5,""))&amp;" = "&amp;(((I89*J89)-(10-SUMPRODUCT($I$87:I88,$J$87:J88)))*IF('LAMPIRAN I DONE'!$F$21="Tenaga Pengajar",0.25,IF(OR('LAMPIRAN I DONE'!$F$21="Asisten Ahli",'LAMPIRAN I DONE'!$F$21="Lektor",'LAMPIRAN I DONE'!$F$21="Lektor Kepala",'LAMPIRAN I DONE'!$F$21="Guru Besar"),0.5,""))))),(I89&amp;" x "&amp;J89&amp;" x "&amp;(IF(OR(AND(L89="sks&gt;10",L88="sks&gt;10"),AND(L89="sks&gt;10",L88="sks&lt;=10")),IF('LAMPIRAN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"&amp;K89))),"rumus")</f>
        <v>rumus</v>
      </c>
      <c r="H89" s="106" t="s">
        <v>315</v>
      </c>
      <c r="I89" s="409"/>
      <c r="J89" s="409"/>
      <c r="K89" s="401" t="str">
        <f>IF(AND(I89&lt;&gt;"",J89&lt;&gt;""),(IF(OR(AND(L89="sks&gt;10",L88="sks&lt;=10",IFERROR(SUMPRODUCT($I$87:I88,$J$87:J88)&lt;10,FALSE)),AND(L89="sks&gt;10",L88="")),(((10-SUMPRODUCT($I$87:I88,$J$87:J88))*IF('LAMPIRAN I DONE'!$F$21="Tenaga Pengajar",0.5,IF(OR('LAMPIRAN I DONE'!$F$21="Asisten Ahli",'LAMPIRAN I DONE'!$F$21="Lektor",'LAMPIRAN I DONE'!$F$21="Lektor Kepala",'LAMPIRAN I DONE'!$F$21="Guru Besar"),1,"")))+(((I89*J89)-(10-SUMPRODUCT($I$87:I88,$J$87:J88)))*IF('LAMPIRAN I DONE'!$F$21="Tenaga Pengajar",0.25,IF(OR('LAMPIRAN I DONE'!$F$21="Asisten Ahli",'LAMPIRAN I DONE'!$F$21="Lektor",'LAMPIRAN I DONE'!$F$21="Lektor Kepala",'LAMPIRAN I DONE'!$F$21="Guru Besar"),0.5,"")))),IF(OR(AND(L89="sks&gt;10",L88="sks&gt;10"),AND(L89="sks&gt;10",L88="sks&lt;=10")),I89*J89*IF('LAMPIRAN I DONE'!$F$21="Tenaga Pengajar",0.25,IF(OR('LAMPIRAN I DONE'!$F$21="Asisten Ahli",'LAMPIRAN I DONE'!$F$21="Lektor",'LAMPIRAN I DONE'!$F$21="Lektor Kepala",'LAMPIRAN I DONE'!$F$21="Guru Besar"),0.5,"")),I89*J89*IF('LAMPIRAN I DONE'!$F$21="Tenaga Pengajar",0.5,IF(OR('LAMPIRAN I DONE'!$F$21="Asisten Ahli",'LAMPIRAN I DONE'!$F$21="Lektor",'LAMPIRAN I DONE'!$F$21="Lektor Kepala",'LAMPIRAN I DONE'!$F$21="Guru Besar"),1,""))))),"rumus")</f>
        <v>rumus</v>
      </c>
      <c r="L89" s="401" t="str">
        <f t="shared" si="33"/>
        <v>rumus</v>
      </c>
      <c r="M89" s="4"/>
      <c r="N89" s="4"/>
      <c r="O89" s="4"/>
      <c r="P89" s="4"/>
      <c r="Q89" s="4"/>
      <c r="R89" s="4"/>
      <c r="S89" s="4"/>
      <c r="T89" s="4"/>
      <c r="U89" s="4"/>
      <c r="V89" s="4"/>
      <c r="W89" s="4"/>
      <c r="X89" s="4"/>
      <c r="Y89" s="4"/>
      <c r="Z89" s="4"/>
    </row>
    <row r="90" spans="1:26" ht="25.5" customHeight="1" x14ac:dyDescent="0.25">
      <c r="A90" s="109">
        <v>3</v>
      </c>
      <c r="B90" s="397" t="s">
        <v>314</v>
      </c>
      <c r="C90" s="106" t="s">
        <v>334</v>
      </c>
      <c r="D90" s="106" t="str">
        <f t="shared" si="31"/>
        <v/>
      </c>
      <c r="E90" s="398" t="str">
        <f t="shared" si="32"/>
        <v/>
      </c>
      <c r="F90" s="398" t="str">
        <f>IF(K90&lt;&gt;"rumus",(IF(OR(AND(L90="sks&gt;10",L89="sks&lt;=10",IFERROR(SUMPRODUCT($I$87:I89,$J$87:J89)&lt;10,FALSE)),AND(L90="sks&gt;10",L89="")),((IF('LAMPIRAN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Besar"),0.5,"")))),((IF(OR(AND(L90="sks&gt;10",L89="sks&gt;10"),AND(L90="sks&gt;10",L89="sks&lt;=10")),IF('LAMPIRAN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90" s="398" t="str">
        <f>IF(K90&lt;&gt;"rumus",(IF(OR(AND(L90="sks&gt;10",L89="sks&lt;=10",IFERROR(SUMPRODUCT($I$87:I89,$J$87:J89)&lt;10,FALSE)),AND(L90="sks&gt;10",L89="")),(((10-SUMPRODUCT($I$87:I89,$J$87:J89))&amp;" x "&amp;1&amp;" x "&amp;IF('LAMPIRAN I DONE'!$F$21="Tenaga Pengajar",0.5,IF(OR('LAMPIRAN I DONE'!$F$21="Asisten Ahli",'LAMPIRAN I DONE'!$F$21="Lektor",'LAMPIRAN I DONE'!$F$21="Lektor Kepala",'LAMPIRAN I DONE'!$F$21="Guru Besar"),1,""))&amp;" = "&amp;((10-SUMPRODUCT($I$87:I89,$J$87:J89))*IF('LAMPIRAN I DONE'!$F$21="Tenaga Pengajar",0.5,IF(OR('LAMPIRAN I DONE'!$F$21="Asisten Ahli",'LAMPIRAN I DONE'!$F$21="Lektor",'LAMPIRAN I DONE'!$F$21="Lektor Kepala",'LAMPIRAN I DONE'!$F$21="Guru Besar"),1,""))))&amp;"
"&amp;(((I90*J90)-(10-SUMPRODUCT($I$87:I89,$J$87:J89)))&amp;" x "&amp;1&amp;" x "&amp;IF('LAMPIRAN I DONE'!$F$21="Tenaga Pengajar",0.25,IF(OR('LAMPIRAN I DONE'!$F$21="Asisten Ahli",'LAMPIRAN I DONE'!$F$21="Lektor",'LAMPIRAN I DONE'!$F$21="Lektor Kepala",'LAMPIRAN I DONE'!$F$21="Guru Besar"),0.5,""))&amp;" = "&amp;(((I90*J90)-(10-SUMPRODUCT($I$87:I89,$J$87:J89)))*IF('LAMPIRAN I DONE'!$F$21="Tenaga Pengajar",0.25,IF(OR('LAMPIRAN I DONE'!$F$21="Asisten Ahli",'LAMPIRAN I DONE'!$F$21="Lektor",'LAMPIRAN I DONE'!$F$21="Lektor Kepala",'LAMPIRAN I DONE'!$F$21="Guru Besar"),0.5,""))))),(I90&amp;" x "&amp;J90&amp;" x "&amp;(IF(OR(AND(L90="sks&gt;10",L89="sks&gt;10"),AND(L90="sks&gt;10",L89="sks&lt;=10")),IF('LAMPIRAN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"&amp;K90))),"rumus")</f>
        <v>rumus</v>
      </c>
      <c r="H90" s="106" t="s">
        <v>315</v>
      </c>
      <c r="I90" s="409"/>
      <c r="J90" s="409"/>
      <c r="K90" s="401" t="str">
        <f>IF(AND(I90&lt;&gt;"",J90&lt;&gt;""),(IF(OR(AND(L90="sks&gt;10",L89="sks&lt;=10",IFERROR(SUMPRODUCT($I$87:I89,$J$87:J89)&lt;10,FALSE)),AND(L90="sks&gt;10",L89="")),(((10-SUMPRODUCT($I$87:I89,$J$87:J89))*IF('LAMPIRAN I DONE'!$F$21="Tenaga Pengajar",0.5,IF(OR('LAMPIRAN I DONE'!$F$21="Asisten Ahli",'LAMPIRAN I DONE'!$F$21="Lektor",'LAMPIRAN I DONE'!$F$21="Lektor Kepala",'LAMPIRAN I DONE'!$F$21="Guru Besar"),1,"")))+(((I90*J90)-(10-SUMPRODUCT($I$87:I89,$J$87:J89)))*IF('LAMPIRAN I DONE'!$F$21="Tenaga Pengajar",0.25,IF(OR('LAMPIRAN I DONE'!$F$21="Asisten Ahli",'LAMPIRAN I DONE'!$F$21="Lektor",'LAMPIRAN I DONE'!$F$21="Lektor Kepala",'LAMPIRAN I DONE'!$F$21="Guru Besar"),0.5,"")))),IF(OR(AND(L90="sks&gt;10",L89="sks&gt;10"),AND(L90="sks&gt;10",L89="sks&lt;=10")),I90*J90*IF('LAMPIRAN I DONE'!$F$21="Tenaga Pengajar",0.25,IF(OR('LAMPIRAN I DONE'!$F$21="Asisten Ahli",'LAMPIRAN I DONE'!$F$21="Lektor",'LAMPIRAN I DONE'!$F$21="Lektor Kepala",'LAMPIRAN I DONE'!$F$21="Guru Besar"),0.5,"")),I90*J90*IF('LAMPIRAN I DONE'!$F$21="Tenaga Pengajar",0.5,IF(OR('LAMPIRAN I DONE'!$F$21="Asisten Ahli",'LAMPIRAN I DONE'!$F$21="Lektor",'LAMPIRAN I DONE'!$F$21="Lektor Kepala",'LAMPIRAN I DONE'!$F$21="Guru Besar"),1,""))))),"rumus")</f>
        <v>rumus</v>
      </c>
      <c r="L90" s="401" t="str">
        <f t="shared" si="33"/>
        <v>rumus</v>
      </c>
      <c r="M90" s="4"/>
      <c r="N90" s="4"/>
      <c r="O90" s="4"/>
      <c r="P90" s="4"/>
      <c r="Q90" s="4"/>
      <c r="R90" s="4"/>
      <c r="S90" s="4"/>
      <c r="T90" s="4"/>
      <c r="U90" s="4"/>
      <c r="V90" s="4"/>
      <c r="W90" s="4"/>
      <c r="X90" s="4"/>
      <c r="Y90" s="4"/>
      <c r="Z90" s="4"/>
    </row>
    <row r="91" spans="1:26" ht="25.5" customHeight="1" x14ac:dyDescent="0.25">
      <c r="A91" s="109">
        <v>4</v>
      </c>
      <c r="B91" s="397" t="s">
        <v>314</v>
      </c>
      <c r="C91" s="106" t="s">
        <v>334</v>
      </c>
      <c r="D91" s="106" t="str">
        <f t="shared" si="31"/>
        <v/>
      </c>
      <c r="E91" s="398" t="str">
        <f t="shared" si="32"/>
        <v/>
      </c>
      <c r="F91" s="398" t="str">
        <f>IF(K91&lt;&gt;"rumus",(IF(OR(AND(L91="sks&gt;10",L90="sks&lt;=10",IFERROR(SUMPRODUCT($I$87:I90,$J$87:J90)&lt;10,FALSE)),AND(L91="sks&gt;10",L90="")),((IF('LAMPIRAN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Besar"),0.5,"")))),((IF(OR(AND(L91="sks&gt;10",L90="sks&gt;10"),AND(L91="sks&gt;10",L90="sks&lt;=10")),IF('LAMPIRAN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91" s="398" t="str">
        <f>IF(K91&lt;&gt;"rumus",(IF(OR(AND(L91="sks&gt;10",L90="sks&lt;=10",IFERROR(SUMPRODUCT($I$87:I90,$J$87:J90)&lt;10,FALSE)),AND(L91="sks&gt;10",L90="")),(((10-SUMPRODUCT($I$87:I90,$J$87:J90))&amp;" x "&amp;1&amp;" x "&amp;IF('LAMPIRAN I DONE'!$F$21="Tenaga Pengajar",0.5,IF(OR('LAMPIRAN I DONE'!$F$21="Asisten Ahli",'LAMPIRAN I DONE'!$F$21="Lektor",'LAMPIRAN I DONE'!$F$21="Lektor Kepala",'LAMPIRAN I DONE'!$F$21="Guru Besar"),1,""))&amp;" = "&amp;((10-SUMPRODUCT($I$87:I90,$J$87:J90))*IF('LAMPIRAN I DONE'!$F$21="Tenaga Pengajar",0.5,IF(OR('LAMPIRAN I DONE'!$F$21="Asisten Ahli",'LAMPIRAN I DONE'!$F$21="Lektor",'LAMPIRAN I DONE'!$F$21="Lektor Kepala",'LAMPIRAN I DONE'!$F$21="Guru Besar"),1,""))))&amp;"
"&amp;(((I91*J91)-(10-SUMPRODUCT($I$87:I90,$J$87:J90)))&amp;" x "&amp;1&amp;" x "&amp;IF('LAMPIRAN I DONE'!$F$21="Tenaga Pengajar",0.25,IF(OR('LAMPIRAN I DONE'!$F$21="Asisten Ahli",'LAMPIRAN I DONE'!$F$21="Lektor",'LAMPIRAN I DONE'!$F$21="Lektor Kepala",'LAMPIRAN I DONE'!$F$21="Guru Besar"),0.5,""))&amp;" = "&amp;(((I91*J91)-(10-SUMPRODUCT($I$87:I90,$J$87:J90)))*IF('LAMPIRAN I DONE'!$F$21="Tenaga Pengajar",0.25,IF(OR('LAMPIRAN I DONE'!$F$21="Asisten Ahli",'LAMPIRAN I DONE'!$F$21="Lektor",'LAMPIRAN I DONE'!$F$21="Lektor Kepala",'LAMPIRAN I DONE'!$F$21="Guru Besar"),0.5,""))))),(I91&amp;" x "&amp;J91&amp;" x "&amp;(IF(OR(AND(L91="sks&gt;10",L90="sks&gt;10"),AND(L91="sks&gt;10",L90="sks&lt;=10")),IF('LAMPIRAN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"&amp;K91))),"rumus")</f>
        <v>rumus</v>
      </c>
      <c r="H91" s="106" t="s">
        <v>315</v>
      </c>
      <c r="I91" s="409"/>
      <c r="J91" s="409"/>
      <c r="K91" s="401" t="str">
        <f>IF(AND(I91&lt;&gt;"",J91&lt;&gt;""),(IF(OR(AND(L91="sks&gt;10",L90="sks&lt;=10",IFERROR(SUMPRODUCT($I$87:I90,$J$87:J90)&lt;10,FALSE)),AND(L91="sks&gt;10",L90="")),(((10-SUMPRODUCT($I$87:I90,$J$87:J90))*IF('LAMPIRAN I DONE'!$F$21="Tenaga Pengajar",0.5,IF(OR('LAMPIRAN I DONE'!$F$21="Asisten Ahli",'LAMPIRAN I DONE'!$F$21="Lektor",'LAMPIRAN I DONE'!$F$21="Lektor Kepala",'LAMPIRAN I DONE'!$F$21="Guru Besar"),1,"")))+(((I91*J91)-(10-SUMPRODUCT($I$87:I90,$J$87:J90)))*IF('LAMPIRAN I DONE'!$F$21="Tenaga Pengajar",0.25,IF(OR('LAMPIRAN I DONE'!$F$21="Asisten Ahli",'LAMPIRAN I DONE'!$F$21="Lektor",'LAMPIRAN I DONE'!$F$21="Lektor Kepala",'LAMPIRAN I DONE'!$F$21="Guru Besar"),0.5,"")))),IF(OR(AND(L91="sks&gt;10",L90="sks&gt;10"),AND(L91="sks&gt;10",L90="sks&lt;=10")),I91*J91*IF('LAMPIRAN I DONE'!$F$21="Tenaga Pengajar",0.25,IF(OR('LAMPIRAN I DONE'!$F$21="Asisten Ahli",'LAMPIRAN I DONE'!$F$21="Lektor",'LAMPIRAN I DONE'!$F$21="Lektor Kepala",'LAMPIRAN I DONE'!$F$21="Guru Besar"),0.5,"")),I91*J91*IF('LAMPIRAN I DONE'!$F$21="Tenaga Pengajar",0.5,IF(OR('LAMPIRAN I DONE'!$F$21="Asisten Ahli",'LAMPIRAN I DONE'!$F$21="Lektor",'LAMPIRAN I DONE'!$F$21="Lektor Kepala",'LAMPIRAN I DONE'!$F$21="Guru Besar"),1,""))))),"rumus")</f>
        <v>rumus</v>
      </c>
      <c r="L91" s="401" t="str">
        <f t="shared" si="33"/>
        <v>rumus</v>
      </c>
      <c r="M91" s="4"/>
      <c r="N91" s="4"/>
      <c r="O91" s="4"/>
      <c r="P91" s="4"/>
      <c r="Q91" s="4"/>
      <c r="R91" s="4"/>
      <c r="S91" s="4"/>
      <c r="T91" s="4"/>
      <c r="U91" s="4"/>
      <c r="V91" s="4"/>
      <c r="W91" s="4"/>
      <c r="X91" s="4"/>
      <c r="Y91" s="4"/>
      <c r="Z91" s="4"/>
    </row>
    <row r="92" spans="1:26" ht="25.5" customHeight="1" x14ac:dyDescent="0.25">
      <c r="A92" s="109">
        <v>5</v>
      </c>
      <c r="B92" s="397" t="s">
        <v>314</v>
      </c>
      <c r="C92" s="106" t="s">
        <v>334</v>
      </c>
      <c r="D92" s="106" t="str">
        <f t="shared" si="31"/>
        <v/>
      </c>
      <c r="E92" s="398" t="str">
        <f t="shared" si="32"/>
        <v/>
      </c>
      <c r="F92" s="398" t="str">
        <f>IF(K92&lt;&gt;"rumus",(IF(OR(AND(L92="sks&gt;10",L91="sks&lt;=10",IFERROR(SUMPRODUCT($I$87:I91,$J$87:J91)&lt;10,FALSE)),AND(L92="sks&gt;10",L91="")),((IF('LAMPIRAN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Besar"),0.5,"")))),((IF(OR(AND(L92="sks&gt;10",L91="sks&gt;10"),AND(L92="sks&gt;10",L91="sks&lt;=10")),IF('LAMPIRAN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92" s="398" t="str">
        <f>IF(K92&lt;&gt;"rumus",(IF(OR(AND(L92="sks&gt;10",L91="sks&lt;=10",IFERROR(SUMPRODUCT($I$87:I91,$J$87:J91)&lt;10,FALSE)),AND(L92="sks&gt;10",L91="")),(((10-SUMPRODUCT($I$87:I91,$J$87:J91))&amp;" x "&amp;1&amp;" x "&amp;IF('LAMPIRAN I DONE'!$F$21="Tenaga Pengajar",0.5,IF(OR('LAMPIRAN I DONE'!$F$21="Asisten Ahli",'LAMPIRAN I DONE'!$F$21="Lektor",'LAMPIRAN I DONE'!$F$21="Lektor Kepala",'LAMPIRAN I DONE'!$F$21="Guru Besar"),1,""))&amp;" = "&amp;((10-SUMPRODUCT($I$87:I91,$J$87:J91))*IF('LAMPIRAN I DONE'!$F$21="Tenaga Pengajar",0.5,IF(OR('LAMPIRAN I DONE'!$F$21="Asisten Ahli",'LAMPIRAN I DONE'!$F$21="Lektor",'LAMPIRAN I DONE'!$F$21="Lektor Kepala",'LAMPIRAN I DONE'!$F$21="Guru Besar"),1,""))))&amp;"
"&amp;(((I92*J92)-(10-SUMPRODUCT($I$87:I91,$J$87:J91)))&amp;" x "&amp;1&amp;" x "&amp;IF('LAMPIRAN I DONE'!$F$21="Tenaga Pengajar",0.25,IF(OR('LAMPIRAN I DONE'!$F$21="Asisten Ahli",'LAMPIRAN I DONE'!$F$21="Lektor",'LAMPIRAN I DONE'!$F$21="Lektor Kepala",'LAMPIRAN I DONE'!$F$21="Guru Besar"),0.5,""))&amp;" = "&amp;(((I92*J92)-(10-SUMPRODUCT($I$87:I91,$J$87:J91)))*IF('LAMPIRAN I DONE'!$F$21="Tenaga Pengajar",0.25,IF(OR('LAMPIRAN I DONE'!$F$21="Asisten Ahli",'LAMPIRAN I DONE'!$F$21="Lektor",'LAMPIRAN I DONE'!$F$21="Lektor Kepala",'LAMPIRAN I DONE'!$F$21="Guru Besar"),0.5,""))))),(I92&amp;" x "&amp;J92&amp;" x "&amp;(IF(OR(AND(L92="sks&gt;10",L91="sks&gt;10"),AND(L92="sks&gt;10",L91="sks&lt;=10")),IF('LAMPIRAN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"&amp;K92))),"rumus")</f>
        <v>rumus</v>
      </c>
      <c r="H92" s="106" t="s">
        <v>315</v>
      </c>
      <c r="I92" s="409"/>
      <c r="J92" s="409"/>
      <c r="K92" s="401" t="str">
        <f>IF(AND(I92&lt;&gt;"",J92&lt;&gt;""),(IF(OR(AND(L92="sks&gt;10",L91="sks&lt;=10",IFERROR(SUMPRODUCT($I$87:I91,$J$87:J91)&lt;10,FALSE)),AND(L92="sks&gt;10",L91="")),(((10-SUMPRODUCT($I$87:I91,$J$87:J91))*IF('LAMPIRAN I DONE'!$F$21="Tenaga Pengajar",0.5,IF(OR('LAMPIRAN I DONE'!$F$21="Asisten Ahli",'LAMPIRAN I DONE'!$F$21="Lektor",'LAMPIRAN I DONE'!$F$21="Lektor Kepala",'LAMPIRAN I DONE'!$F$21="Guru Besar"),1,"")))+(((I92*J92)-(10-SUMPRODUCT($I$87:I91,$J$87:J91)))*IF('LAMPIRAN I DONE'!$F$21="Tenaga Pengajar",0.25,IF(OR('LAMPIRAN I DONE'!$F$21="Asisten Ahli",'LAMPIRAN I DONE'!$F$21="Lektor",'LAMPIRAN I DONE'!$F$21="Lektor Kepala",'LAMPIRAN I DONE'!$F$21="Guru Besar"),0.5,"")))),IF(OR(AND(L92="sks&gt;10",L91="sks&gt;10"),AND(L92="sks&gt;10",L91="sks&lt;=10")),I92*J92*IF('LAMPIRAN I DONE'!$F$21="Tenaga Pengajar",0.25,IF(OR('LAMPIRAN I DONE'!$F$21="Asisten Ahli",'LAMPIRAN I DONE'!$F$21="Lektor",'LAMPIRAN I DONE'!$F$21="Lektor Kepala",'LAMPIRAN I DONE'!$F$21="Guru Besar"),0.5,"")),I92*J92*IF('LAMPIRAN I DONE'!$F$21="Tenaga Pengajar",0.5,IF(OR('LAMPIRAN I DONE'!$F$21="Asisten Ahli",'LAMPIRAN I DONE'!$F$21="Lektor",'LAMPIRAN I DONE'!$F$21="Lektor Kepala",'LAMPIRAN I DONE'!$F$21="Guru Besar"),1,""))))),"rumus")</f>
        <v>rumus</v>
      </c>
      <c r="L92" s="401" t="str">
        <f t="shared" si="33"/>
        <v>rumus</v>
      </c>
      <c r="M92" s="4"/>
      <c r="N92" s="4"/>
      <c r="O92" s="4"/>
      <c r="P92" s="4"/>
      <c r="Q92" s="4"/>
      <c r="R92" s="4"/>
      <c r="S92" s="4"/>
      <c r="T92" s="4"/>
      <c r="U92" s="4"/>
      <c r="V92" s="4"/>
      <c r="W92" s="4"/>
      <c r="X92" s="4"/>
      <c r="Y92" s="4"/>
      <c r="Z92" s="4"/>
    </row>
    <row r="93" spans="1:26" ht="25.5" customHeight="1" x14ac:dyDescent="0.25">
      <c r="A93" s="109">
        <v>6</v>
      </c>
      <c r="B93" s="397" t="s">
        <v>314</v>
      </c>
      <c r="C93" s="106" t="s">
        <v>334</v>
      </c>
      <c r="D93" s="106" t="str">
        <f t="shared" si="31"/>
        <v/>
      </c>
      <c r="E93" s="398" t="str">
        <f t="shared" si="32"/>
        <v/>
      </c>
      <c r="F93" s="398" t="str">
        <f>IF(K93&lt;&gt;"rumus",(IF(OR(AND(L93="sks&gt;10",L92="sks&lt;=10",IFERROR(SUMPRODUCT($I$87:I92,$J$87:J92)&lt;10,FALSE)),AND(L93="sks&gt;10",L92="")),((IF('LAMPIRAN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Besar"),0.5,"")))),((IF(OR(AND(L93="sks&gt;10",L92="sks&gt;10"),AND(L93="sks&gt;10",L92="sks&lt;=10")),IF('LAMPIRAN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93" s="398" t="str">
        <f>IF(K93&lt;&gt;"rumus",(IF(OR(AND(L93="sks&gt;10",L92="sks&lt;=10",IFERROR(SUMPRODUCT($I$87:I92,$J$87:J92)&lt;10,FALSE)),AND(L93="sks&gt;10",L92="")),(((10-SUMPRODUCT($I$87:I92,$J$87:J92))&amp;" x "&amp;1&amp;" x "&amp;IF('LAMPIRAN I DONE'!$F$21="Tenaga Pengajar",0.5,IF(OR('LAMPIRAN I DONE'!$F$21="Asisten Ahli",'LAMPIRAN I DONE'!$F$21="Lektor",'LAMPIRAN I DONE'!$F$21="Lektor Kepala",'LAMPIRAN I DONE'!$F$21="Guru Besar"),1,""))&amp;" = "&amp;((10-SUMPRODUCT($I$87:I92,$J$87:J92))*IF('LAMPIRAN I DONE'!$F$21="Tenaga Pengajar",0.5,IF(OR('LAMPIRAN I DONE'!$F$21="Asisten Ahli",'LAMPIRAN I DONE'!$F$21="Lektor",'LAMPIRAN I DONE'!$F$21="Lektor Kepala",'LAMPIRAN I DONE'!$F$21="Guru Besar"),1,""))))&amp;"
"&amp;(((I93*J93)-(10-SUMPRODUCT($I$87:I92,$J$87:J92)))&amp;" x "&amp;1&amp;" x "&amp;IF('LAMPIRAN I DONE'!$F$21="Tenaga Pengajar",0.25,IF(OR('LAMPIRAN I DONE'!$F$21="Asisten Ahli",'LAMPIRAN I DONE'!$F$21="Lektor",'LAMPIRAN I DONE'!$F$21="Lektor Kepala",'LAMPIRAN I DONE'!$F$21="Guru Besar"),0.5,""))&amp;" = "&amp;(((I93*J93)-(10-SUMPRODUCT($I$87:I92,$J$87:J92)))*IF('LAMPIRAN I DONE'!$F$21="Tenaga Pengajar",0.25,IF(OR('LAMPIRAN I DONE'!$F$21="Asisten Ahli",'LAMPIRAN I DONE'!$F$21="Lektor",'LAMPIRAN I DONE'!$F$21="Lektor Kepala",'LAMPIRAN I DONE'!$F$21="Guru Besar"),0.5,""))))),(I93&amp;" x "&amp;J93&amp;" x "&amp;(IF(OR(AND(L93="sks&gt;10",L92="sks&gt;10"),AND(L93="sks&gt;10",L92="sks&lt;=10")),IF('LAMPIRAN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"&amp;K93))),"rumus")</f>
        <v>rumus</v>
      </c>
      <c r="H93" s="106" t="s">
        <v>315</v>
      </c>
      <c r="I93" s="409"/>
      <c r="J93" s="409"/>
      <c r="K93" s="401" t="str">
        <f>IF(AND(I93&lt;&gt;"",J93&lt;&gt;""),(IF(OR(AND(L93="sks&gt;10",L92="sks&lt;=10",IFERROR(SUMPRODUCT($I$87:I92,$J$87:J92)&lt;10,FALSE)),AND(L93="sks&gt;10",L92="")),(((10-SUMPRODUCT($I$87:I92,$J$87:J92))*IF('LAMPIRAN I DONE'!$F$21="Tenaga Pengajar",0.5,IF(OR('LAMPIRAN I DONE'!$F$21="Asisten Ahli",'LAMPIRAN I DONE'!$F$21="Lektor",'LAMPIRAN I DONE'!$F$21="Lektor Kepala",'LAMPIRAN I DONE'!$F$21="Guru Besar"),1,"")))+(((I93*J93)-(10-SUMPRODUCT($I$87:I92,$J$87:J92)))*IF('LAMPIRAN I DONE'!$F$21="Tenaga Pengajar",0.25,IF(OR('LAMPIRAN I DONE'!$F$21="Asisten Ahli",'LAMPIRAN I DONE'!$F$21="Lektor",'LAMPIRAN I DONE'!$F$21="Lektor Kepala",'LAMPIRAN I DONE'!$F$21="Guru Besar"),0.5,"")))),IF(OR(AND(L93="sks&gt;10",L92="sks&gt;10"),AND(L93="sks&gt;10",L92="sks&lt;=10")),I93*J93*IF('LAMPIRAN I DONE'!$F$21="Tenaga Pengajar",0.25,IF(OR('LAMPIRAN I DONE'!$F$21="Asisten Ahli",'LAMPIRAN I DONE'!$F$21="Lektor",'LAMPIRAN I DONE'!$F$21="Lektor Kepala",'LAMPIRAN I DONE'!$F$21="Guru Besar"),0.5,"")),I93*J93*IF('LAMPIRAN I DONE'!$F$21="Tenaga Pengajar",0.5,IF(OR('LAMPIRAN I DONE'!$F$21="Asisten Ahli",'LAMPIRAN I DONE'!$F$21="Lektor",'LAMPIRAN I DONE'!$F$21="Lektor Kepala",'LAMPIRAN I DONE'!$F$21="Guru Besar"),1,""))))),"rumus")</f>
        <v>rumus</v>
      </c>
      <c r="L93" s="401" t="str">
        <f t="shared" si="33"/>
        <v>rumus</v>
      </c>
      <c r="M93" s="4"/>
      <c r="N93" s="4"/>
      <c r="O93" s="4"/>
      <c r="P93" s="4"/>
      <c r="Q93" s="4"/>
      <c r="R93" s="4"/>
      <c r="S93" s="4"/>
      <c r="T93" s="4"/>
      <c r="U93" s="4"/>
      <c r="V93" s="4"/>
      <c r="W93" s="4"/>
      <c r="X93" s="4"/>
      <c r="Y93" s="4"/>
      <c r="Z93" s="4"/>
    </row>
    <row r="94" spans="1:26" ht="15" customHeight="1" x14ac:dyDescent="0.25">
      <c r="A94" s="109"/>
      <c r="B94" s="406" t="str">
        <f>"a. Semester Gasal "&amp;IF(C95&lt;&gt;"",C95,"")&amp;" :"</f>
        <v>a. Semester Gasal 2020/2021 :</v>
      </c>
      <c r="C94" s="407"/>
      <c r="D94" s="410"/>
      <c r="E94" s="410"/>
      <c r="F94" s="410"/>
      <c r="G94" s="410"/>
      <c r="H94" s="411"/>
      <c r="I94" s="110"/>
      <c r="J94" s="110"/>
      <c r="K94" s="4"/>
      <c r="L94" s="4"/>
      <c r="M94" s="111">
        <f>IF((AND(N94="Max 5,5",SUM(K88:K93)&lt;=5.5)),SUM(K88:K93),IF((AND(N94="Max 5,5",SUM(K88:K93)&gt;5.5)),5.5,IF((AND(N94="Max 11",SUM(K88:K93)&lt;=11)),SUM(K88:K93),IF((AND(N94="Max 11",SUM(K88:K93)&gt;11)),11,""))))</f>
        <v>8</v>
      </c>
      <c r="N94" s="103" t="str">
        <f>IF('LAMPIRAN I DONE'!$F$21="Tenaga Pengajar","Max 5,5",IF(OR('LAMPIRAN I DONE'!$F$21="Asisten Ahli",'LAMPIRAN I DONE'!$F$21="Lektor",'LAMPIRAN I DONE'!$F$21="Lektor Kepala",'LAMPIRAN I DONE'!$F$21="Guru Besar"),"Max 11",""))</f>
        <v>Max 11</v>
      </c>
      <c r="O94" s="4"/>
      <c r="P94" s="4"/>
      <c r="Q94" s="4"/>
      <c r="R94" s="4"/>
      <c r="S94" s="4"/>
      <c r="T94" s="4"/>
      <c r="U94" s="4"/>
      <c r="V94" s="4"/>
      <c r="W94" s="4"/>
      <c r="X94" s="4"/>
      <c r="Y94" s="4"/>
      <c r="Z94" s="4"/>
    </row>
    <row r="95" spans="1:26" ht="25.5" customHeight="1" x14ac:dyDescent="0.25">
      <c r="A95" s="109">
        <v>1</v>
      </c>
      <c r="B95" s="570" t="s">
        <v>336</v>
      </c>
      <c r="C95" s="106" t="s">
        <v>337</v>
      </c>
      <c r="D95" s="106" t="str">
        <f t="shared" ref="D95:D100" si="34">IF(G95&lt;&gt;"rumus","SKS","")</f>
        <v>SKS</v>
      </c>
      <c r="E95" s="398" t="str">
        <f t="shared" ref="E95:E100" si="35">IF(K95&lt;&gt;"rumus",(IF(OR(AND(L95="sks&gt;10",L94="sks&lt;=10",IFERROR(SUMPRODUCT($I$94:I94,$J$94:J94)&lt;10,FALSE)),AND(L95="sks&gt;10",L94="")),(((10-SUMPRODUCT($I$94:I94,$J$94:J94))&amp;" x "&amp;1)&amp;"
"&amp;(((I95*J95)-(10-SUMPRODUCT($I$94:I94,$J$94:J94)))&amp;" x "&amp;1)),(I95&amp;" x "&amp;J95))),"")</f>
        <v>4 x 1</v>
      </c>
      <c r="F95" s="398">
        <f>IF(K95&lt;&gt;"rumus",(IF(OR(AND(L95="sks&gt;10",L94="sks&lt;=10",IFERROR(SUMPRODUCT($I$94:I94,$J$94:J94)&lt;10,FALSE)),AND(L95="sks&gt;10",L94="")),((IF('LAMPIRAN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Besar"),0.5,"")))),((IF(OR(AND(L95="sks&gt;10",L94="sks&gt;10"),AND(L95="sks&gt;10",L94="sks&lt;=10")),IF('LAMPIRAN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95" s="398" t="str">
        <f>IF(K95&lt;&gt;"rumus",(IF(OR(AND(L95="sks&gt;10",L94="sks&lt;=10",IFERROR(SUMPRODUCT($I$94:I94,$J$94:J94)&lt;10,FALSE)),AND(L95="sks&gt;10",L94="")),(((10-SUMPRODUCT($I$94:I94,$J$94:J94))&amp;" x "&amp;1&amp;" x "&amp;IF('LAMPIRAN I DONE'!$F$21="Tenaga Pengajar",0.5,IF(OR('LAMPIRAN I DONE'!$F$21="Asisten Ahli",'LAMPIRAN I DONE'!$F$21="Lektor",'LAMPIRAN I DONE'!$F$21="Lektor Kepala",'LAMPIRAN I DONE'!$F$21="Guru Besar"),1,""))&amp;" = "&amp;((10-SUMPRODUCT($I$94:I94,$J$94:J94))*IF('LAMPIRAN I DONE'!$F$21="Tenaga Pengajar",0.5,IF(OR('LAMPIRAN I DONE'!$F$21="Asisten Ahli",'LAMPIRAN I DONE'!$F$21="Lektor",'LAMPIRAN I DONE'!$F$21="Lektor Kepala",'LAMPIRAN I DONE'!$F$21="Guru Besar"),1,""))))&amp;"
"&amp;(((I95*J95)-(10-SUMPRODUCT($I$94:I94,$J$94:J94)))&amp;" x "&amp;1&amp;" x "&amp;IF('LAMPIRAN I DONE'!$F$21="Tenaga Pengajar",0.25,IF(OR('LAMPIRAN I DONE'!$F$21="Asisten Ahli",'LAMPIRAN I DONE'!$F$21="Lektor",'LAMPIRAN I DONE'!$F$21="Lektor Kepala",'LAMPIRAN I DONE'!$F$21="Guru Besar"),0.5,""))&amp;" = "&amp;(((I95*J95)-(10-SUMPRODUCT($I$94:I94,$J$94:J94)))*IF('LAMPIRAN I DONE'!$F$21="Tenaga Pengajar",0.25,IF(OR('LAMPIRAN I DONE'!$F$21="Asisten Ahli",'LAMPIRAN I DONE'!$F$21="Lektor",'LAMPIRAN I DONE'!$F$21="Lektor Kepala",'LAMPIRAN I DONE'!$F$21="Guru Besar"),0.5,""))))),(I95&amp;" x "&amp;J95&amp;" x "&amp;(IF(OR(AND(L95="sks&gt;10",L94="sks&gt;10"),AND(L95="sks&gt;10",L94="sks&lt;=10")),IF('LAMPIRAN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"&amp;K95))),"rumus")</f>
        <v>4 x 1 x 1 = 4</v>
      </c>
      <c r="H95" s="106" t="s">
        <v>338</v>
      </c>
      <c r="I95" s="409">
        <v>4</v>
      </c>
      <c r="J95" s="409">
        <v>1</v>
      </c>
      <c r="K95" s="401">
        <f>IF(AND(I95&lt;&gt;"",J95&lt;&gt;""),(IF(OR(AND(L95="sks&gt;10",L94="sks&lt;=10",IFERROR(SUMPRODUCT($I$94:I94,$J$94:J94)&lt;10,FALSE)),AND(L95="sks&gt;10",L94="")),(((10-SUMPRODUCT($I$94:I94,$J$94:J94))*IF('LAMPIRAN I DONE'!$F$21="Tenaga Pengajar",0.5,IF(OR('LAMPIRAN I DONE'!$F$21="Asisten Ahli",'LAMPIRAN I DONE'!$F$21="Lektor",'LAMPIRAN I DONE'!$F$21="Lektor Kepala",'LAMPIRAN I DONE'!$F$21="Guru Besar"),1,"")))+(((I95*J95)-(10-SUMPRODUCT($I$94:I94,$J$94:J94)))*IF('LAMPIRAN I DONE'!$F$21="Tenaga Pengajar",0.25,IF(OR('LAMPIRAN I DONE'!$F$21="Asisten Ahli",'LAMPIRAN I DONE'!$F$21="Lektor",'LAMPIRAN I DONE'!$F$21="Lektor Kepala",'LAMPIRAN I DONE'!$F$21="Guru Besar"),0.5,"")))),IF(OR(AND(L95="sks&gt;10",L94="sks&gt;10"),AND(L95="sks&gt;10",L94="sks&lt;=10")),I95*J95*IF('LAMPIRAN I DONE'!$F$21="Tenaga Pengajar",0.25,IF(OR('LAMPIRAN I DONE'!$F$21="Asisten Ahli",'LAMPIRAN I DONE'!$F$21="Lektor",'LAMPIRAN I DONE'!$F$21="Lektor Kepala",'LAMPIRAN I DONE'!$F$21="Guru Besar"),0.5,"")),I95*J95*IF('LAMPIRAN I DONE'!$F$21="Tenaga Pengajar",0.5,IF(OR('LAMPIRAN I DONE'!$F$21="Asisten Ahli",'LAMPIRAN I DONE'!$F$21="Lektor",'LAMPIRAN I DONE'!$F$21="Lektor Kepala",'LAMPIRAN I DONE'!$F$21="Guru Besar"),1,""))))),"rumus")</f>
        <v>4</v>
      </c>
      <c r="L95" s="401" t="str">
        <f t="shared" ref="L95:L100" si="36">IF(AND(I95&lt;&gt;"",J95&lt;&gt;""),(IF(SUMPRODUCT($I$95:I95,$J$95:J95)&lt;=10,"SKS&lt;=10",IF(SUMPRODUCT($I$95:I95,$J$95:J95)&gt;10,"SKS&gt;10",""))),"rumus")</f>
        <v>SKS&lt;=10</v>
      </c>
      <c r="M95" s="4"/>
      <c r="N95" s="4"/>
      <c r="O95" s="4"/>
      <c r="P95" s="4"/>
      <c r="Q95" s="4"/>
      <c r="R95" s="4"/>
      <c r="S95" s="4"/>
      <c r="T95" s="4"/>
      <c r="U95" s="4"/>
      <c r="V95" s="4"/>
      <c r="W95" s="4"/>
      <c r="X95" s="4"/>
      <c r="Y95" s="4"/>
      <c r="Z95" s="4"/>
    </row>
    <row r="96" spans="1:26" ht="25.5" customHeight="1" x14ac:dyDescent="0.25">
      <c r="A96" s="109">
        <v>2</v>
      </c>
      <c r="B96" s="571" t="s">
        <v>339</v>
      </c>
      <c r="C96" s="106" t="s">
        <v>337</v>
      </c>
      <c r="D96" s="106" t="str">
        <f t="shared" si="34"/>
        <v>SKS</v>
      </c>
      <c r="E96" s="398" t="str">
        <f t="shared" si="35"/>
        <v>4 x 1</v>
      </c>
      <c r="F96" s="398">
        <f>IF(K96&lt;&gt;"rumus",(IF(OR(AND(L96="sks&gt;10",L95="sks&lt;=10",IFERROR(SUMPRODUCT($I$94:I95,$J$94:J95)&lt;10,FALSE)),AND(L96="sks&gt;10",L95="")),((IF('LAMPIRAN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Besar"),0.5,"")))),((IF(OR(AND(L96="sks&gt;10",L95="sks&gt;10"),AND(L96="sks&gt;10",L95="sks&lt;=10")),IF('LAMPIRAN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96" s="398" t="str">
        <f>IF(K96&lt;&gt;"rumus",(IF(OR(AND(L96="sks&gt;10",L95="sks&lt;=10",IFERROR(SUMPRODUCT($I$94:I95,$J$94:J95)&lt;10,FALSE)),AND(L96="sks&gt;10",L95="")),(((10-SUMPRODUCT($I$94:I95,$J$94:J95))&amp;" x "&amp;1&amp;" x "&amp;IF('LAMPIRAN I DONE'!$F$21="Tenaga Pengajar",0.5,IF(OR('LAMPIRAN I DONE'!$F$21="Asisten Ahli",'LAMPIRAN I DONE'!$F$21="Lektor",'LAMPIRAN I DONE'!$F$21="Lektor Kepala",'LAMPIRAN I DONE'!$F$21="Guru Besar"),1,""))&amp;" = "&amp;((10-SUMPRODUCT($I$94:I95,$J$94:J95))*IF('LAMPIRAN I DONE'!$F$21="Tenaga Pengajar",0.5,IF(OR('LAMPIRAN I DONE'!$F$21="Asisten Ahli",'LAMPIRAN I DONE'!$F$21="Lektor",'LAMPIRAN I DONE'!$F$21="Lektor Kepala",'LAMPIRAN I DONE'!$F$21="Guru Besar"),1,""))))&amp;"
"&amp;(((I96*J96)-(10-SUMPRODUCT($I$94:I95,$J$94:J95)))&amp;" x "&amp;1&amp;" x "&amp;IF('LAMPIRAN I DONE'!$F$21="Tenaga Pengajar",0.25,IF(OR('LAMPIRAN I DONE'!$F$21="Asisten Ahli",'LAMPIRAN I DONE'!$F$21="Lektor",'LAMPIRAN I DONE'!$F$21="Lektor Kepala",'LAMPIRAN I DONE'!$F$21="Guru Besar"),0.5,""))&amp;" = "&amp;(((I96*J96)-(10-SUMPRODUCT($I$94:I95,$J$94:J95)))*IF('LAMPIRAN I DONE'!$F$21="Tenaga Pengajar",0.25,IF(OR('LAMPIRAN I DONE'!$F$21="Asisten Ahli",'LAMPIRAN I DONE'!$F$21="Lektor",'LAMPIRAN I DONE'!$F$21="Lektor Kepala",'LAMPIRAN I DONE'!$F$21="Guru Besar"),0.5,""))))),(I96&amp;" x "&amp;J96&amp;" x "&amp;(IF(OR(AND(L96="sks&gt;10",L95="sks&gt;10"),AND(L96="sks&gt;10",L95="sks&lt;=10")),IF('LAMPIRAN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"&amp;K96))),"rumus")</f>
        <v>4 x 1 x 1 = 4</v>
      </c>
      <c r="H96" s="106" t="s">
        <v>338</v>
      </c>
      <c r="I96" s="409">
        <v>4</v>
      </c>
      <c r="J96" s="409">
        <v>1</v>
      </c>
      <c r="K96" s="401">
        <f>IF(AND(I96&lt;&gt;"",J96&lt;&gt;""),(IF(OR(AND(L96="sks&gt;10",L95="sks&lt;=10",IFERROR(SUMPRODUCT($I$94:I95,$J$94:J95)&lt;10,FALSE)),AND(L96="sks&gt;10",L95="")),(((10-SUMPRODUCT($I$94:I95,$J$94:J95))*IF('LAMPIRAN I DONE'!$F$21="Tenaga Pengajar",0.5,IF(OR('LAMPIRAN I DONE'!$F$21="Asisten Ahli",'LAMPIRAN I DONE'!$F$21="Lektor",'LAMPIRAN I DONE'!$F$21="Lektor Kepala",'LAMPIRAN I DONE'!$F$21="Guru Besar"),1,"")))+(((I96*J96)-(10-SUMPRODUCT($I$94:I95,$J$94:J95)))*IF('LAMPIRAN I DONE'!$F$21="Tenaga Pengajar",0.25,IF(OR('LAMPIRAN I DONE'!$F$21="Asisten Ahli",'LAMPIRAN I DONE'!$F$21="Lektor",'LAMPIRAN I DONE'!$F$21="Lektor Kepala",'LAMPIRAN I DONE'!$F$21="Guru Besar"),0.5,"")))),IF(OR(AND(L96="sks&gt;10",L95="sks&gt;10"),AND(L96="sks&gt;10",L95="sks&lt;=10")),I96*J96*IF('LAMPIRAN I DONE'!$F$21="Tenaga Pengajar",0.25,IF(OR('LAMPIRAN I DONE'!$F$21="Asisten Ahli",'LAMPIRAN I DONE'!$F$21="Lektor",'LAMPIRAN I DONE'!$F$21="Lektor Kepala",'LAMPIRAN I DONE'!$F$21="Guru Besar"),0.5,"")),I96*J96*IF('LAMPIRAN I DONE'!$F$21="Tenaga Pengajar",0.5,IF(OR('LAMPIRAN I DONE'!$F$21="Asisten Ahli",'LAMPIRAN I DONE'!$F$21="Lektor",'LAMPIRAN I DONE'!$F$21="Lektor Kepala",'LAMPIRAN I DONE'!$F$21="Guru Besar"),1,""))))),"rumus")</f>
        <v>4</v>
      </c>
      <c r="L96" s="401" t="str">
        <f t="shared" si="36"/>
        <v>SKS&lt;=10</v>
      </c>
      <c r="M96" s="4"/>
      <c r="N96" s="4"/>
      <c r="O96" s="4"/>
      <c r="P96" s="4"/>
      <c r="Q96" s="4"/>
      <c r="R96" s="4"/>
      <c r="S96" s="4"/>
      <c r="T96" s="4"/>
      <c r="U96" s="4"/>
      <c r="V96" s="4"/>
      <c r="W96" s="4"/>
      <c r="X96" s="4"/>
      <c r="Y96" s="4"/>
      <c r="Z96" s="4"/>
    </row>
    <row r="97" spans="1:26" ht="25.5" customHeight="1" x14ac:dyDescent="0.25">
      <c r="A97" s="109">
        <v>3</v>
      </c>
      <c r="B97" s="397" t="s">
        <v>314</v>
      </c>
      <c r="C97" s="106" t="s">
        <v>337</v>
      </c>
      <c r="D97" s="106" t="str">
        <f t="shared" si="34"/>
        <v/>
      </c>
      <c r="E97" s="398" t="str">
        <f t="shared" si="35"/>
        <v/>
      </c>
      <c r="F97" s="398" t="str">
        <f>IF(K97&lt;&gt;"rumus",(IF(OR(AND(L97="sks&gt;10",L96="sks&lt;=10",IFERROR(SUMPRODUCT($I$94:I96,$J$94:J96)&lt;10,FALSE)),AND(L97="sks&gt;10",L96="")),((IF('LAMPIRAN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Besar"),0.5,"")))),((IF(OR(AND(L97="sks&gt;10",L96="sks&gt;10"),AND(L97="sks&gt;10",L96="sks&lt;=10")),IF('LAMPIRAN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97" s="398" t="str">
        <f>IF(K97&lt;&gt;"rumus",(IF(OR(AND(L97="sks&gt;10",L96="sks&lt;=10",IFERROR(SUMPRODUCT($I$94:I96,$J$94:J96)&lt;10,FALSE)),AND(L97="sks&gt;10",L96="")),(((10-SUMPRODUCT($I$94:I96,$J$94:J96))&amp;" x "&amp;1&amp;" x "&amp;IF('LAMPIRAN I DONE'!$F$21="Tenaga Pengajar",0.5,IF(OR('LAMPIRAN I DONE'!$F$21="Asisten Ahli",'LAMPIRAN I DONE'!$F$21="Lektor",'LAMPIRAN I DONE'!$F$21="Lektor Kepala",'LAMPIRAN I DONE'!$F$21="Guru Besar"),1,""))&amp;" = "&amp;((10-SUMPRODUCT($I$94:I96,$J$94:J96))*IF('LAMPIRAN I DONE'!$F$21="Tenaga Pengajar",0.5,IF(OR('LAMPIRAN I DONE'!$F$21="Asisten Ahli",'LAMPIRAN I DONE'!$F$21="Lektor",'LAMPIRAN I DONE'!$F$21="Lektor Kepala",'LAMPIRAN I DONE'!$F$21="Guru Besar"),1,""))))&amp;"
"&amp;(((I97*J97)-(10-SUMPRODUCT($I$94:I96,$J$94:J96)))&amp;" x "&amp;1&amp;" x "&amp;IF('LAMPIRAN I DONE'!$F$21="Tenaga Pengajar",0.25,IF(OR('LAMPIRAN I DONE'!$F$21="Asisten Ahli",'LAMPIRAN I DONE'!$F$21="Lektor",'LAMPIRAN I DONE'!$F$21="Lektor Kepala",'LAMPIRAN I DONE'!$F$21="Guru Besar"),0.5,""))&amp;" = "&amp;(((I97*J97)-(10-SUMPRODUCT($I$94:I96,$J$94:J96)))*IF('LAMPIRAN I DONE'!$F$21="Tenaga Pengajar",0.25,IF(OR('LAMPIRAN I DONE'!$F$21="Asisten Ahli",'LAMPIRAN I DONE'!$F$21="Lektor",'LAMPIRAN I DONE'!$F$21="Lektor Kepala",'LAMPIRAN I DONE'!$F$21="Guru Besar"),0.5,""))))),(I97&amp;" x "&amp;J97&amp;" x "&amp;(IF(OR(AND(L97="sks&gt;10",L96="sks&gt;10"),AND(L97="sks&gt;10",L96="sks&lt;=10")),IF('LAMPIRAN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"&amp;K97))),"rumus")</f>
        <v>rumus</v>
      </c>
      <c r="H97" s="106" t="s">
        <v>315</v>
      </c>
      <c r="I97" s="409"/>
      <c r="J97" s="409"/>
      <c r="K97" s="401" t="str">
        <f>IF(AND(I97&lt;&gt;"",J97&lt;&gt;""),(IF(OR(AND(L97="sks&gt;10",L96="sks&lt;=10",IFERROR(SUMPRODUCT($I$94:I96,$J$94:J96)&lt;10,FALSE)),AND(L97="sks&gt;10",L96="")),(((10-SUMPRODUCT($I$94:I96,$J$94:J96))*IF('LAMPIRAN I DONE'!$F$21="Tenaga Pengajar",0.5,IF(OR('LAMPIRAN I DONE'!$F$21="Asisten Ahli",'LAMPIRAN I DONE'!$F$21="Lektor",'LAMPIRAN I DONE'!$F$21="Lektor Kepala",'LAMPIRAN I DONE'!$F$21="Guru Besar"),1,"")))+(((I97*J97)-(10-SUMPRODUCT($I$94:I96,$J$94:J96)))*IF('LAMPIRAN I DONE'!$F$21="Tenaga Pengajar",0.25,IF(OR('LAMPIRAN I DONE'!$F$21="Asisten Ahli",'LAMPIRAN I DONE'!$F$21="Lektor",'LAMPIRAN I DONE'!$F$21="Lektor Kepala",'LAMPIRAN I DONE'!$F$21="Guru Besar"),0.5,"")))),IF(OR(AND(L97="sks&gt;10",L96="sks&gt;10"),AND(L97="sks&gt;10",L96="sks&lt;=10")),I97*J97*IF('LAMPIRAN I DONE'!$F$21="Tenaga Pengajar",0.25,IF(OR('LAMPIRAN I DONE'!$F$21="Asisten Ahli",'LAMPIRAN I DONE'!$F$21="Lektor",'LAMPIRAN I DONE'!$F$21="Lektor Kepala",'LAMPIRAN I DONE'!$F$21="Guru Besar"),0.5,"")),I97*J97*IF('LAMPIRAN I DONE'!$F$21="Tenaga Pengajar",0.5,IF(OR('LAMPIRAN I DONE'!$F$21="Asisten Ahli",'LAMPIRAN I DONE'!$F$21="Lektor",'LAMPIRAN I DONE'!$F$21="Lektor Kepala",'LAMPIRAN I DONE'!$F$21="Guru Besar"),1,""))))),"rumus")</f>
        <v>rumus</v>
      </c>
      <c r="L97" s="401" t="str">
        <f t="shared" si="36"/>
        <v>rumus</v>
      </c>
      <c r="M97" s="4"/>
      <c r="N97" s="4"/>
      <c r="O97" s="4"/>
      <c r="P97" s="4"/>
      <c r="Q97" s="4"/>
      <c r="R97" s="4"/>
      <c r="S97" s="4"/>
      <c r="T97" s="4"/>
      <c r="U97" s="4"/>
      <c r="V97" s="4"/>
      <c r="W97" s="4"/>
      <c r="X97" s="4"/>
      <c r="Y97" s="4"/>
      <c r="Z97" s="4"/>
    </row>
    <row r="98" spans="1:26" ht="25.5" customHeight="1" x14ac:dyDescent="0.25">
      <c r="A98" s="109">
        <v>4</v>
      </c>
      <c r="B98" s="397" t="s">
        <v>314</v>
      </c>
      <c r="C98" s="106" t="s">
        <v>337</v>
      </c>
      <c r="D98" s="106" t="str">
        <f t="shared" si="34"/>
        <v/>
      </c>
      <c r="E98" s="398" t="str">
        <f t="shared" si="35"/>
        <v/>
      </c>
      <c r="F98" s="398" t="str">
        <f>IF(K98&lt;&gt;"rumus",(IF(OR(AND(L98="sks&gt;10",L97="sks&lt;=10",IFERROR(SUMPRODUCT($I$94:I97,$J$94:J97)&lt;10,FALSE)),AND(L98="sks&gt;10",L97="")),((IF('LAMPIRAN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Besar"),0.5,"")))),((IF(OR(AND(L98="sks&gt;10",L97="sks&gt;10"),AND(L98="sks&gt;10",L97="sks&lt;=10")),IF('LAMPIRAN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98" s="398" t="str">
        <f>IF(K98&lt;&gt;"rumus",(IF(OR(AND(L98="sks&gt;10",L97="sks&lt;=10",IFERROR(SUMPRODUCT($I$94:I97,$J$94:J97)&lt;10,FALSE)),AND(L98="sks&gt;10",L97="")),(((10-SUMPRODUCT($I$94:I97,$J$94:J97))&amp;" x "&amp;1&amp;" x "&amp;IF('LAMPIRAN I DONE'!$F$21="Tenaga Pengajar",0.5,IF(OR('LAMPIRAN I DONE'!$F$21="Asisten Ahli",'LAMPIRAN I DONE'!$F$21="Lektor",'LAMPIRAN I DONE'!$F$21="Lektor Kepala",'LAMPIRAN I DONE'!$F$21="Guru Besar"),1,""))&amp;" = "&amp;((10-SUMPRODUCT($I$94:I97,$J$94:J97))*IF('LAMPIRAN I DONE'!$F$21="Tenaga Pengajar",0.5,IF(OR('LAMPIRAN I DONE'!$F$21="Asisten Ahli",'LAMPIRAN I DONE'!$F$21="Lektor",'LAMPIRAN I DONE'!$F$21="Lektor Kepala",'LAMPIRAN I DONE'!$F$21="Guru Besar"),1,""))))&amp;"
"&amp;(((I98*J98)-(10-SUMPRODUCT($I$94:I97,$J$94:J97)))&amp;" x "&amp;1&amp;" x "&amp;IF('LAMPIRAN I DONE'!$F$21="Tenaga Pengajar",0.25,IF(OR('LAMPIRAN I DONE'!$F$21="Asisten Ahli",'LAMPIRAN I DONE'!$F$21="Lektor",'LAMPIRAN I DONE'!$F$21="Lektor Kepala",'LAMPIRAN I DONE'!$F$21="Guru Besar"),0.5,""))&amp;" = "&amp;(((I98*J98)-(10-SUMPRODUCT($I$94:I97,$J$94:J97)))*IF('LAMPIRAN I DONE'!$F$21="Tenaga Pengajar",0.25,IF(OR('LAMPIRAN I DONE'!$F$21="Asisten Ahli",'LAMPIRAN I DONE'!$F$21="Lektor",'LAMPIRAN I DONE'!$F$21="Lektor Kepala",'LAMPIRAN I DONE'!$F$21="Guru Besar"),0.5,""))))),(I98&amp;" x "&amp;J98&amp;" x "&amp;(IF(OR(AND(L98="sks&gt;10",L97="sks&gt;10"),AND(L98="sks&gt;10",L97="sks&lt;=10")),IF('LAMPIRAN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"&amp;K98))),"rumus")</f>
        <v>rumus</v>
      </c>
      <c r="H98" s="106" t="s">
        <v>315</v>
      </c>
      <c r="I98" s="409"/>
      <c r="J98" s="409"/>
      <c r="K98" s="401" t="str">
        <f>IF(AND(I98&lt;&gt;"",J98&lt;&gt;""),(IF(OR(AND(L98="sks&gt;10",L97="sks&lt;=10",IFERROR(SUMPRODUCT($I$94:I97,$J$94:J97)&lt;10,FALSE)),AND(L98="sks&gt;10",L97="")),(((10-SUMPRODUCT($I$94:I97,$J$94:J97))*IF('LAMPIRAN I DONE'!$F$21="Tenaga Pengajar",0.5,IF(OR('LAMPIRAN I DONE'!$F$21="Asisten Ahli",'LAMPIRAN I DONE'!$F$21="Lektor",'LAMPIRAN I DONE'!$F$21="Lektor Kepala",'LAMPIRAN I DONE'!$F$21="Guru Besar"),1,"")))+(((I98*J98)-(10-SUMPRODUCT($I$94:I97,$J$94:J97)))*IF('LAMPIRAN I DONE'!$F$21="Tenaga Pengajar",0.25,IF(OR('LAMPIRAN I DONE'!$F$21="Asisten Ahli",'LAMPIRAN I DONE'!$F$21="Lektor",'LAMPIRAN I DONE'!$F$21="Lektor Kepala",'LAMPIRAN I DONE'!$F$21="Guru Besar"),0.5,"")))),IF(OR(AND(L98="sks&gt;10",L97="sks&gt;10"),AND(L98="sks&gt;10",L97="sks&lt;=10")),I98*J98*IF('LAMPIRAN I DONE'!$F$21="Tenaga Pengajar",0.25,IF(OR('LAMPIRAN I DONE'!$F$21="Asisten Ahli",'LAMPIRAN I DONE'!$F$21="Lektor",'LAMPIRAN I DONE'!$F$21="Lektor Kepala",'LAMPIRAN I DONE'!$F$21="Guru Besar"),0.5,"")),I98*J98*IF('LAMPIRAN I DONE'!$F$21="Tenaga Pengajar",0.5,IF(OR('LAMPIRAN I DONE'!$F$21="Asisten Ahli",'LAMPIRAN I DONE'!$F$21="Lektor",'LAMPIRAN I DONE'!$F$21="Lektor Kepala",'LAMPIRAN I DONE'!$F$21="Guru Besar"),1,""))))),"rumus")</f>
        <v>rumus</v>
      </c>
      <c r="L98" s="401" t="str">
        <f t="shared" si="36"/>
        <v>rumus</v>
      </c>
      <c r="M98" s="4"/>
      <c r="N98" s="4"/>
      <c r="O98" s="4"/>
      <c r="P98" s="4"/>
      <c r="Q98" s="4"/>
      <c r="R98" s="4"/>
      <c r="S98" s="4"/>
      <c r="T98" s="4"/>
      <c r="U98" s="4"/>
      <c r="V98" s="4"/>
      <c r="W98" s="4"/>
      <c r="X98" s="4"/>
      <c r="Y98" s="4"/>
      <c r="Z98" s="4"/>
    </row>
    <row r="99" spans="1:26" ht="25.5" customHeight="1" x14ac:dyDescent="0.25">
      <c r="A99" s="109">
        <v>5</v>
      </c>
      <c r="B99" s="397" t="s">
        <v>314</v>
      </c>
      <c r="C99" s="106" t="s">
        <v>337</v>
      </c>
      <c r="D99" s="106" t="str">
        <f t="shared" si="34"/>
        <v/>
      </c>
      <c r="E99" s="398" t="str">
        <f t="shared" si="35"/>
        <v/>
      </c>
      <c r="F99" s="398" t="str">
        <f>IF(K99&lt;&gt;"rumus",(IF(OR(AND(L99="sks&gt;10",L98="sks&lt;=10",IFERROR(SUMPRODUCT($I$94:I98,$J$94:J98)&lt;10,FALSE)),AND(L99="sks&gt;10",L98="")),((IF('LAMPIRAN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Besar"),0.5,"")))),((IF(OR(AND(L99="sks&gt;10",L98="sks&gt;10"),AND(L99="sks&gt;10",L98="sks&lt;=10")),IF('LAMPIRAN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99" s="398" t="str">
        <f>IF(K99&lt;&gt;"rumus",(IF(OR(AND(L99="sks&gt;10",L98="sks&lt;=10",IFERROR(SUMPRODUCT($I$94:I98,$J$94:J98)&lt;10,FALSE)),AND(L99="sks&gt;10",L98="")),(((10-SUMPRODUCT($I$94:I98,$J$94:J98))&amp;" x "&amp;1&amp;" x "&amp;IF('LAMPIRAN I DONE'!$F$21="Tenaga Pengajar",0.5,IF(OR('LAMPIRAN I DONE'!$F$21="Asisten Ahli",'LAMPIRAN I DONE'!$F$21="Lektor",'LAMPIRAN I DONE'!$F$21="Lektor Kepala",'LAMPIRAN I DONE'!$F$21="Guru Besar"),1,""))&amp;" = "&amp;((10-SUMPRODUCT($I$94:I98,$J$94:J98))*IF('LAMPIRAN I DONE'!$F$21="Tenaga Pengajar",0.5,IF(OR('LAMPIRAN I DONE'!$F$21="Asisten Ahli",'LAMPIRAN I DONE'!$F$21="Lektor",'LAMPIRAN I DONE'!$F$21="Lektor Kepala",'LAMPIRAN I DONE'!$F$21="Guru Besar"),1,""))))&amp;"
"&amp;(((I99*J99)-(10-SUMPRODUCT($I$94:I98,$J$94:J98)))&amp;" x "&amp;1&amp;" x "&amp;IF('LAMPIRAN I DONE'!$F$21="Tenaga Pengajar",0.25,IF(OR('LAMPIRAN I DONE'!$F$21="Asisten Ahli",'LAMPIRAN I DONE'!$F$21="Lektor",'LAMPIRAN I DONE'!$F$21="Lektor Kepala",'LAMPIRAN I DONE'!$F$21="Guru Besar"),0.5,""))&amp;" = "&amp;(((I99*J99)-(10-SUMPRODUCT($I$94:I98,$J$94:J98)))*IF('LAMPIRAN I DONE'!$F$21="Tenaga Pengajar",0.25,IF(OR('LAMPIRAN I DONE'!$F$21="Asisten Ahli",'LAMPIRAN I DONE'!$F$21="Lektor",'LAMPIRAN I DONE'!$F$21="Lektor Kepala",'LAMPIRAN I DONE'!$F$21="Guru Besar"),0.5,""))))),(I99&amp;" x "&amp;J99&amp;" x "&amp;(IF(OR(AND(L99="sks&gt;10",L98="sks&gt;10"),AND(L99="sks&gt;10",L98="sks&lt;=10")),IF('LAMPIRAN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"&amp;K99))),"rumus")</f>
        <v>rumus</v>
      </c>
      <c r="H99" s="106" t="s">
        <v>315</v>
      </c>
      <c r="I99" s="409"/>
      <c r="J99" s="409"/>
      <c r="K99" s="401" t="str">
        <f>IF(AND(I99&lt;&gt;"",J99&lt;&gt;""),(IF(OR(AND(L99="sks&gt;10",L98="sks&lt;=10",IFERROR(SUMPRODUCT($I$94:I98,$J$94:J98)&lt;10,FALSE)),AND(L99="sks&gt;10",L98="")),(((10-SUMPRODUCT($I$94:I98,$J$94:J98))*IF('LAMPIRAN I DONE'!$F$21="Tenaga Pengajar",0.5,IF(OR('LAMPIRAN I DONE'!$F$21="Asisten Ahli",'LAMPIRAN I DONE'!$F$21="Lektor",'LAMPIRAN I DONE'!$F$21="Lektor Kepala",'LAMPIRAN I DONE'!$F$21="Guru Besar"),1,"")))+(((I99*J99)-(10-SUMPRODUCT($I$94:I98,$J$94:J98)))*IF('LAMPIRAN I DONE'!$F$21="Tenaga Pengajar",0.25,IF(OR('LAMPIRAN I DONE'!$F$21="Asisten Ahli",'LAMPIRAN I DONE'!$F$21="Lektor",'LAMPIRAN I DONE'!$F$21="Lektor Kepala",'LAMPIRAN I DONE'!$F$21="Guru Besar"),0.5,"")))),IF(OR(AND(L99="sks&gt;10",L98="sks&gt;10"),AND(L99="sks&gt;10",L98="sks&lt;=10")),I99*J99*IF('LAMPIRAN I DONE'!$F$21="Tenaga Pengajar",0.25,IF(OR('LAMPIRAN I DONE'!$F$21="Asisten Ahli",'LAMPIRAN I DONE'!$F$21="Lektor",'LAMPIRAN I DONE'!$F$21="Lektor Kepala",'LAMPIRAN I DONE'!$F$21="Guru Besar"),0.5,"")),I99*J99*IF('LAMPIRAN I DONE'!$F$21="Tenaga Pengajar",0.5,IF(OR('LAMPIRAN I DONE'!$F$21="Asisten Ahli",'LAMPIRAN I DONE'!$F$21="Lektor",'LAMPIRAN I DONE'!$F$21="Lektor Kepala",'LAMPIRAN I DONE'!$F$21="Guru Besar"),1,""))))),"rumus")</f>
        <v>rumus</v>
      </c>
      <c r="L99" s="401" t="str">
        <f t="shared" si="36"/>
        <v>rumus</v>
      </c>
      <c r="M99" s="4"/>
      <c r="N99" s="4"/>
      <c r="O99" s="4"/>
      <c r="P99" s="4"/>
      <c r="Q99" s="4"/>
      <c r="R99" s="4"/>
      <c r="S99" s="4"/>
      <c r="T99" s="4"/>
      <c r="U99" s="4"/>
      <c r="V99" s="4"/>
      <c r="W99" s="4"/>
      <c r="X99" s="4"/>
      <c r="Y99" s="4"/>
      <c r="Z99" s="4"/>
    </row>
    <row r="100" spans="1:26" ht="25.5" customHeight="1" x14ac:dyDescent="0.25">
      <c r="A100" s="109">
        <v>6</v>
      </c>
      <c r="B100" s="397" t="s">
        <v>314</v>
      </c>
      <c r="C100" s="106" t="s">
        <v>337</v>
      </c>
      <c r="D100" s="106" t="str">
        <f t="shared" si="34"/>
        <v/>
      </c>
      <c r="E100" s="398" t="str">
        <f t="shared" si="35"/>
        <v/>
      </c>
      <c r="F100" s="398" t="str">
        <f>IF(K100&lt;&gt;"rumus",(IF(OR(AND(L100="sks&gt;10",L99="sks&lt;=10",IFERROR(SUMPRODUCT($I$94:I99,$J$94:J99)&lt;10,FALSE)),AND(L100="sks&gt;10",L99="")),((IF('LAMPIRAN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Besar"),0.5,"")))),((IF(OR(AND(L100="sks&gt;10",L99="sks&gt;10"),AND(L100="sks&gt;10",L99="sks&lt;=10")),IF('LAMPIRAN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00" s="398" t="str">
        <f>IF(K100&lt;&gt;"rumus",(IF(OR(AND(L100="sks&gt;10",L99="sks&lt;=10",IFERROR(SUMPRODUCT($I$94:I99,$J$94:J99)&lt;10,FALSE)),AND(L100="sks&gt;10",L99="")),(((10-SUMPRODUCT($I$94:I99,$J$94:J99))&amp;" x "&amp;1&amp;" x "&amp;IF('LAMPIRAN I DONE'!$F$21="Tenaga Pengajar",0.5,IF(OR('LAMPIRAN I DONE'!$F$21="Asisten Ahli",'LAMPIRAN I DONE'!$F$21="Lektor",'LAMPIRAN I DONE'!$F$21="Lektor Kepala",'LAMPIRAN I DONE'!$F$21="Guru Besar"),1,""))&amp;" = "&amp;((10-SUMPRODUCT($I$94:I99,$J$94:J99))*IF('LAMPIRAN I DONE'!$F$21="Tenaga Pengajar",0.5,IF(OR('LAMPIRAN I DONE'!$F$21="Asisten Ahli",'LAMPIRAN I DONE'!$F$21="Lektor",'LAMPIRAN I DONE'!$F$21="Lektor Kepala",'LAMPIRAN I DONE'!$F$21="Guru Besar"),1,""))))&amp;"
"&amp;(((I100*J100)-(10-SUMPRODUCT($I$94:I99,$J$94:J99)))&amp;" x "&amp;1&amp;" x "&amp;IF('LAMPIRAN I DONE'!$F$21="Tenaga Pengajar",0.25,IF(OR('LAMPIRAN I DONE'!$F$21="Asisten Ahli",'LAMPIRAN I DONE'!$F$21="Lektor",'LAMPIRAN I DONE'!$F$21="Lektor Kepala",'LAMPIRAN I DONE'!$F$21="Guru Besar"),0.5,""))&amp;" = "&amp;(((I100*J100)-(10-SUMPRODUCT($I$94:I99,$J$94:J99)))*IF('LAMPIRAN I DONE'!$F$21="Tenaga Pengajar",0.25,IF(OR('LAMPIRAN I DONE'!$F$21="Asisten Ahli",'LAMPIRAN I DONE'!$F$21="Lektor",'LAMPIRAN I DONE'!$F$21="Lektor Kepala",'LAMPIRAN I DONE'!$F$21="Guru Besar"),0.5,""))))),(I100&amp;" x "&amp;J100&amp;" x "&amp;(IF(OR(AND(L100="sks&gt;10",L99="sks&gt;10"),AND(L100="sks&gt;10",L99="sks&lt;=10")),IF('LAMPIRAN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"&amp;K100))),"rumus")</f>
        <v>rumus</v>
      </c>
      <c r="H100" s="106" t="s">
        <v>315</v>
      </c>
      <c r="I100" s="409"/>
      <c r="J100" s="409"/>
      <c r="K100" s="401" t="str">
        <f>IF(AND(I100&lt;&gt;"",J100&lt;&gt;""),(IF(OR(AND(L100="sks&gt;10",L99="sks&lt;=10",IFERROR(SUMPRODUCT($I$94:I99,$J$94:J99)&lt;10,FALSE)),AND(L100="sks&gt;10",L99="")),(((10-SUMPRODUCT($I$94:I99,$J$94:J99))*IF('LAMPIRAN I DONE'!$F$21="Tenaga Pengajar",0.5,IF(OR('LAMPIRAN I DONE'!$F$21="Asisten Ahli",'LAMPIRAN I DONE'!$F$21="Lektor",'LAMPIRAN I DONE'!$F$21="Lektor Kepala",'LAMPIRAN I DONE'!$F$21="Guru Besar"),1,"")))+(((I100*J100)-(10-SUMPRODUCT($I$94:I99,$J$94:J99)))*IF('LAMPIRAN I DONE'!$F$21="Tenaga Pengajar",0.25,IF(OR('LAMPIRAN I DONE'!$F$21="Asisten Ahli",'LAMPIRAN I DONE'!$F$21="Lektor",'LAMPIRAN I DONE'!$F$21="Lektor Kepala",'LAMPIRAN I DONE'!$F$21="Guru Besar"),0.5,"")))),IF(OR(AND(L100="sks&gt;10",L99="sks&gt;10"),AND(L100="sks&gt;10",L99="sks&lt;=10")),I100*J100*IF('LAMPIRAN I DONE'!$F$21="Tenaga Pengajar",0.25,IF(OR('LAMPIRAN I DONE'!$F$21="Asisten Ahli",'LAMPIRAN I DONE'!$F$21="Lektor",'LAMPIRAN I DONE'!$F$21="Lektor Kepala",'LAMPIRAN I DONE'!$F$21="Guru Besar"),0.5,"")),I100*J100*IF('LAMPIRAN I DONE'!$F$21="Tenaga Pengajar",0.5,IF(OR('LAMPIRAN I DONE'!$F$21="Asisten Ahli",'LAMPIRAN I DONE'!$F$21="Lektor",'LAMPIRAN I DONE'!$F$21="Lektor Kepala",'LAMPIRAN I DONE'!$F$21="Guru Besar"),1,""))))),"rumus")</f>
        <v>rumus</v>
      </c>
      <c r="L100" s="401" t="str">
        <f t="shared" si="36"/>
        <v>rumus</v>
      </c>
      <c r="M100" s="4"/>
      <c r="N100" s="4"/>
      <c r="O100" s="4"/>
      <c r="P100" s="4"/>
      <c r="Q100" s="4"/>
      <c r="R100" s="4"/>
      <c r="S100" s="4"/>
      <c r="T100" s="4"/>
      <c r="U100" s="4"/>
      <c r="V100" s="4"/>
      <c r="W100" s="4"/>
      <c r="X100" s="4"/>
      <c r="Y100" s="4"/>
      <c r="Z100" s="4"/>
    </row>
    <row r="101" spans="1:26" ht="15" customHeight="1" x14ac:dyDescent="0.25">
      <c r="A101" s="109"/>
      <c r="B101" s="406" t="str">
        <f>"a. Semester Gasal "&amp;IF(C102&lt;&gt;"",C102,"")&amp;" :"</f>
        <v>a. Semester Gasal 2021/2022 :</v>
      </c>
      <c r="C101" s="407"/>
      <c r="D101" s="407"/>
      <c r="E101" s="407"/>
      <c r="F101" s="407"/>
      <c r="G101" s="407"/>
      <c r="H101" s="408"/>
      <c r="I101" s="110"/>
      <c r="J101" s="110"/>
      <c r="K101" s="4"/>
      <c r="L101" s="4"/>
      <c r="M101" s="111">
        <f>IF((AND(N101="Max 5,5",SUM(K95:K100)&lt;=5.5)),SUM(K95:K100),IF((AND(N101="Max 5,5",SUM(K95:K100)&gt;5.5)),5.5,IF((AND(N101="Max 11",SUM(K95:K100)&lt;=11)),SUM(K95:K100),IF((AND(N101="Max 11",SUM(K95:K100)&gt;11)),11,""))))</f>
        <v>8</v>
      </c>
      <c r="N101" s="103" t="str">
        <f>IF('LAMPIRAN I DONE'!$F$21="Tenaga Pengajar","Max 5,5",IF(OR('LAMPIRAN I DONE'!$F$21="Asisten Ahli",'LAMPIRAN I DONE'!$F$21="Lektor",'LAMPIRAN I DONE'!$F$21="Lektor Kepala",'LAMPIRAN I DONE'!$F$21="Guru Besar"),"Max 11",""))</f>
        <v>Max 11</v>
      </c>
      <c r="O101" s="4"/>
      <c r="P101" s="4"/>
      <c r="Q101" s="4"/>
      <c r="R101" s="4"/>
      <c r="S101" s="4"/>
      <c r="T101" s="4"/>
      <c r="U101" s="4"/>
      <c r="V101" s="4"/>
      <c r="W101" s="4"/>
      <c r="X101" s="4"/>
      <c r="Y101" s="4"/>
      <c r="Z101" s="4"/>
    </row>
    <row r="102" spans="1:26" ht="25.5" customHeight="1" x14ac:dyDescent="0.25">
      <c r="A102" s="109">
        <v>1</v>
      </c>
      <c r="B102" s="570" t="s">
        <v>340</v>
      </c>
      <c r="C102" s="106" t="s">
        <v>341</v>
      </c>
      <c r="D102" s="106" t="str">
        <f t="shared" ref="D102:D107" si="37">IF(G102&lt;&gt;"rumus","SKS","")</f>
        <v>SKS</v>
      </c>
      <c r="E102" s="398" t="str">
        <f t="shared" ref="E102:E107" si="38">IF(K102&lt;&gt;"rumus",(IF(OR(AND(L102="sks&gt;10",L101="sks&lt;=10",IFERROR(SUMPRODUCT($I$101:I101,$J$101:J101)&lt;10,FALSE)),AND(L102="sks&gt;10",L101="")),(((10-SUMPRODUCT($I$101:I101,$J$101:J101))&amp;" x "&amp;1)&amp;"
"&amp;(((I102*J102)-(10-SUMPRODUCT($I$101:I101,$J$101:J101)))&amp;" x "&amp;1)),(I102&amp;" x "&amp;J102))),"")</f>
        <v>3 x 2</v>
      </c>
      <c r="F102" s="398">
        <f>IF(K102&lt;&gt;"rumus",(IF(OR(AND(L102="sks&gt;10",L101="sks&lt;=10",IFERROR(SUMPRODUCT($I$101:I101,$J$101:J101)&lt;10,FALSE)),AND(L102="sks&gt;10",L101="")),((IF('LAMPIRAN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Besar"),0.5,"")))),((IF(OR(AND(L102="sks&gt;10",L101="sks&gt;10"),AND(L102="sks&gt;10",L101="sks&lt;=10")),IF('LAMPIRAN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02" s="398" t="str">
        <f>IF(K102&lt;&gt;"rumus",(IF(OR(AND(L102="sks&gt;10",L101="sks&lt;=10",IFERROR(SUMPRODUCT($I$101:I101,$J$101:J101)&lt;10,FALSE)),AND(L102="sks&gt;10",L101="")),(((10-SUMPRODUCT($I$101:I101,$J$101:J101))&amp;" x "&amp;1&amp;" x "&amp;IF('LAMPIRAN I DONE'!$F$21="Tenaga Pengajar",0.5,IF(OR('LAMPIRAN I DONE'!$F$21="Asisten Ahli",'LAMPIRAN I DONE'!$F$21="Lektor",'LAMPIRAN I DONE'!$F$21="Lektor Kepala",'LAMPIRAN I DONE'!$F$21="Guru Besar"),1,""))&amp;" = "&amp;((10-SUMPRODUCT($I$101:I101,$J$101:J101))*IF('LAMPIRAN I DONE'!$F$21="Tenaga Pengajar",0.5,IF(OR('LAMPIRAN I DONE'!$F$21="Asisten Ahli",'LAMPIRAN I DONE'!$F$21="Lektor",'LAMPIRAN I DONE'!$F$21="Lektor Kepala",'LAMPIRAN I DONE'!$F$21="Guru Besar"),1,""))))&amp;"
"&amp;(((I102*J102)-(10-SUMPRODUCT($I$101:I101,$J$101:J101)))&amp;" x "&amp;1&amp;" x "&amp;IF('LAMPIRAN I DONE'!$F$21="Tenaga Pengajar",0.25,IF(OR('LAMPIRAN I DONE'!$F$21="Asisten Ahli",'LAMPIRAN I DONE'!$F$21="Lektor",'LAMPIRAN I DONE'!$F$21="Lektor Kepala",'LAMPIRAN I DONE'!$F$21="Guru Besar"),0.5,""))&amp;" = "&amp;(((I102*J102)-(10-SUMPRODUCT($I$101:I101,$J$101:J101)))*IF('LAMPIRAN I DONE'!$F$21="Tenaga Pengajar",0.25,IF(OR('LAMPIRAN I DONE'!$F$21="Asisten Ahli",'LAMPIRAN I DONE'!$F$21="Lektor",'LAMPIRAN I DONE'!$F$21="Lektor Kepala",'LAMPIRAN I DONE'!$F$21="Guru Besar"),0.5,""))))),(I102&amp;" x "&amp;J102&amp;" x "&amp;(IF(OR(AND(L102="sks&gt;10",L101="sks&gt;10"),AND(L102="sks&gt;10",L101="sks&lt;=10")),IF('LAMPIRAN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"&amp;K102))),"rumus")</f>
        <v>3 x 2 x 1 = 6</v>
      </c>
      <c r="H102" s="106" t="s">
        <v>342</v>
      </c>
      <c r="I102" s="409">
        <v>3</v>
      </c>
      <c r="J102" s="409">
        <v>2</v>
      </c>
      <c r="K102" s="401">
        <f>IF(AND(I102&lt;&gt;"",J102&lt;&gt;""),(IF(OR(AND(L102="sks&gt;10",L101="sks&lt;=10",IFERROR(SUMPRODUCT($I$101:I101,$J$101:J101)&lt;10,FALSE)),AND(L102="sks&gt;10",L101="")),(((10-SUMPRODUCT($I$101:I101,$J$101:J101))*IF('LAMPIRAN I DONE'!$F$21="Tenaga Pengajar",0.5,IF(OR('LAMPIRAN I DONE'!$F$21="Asisten Ahli",'LAMPIRAN I DONE'!$F$21="Lektor",'LAMPIRAN I DONE'!$F$21="Lektor Kepala",'LAMPIRAN I DONE'!$F$21="Guru Besar"),1,"")))+(((I102*J102)-(10-SUMPRODUCT($I$101:I101,$J$101:J101)))*IF('LAMPIRAN I DONE'!$F$21="Tenaga Pengajar",0.25,IF(OR('LAMPIRAN I DONE'!$F$21="Asisten Ahli",'LAMPIRAN I DONE'!$F$21="Lektor",'LAMPIRAN I DONE'!$F$21="Lektor Kepala",'LAMPIRAN I DONE'!$F$21="Guru Besar"),0.5,"")))),IF(OR(AND(L102="sks&gt;10",L101="sks&gt;10"),AND(L102="sks&gt;10",L101="sks&lt;=10")),I102*J102*IF('LAMPIRAN I DONE'!$F$21="Tenaga Pengajar",0.25,IF(OR('LAMPIRAN I DONE'!$F$21="Asisten Ahli",'LAMPIRAN I DONE'!$F$21="Lektor",'LAMPIRAN I DONE'!$F$21="Lektor Kepala",'LAMPIRAN I DONE'!$F$21="Guru Besar"),0.5,"")),I102*J102*IF('LAMPIRAN I DONE'!$F$21="Tenaga Pengajar",0.5,IF(OR('LAMPIRAN I DONE'!$F$21="Asisten Ahli",'LAMPIRAN I DONE'!$F$21="Lektor",'LAMPIRAN I DONE'!$F$21="Lektor Kepala",'LAMPIRAN I DONE'!$F$21="Guru Besar"),1,""))))),"rumus")</f>
        <v>6</v>
      </c>
      <c r="L102" s="401" t="str">
        <f t="shared" ref="L102:L107" si="39">IF(AND(I102&lt;&gt;"",J102&lt;&gt;""),(IF(SUMPRODUCT($I$102:I102,$J$102:J102)&lt;=10,"SKS&lt;=10",IF(SUMPRODUCT($I$102:I102,$J$102:J102)&gt;10,"SKS&gt;10",""))),"rumus")</f>
        <v>SKS&lt;=10</v>
      </c>
      <c r="M102" s="4"/>
      <c r="N102" s="4"/>
      <c r="O102" s="4"/>
      <c r="P102" s="4"/>
      <c r="Q102" s="4"/>
      <c r="R102" s="4"/>
      <c r="S102" s="4"/>
      <c r="T102" s="4"/>
      <c r="U102" s="4"/>
      <c r="V102" s="4"/>
      <c r="W102" s="4"/>
      <c r="X102" s="4"/>
      <c r="Y102" s="4"/>
      <c r="Z102" s="4"/>
    </row>
    <row r="103" spans="1:26" ht="25.5" customHeight="1" x14ac:dyDescent="0.25">
      <c r="A103" s="109">
        <v>2</v>
      </c>
      <c r="B103" s="571" t="s">
        <v>343</v>
      </c>
      <c r="C103" s="106" t="s">
        <v>341</v>
      </c>
      <c r="D103" s="106" t="str">
        <f t="shared" si="37"/>
        <v>SKS</v>
      </c>
      <c r="E103" s="398" t="str">
        <f t="shared" si="38"/>
        <v>4 x 1
4 x 1</v>
      </c>
      <c r="F103" s="398" t="str">
        <f>IF(K103&lt;&gt;"rumus",(IF(OR(AND(L103="sks&gt;10",L102="sks&lt;=10",IFERROR(SUMPRODUCT($I$101:I102,$J$101:J102)&lt;10,FALSE)),AND(L103="sks&gt;10",L102="")),((IF('LAMPIRAN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Besar"),0.5,"")))),((IF(OR(AND(L103="sks&gt;10",L102="sks&gt;10"),AND(L103="sks&gt;10",L102="sks&lt;=10")),IF('LAMPIRAN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
0.5</v>
      </c>
      <c r="G103" s="398" t="str">
        <f>IF(K103&lt;&gt;"rumus",(IF(OR(AND(L103="sks&gt;10",L102="sks&lt;=10",IFERROR(SUMPRODUCT($I$101:I102,$J$101:J102)&lt;10,FALSE)),AND(L103="sks&gt;10",L102="")),(((10-SUMPRODUCT($I$101:I102,$J$101:J102))&amp;" x "&amp;1&amp;" x "&amp;IF('LAMPIRAN I DONE'!$F$21="Tenaga Pengajar",0.5,IF(OR('LAMPIRAN I DONE'!$F$21="Asisten Ahli",'LAMPIRAN I DONE'!$F$21="Lektor",'LAMPIRAN I DONE'!$F$21="Lektor Kepala",'LAMPIRAN I DONE'!$F$21="Guru Besar"),1,""))&amp;" = "&amp;((10-SUMPRODUCT($I$101:I102,$J$101:J102))*IF('LAMPIRAN I DONE'!$F$21="Tenaga Pengajar",0.5,IF(OR('LAMPIRAN I DONE'!$F$21="Asisten Ahli",'LAMPIRAN I DONE'!$F$21="Lektor",'LAMPIRAN I DONE'!$F$21="Lektor Kepala",'LAMPIRAN I DONE'!$F$21="Guru Besar"),1,""))))&amp;"
"&amp;(((I103*J103)-(10-SUMPRODUCT($I$101:I102,$J$101:J102)))&amp;" x "&amp;1&amp;" x "&amp;IF('LAMPIRAN I DONE'!$F$21="Tenaga Pengajar",0.25,IF(OR('LAMPIRAN I DONE'!$F$21="Asisten Ahli",'LAMPIRAN I DONE'!$F$21="Lektor",'LAMPIRAN I DONE'!$F$21="Lektor Kepala",'LAMPIRAN I DONE'!$F$21="Guru Besar"),0.5,""))&amp;" = "&amp;(((I103*J103)-(10-SUMPRODUCT($I$101:I102,$J$101:J102)))*IF('LAMPIRAN I DONE'!$F$21="Tenaga Pengajar",0.25,IF(OR('LAMPIRAN I DONE'!$F$21="Asisten Ahli",'LAMPIRAN I DONE'!$F$21="Lektor",'LAMPIRAN I DONE'!$F$21="Lektor Kepala",'LAMPIRAN I DONE'!$F$21="Guru Besar"),0.5,""))))),(I103&amp;" x "&amp;J103&amp;" x "&amp;(IF(OR(AND(L103="sks&gt;10",L102="sks&gt;10"),AND(L103="sks&gt;10",L102="sks&lt;=10")),IF('LAMPIRAN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"&amp;K103))),"rumus")</f>
        <v>4 x 1 x 1 = 4
4 x 1 x 0.5 = 2</v>
      </c>
      <c r="H103" s="106" t="s">
        <v>342</v>
      </c>
      <c r="I103" s="409">
        <v>4</v>
      </c>
      <c r="J103" s="409">
        <v>2</v>
      </c>
      <c r="K103" s="401">
        <f>IF(AND(I103&lt;&gt;"",J103&lt;&gt;""),(IF(OR(AND(L103="sks&gt;10",L102="sks&lt;=10",IFERROR(SUMPRODUCT($I$101:I102,$J$101:J102)&lt;10,FALSE)),AND(L103="sks&gt;10",L102="")),(((10-SUMPRODUCT($I$101:I102,$J$101:J102))*IF('LAMPIRAN I DONE'!$F$21="Tenaga Pengajar",0.5,IF(OR('LAMPIRAN I DONE'!$F$21="Asisten Ahli",'LAMPIRAN I DONE'!$F$21="Lektor",'LAMPIRAN I DONE'!$F$21="Lektor Kepala",'LAMPIRAN I DONE'!$F$21="Guru Besar"),1,"")))+(((I103*J103)-(10-SUMPRODUCT($I$101:I102,$J$101:J102)))*IF('LAMPIRAN I DONE'!$F$21="Tenaga Pengajar",0.25,IF(OR('LAMPIRAN I DONE'!$F$21="Asisten Ahli",'LAMPIRAN I DONE'!$F$21="Lektor",'LAMPIRAN I DONE'!$F$21="Lektor Kepala",'LAMPIRAN I DONE'!$F$21="Guru Besar"),0.5,"")))),IF(OR(AND(L103="sks&gt;10",L102="sks&gt;10"),AND(L103="sks&gt;10",L102="sks&lt;=10")),I103*J103*IF('LAMPIRAN I DONE'!$F$21="Tenaga Pengajar",0.25,IF(OR('LAMPIRAN I DONE'!$F$21="Asisten Ahli",'LAMPIRAN I DONE'!$F$21="Lektor",'LAMPIRAN I DONE'!$F$21="Lektor Kepala",'LAMPIRAN I DONE'!$F$21="Guru Besar"),0.5,"")),I103*J103*IF('LAMPIRAN I DONE'!$F$21="Tenaga Pengajar",0.5,IF(OR('LAMPIRAN I DONE'!$F$21="Asisten Ahli",'LAMPIRAN I DONE'!$F$21="Lektor",'LAMPIRAN I DONE'!$F$21="Lektor Kepala",'LAMPIRAN I DONE'!$F$21="Guru Besar"),1,""))))),"rumus")</f>
        <v>6</v>
      </c>
      <c r="L103" s="401" t="str">
        <f t="shared" si="39"/>
        <v>SKS&gt;10</v>
      </c>
      <c r="M103" s="4"/>
      <c r="N103" s="4"/>
      <c r="O103" s="4"/>
      <c r="P103" s="4"/>
      <c r="Q103" s="4"/>
      <c r="R103" s="4"/>
      <c r="S103" s="4"/>
      <c r="T103" s="4"/>
      <c r="U103" s="4"/>
      <c r="V103" s="4"/>
      <c r="W103" s="4"/>
      <c r="X103" s="4"/>
      <c r="Y103" s="4"/>
      <c r="Z103" s="4"/>
    </row>
    <row r="104" spans="1:26" ht="25.5" customHeight="1" x14ac:dyDescent="0.25">
      <c r="A104" s="109">
        <v>3</v>
      </c>
      <c r="B104" s="397" t="s">
        <v>314</v>
      </c>
      <c r="C104" s="106" t="s">
        <v>341</v>
      </c>
      <c r="D104" s="106" t="str">
        <f t="shared" si="37"/>
        <v/>
      </c>
      <c r="E104" s="398" t="str">
        <f t="shared" si="38"/>
        <v/>
      </c>
      <c r="F104" s="398" t="str">
        <f>IF(K104&lt;&gt;"rumus",(IF(OR(AND(L104="sks&gt;10",L103="sks&lt;=10",IFERROR(SUMPRODUCT($I$101:I103,$J$101:J103)&lt;10,FALSE)),AND(L104="sks&gt;10",L103="")),((IF('LAMPIRAN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Besar"),0.5,"")))),((IF(OR(AND(L104="sks&gt;10",L103="sks&gt;10"),AND(L104="sks&gt;10",L103="sks&lt;=10")),IF('LAMPIRAN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04" s="398" t="str">
        <f>IF(K104&lt;&gt;"rumus",(IF(OR(AND(L104="sks&gt;10",L103="sks&lt;=10",IFERROR(SUMPRODUCT($I$101:I103,$J$101:J103)&lt;10,FALSE)),AND(L104="sks&gt;10",L103="")),(((10-SUMPRODUCT($I$101:I103,$J$101:J103))&amp;" x "&amp;1&amp;" x "&amp;IF('LAMPIRAN I DONE'!$F$21="Tenaga Pengajar",0.5,IF(OR('LAMPIRAN I DONE'!$F$21="Asisten Ahli",'LAMPIRAN I DONE'!$F$21="Lektor",'LAMPIRAN I DONE'!$F$21="Lektor Kepala",'LAMPIRAN I DONE'!$F$21="Guru Besar"),1,""))&amp;" = "&amp;((10-SUMPRODUCT($I$101:I103,$J$101:J103))*IF('LAMPIRAN I DONE'!$F$21="Tenaga Pengajar",0.5,IF(OR('LAMPIRAN I DONE'!$F$21="Asisten Ahli",'LAMPIRAN I DONE'!$F$21="Lektor",'LAMPIRAN I DONE'!$F$21="Lektor Kepala",'LAMPIRAN I DONE'!$F$21="Guru Besar"),1,""))))&amp;"
"&amp;(((I104*J104)-(10-SUMPRODUCT($I$101:I103,$J$101:J103)))&amp;" x "&amp;1&amp;" x "&amp;IF('LAMPIRAN I DONE'!$F$21="Tenaga Pengajar",0.25,IF(OR('LAMPIRAN I DONE'!$F$21="Asisten Ahli",'LAMPIRAN I DONE'!$F$21="Lektor",'LAMPIRAN I DONE'!$F$21="Lektor Kepala",'LAMPIRAN I DONE'!$F$21="Guru Besar"),0.5,""))&amp;" = "&amp;(((I104*J104)-(10-SUMPRODUCT($I$101:I103,$J$101:J103)))*IF('LAMPIRAN I DONE'!$F$21="Tenaga Pengajar",0.25,IF(OR('LAMPIRAN I DONE'!$F$21="Asisten Ahli",'LAMPIRAN I DONE'!$F$21="Lektor",'LAMPIRAN I DONE'!$F$21="Lektor Kepala",'LAMPIRAN I DONE'!$F$21="Guru Besar"),0.5,""))))),(I104&amp;" x "&amp;J104&amp;" x "&amp;(IF(OR(AND(L104="sks&gt;10",L103="sks&gt;10"),AND(L104="sks&gt;10",L103="sks&lt;=10")),IF('LAMPIRAN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"&amp;K104))),"rumus")</f>
        <v>rumus</v>
      </c>
      <c r="H104" s="106" t="s">
        <v>315</v>
      </c>
      <c r="I104" s="409"/>
      <c r="J104" s="409"/>
      <c r="K104" s="401" t="str">
        <f>IF(AND(I104&lt;&gt;"",J104&lt;&gt;""),(IF(OR(AND(L104="sks&gt;10",L103="sks&lt;=10",IFERROR(SUMPRODUCT($I$101:I103,$J$101:J103)&lt;10,FALSE)),AND(L104="sks&gt;10",L103="")),(((10-SUMPRODUCT($I$101:I103,$J$101:J103))*IF('LAMPIRAN I DONE'!$F$21="Tenaga Pengajar",0.5,IF(OR('LAMPIRAN I DONE'!$F$21="Asisten Ahli",'LAMPIRAN I DONE'!$F$21="Lektor",'LAMPIRAN I DONE'!$F$21="Lektor Kepala",'LAMPIRAN I DONE'!$F$21="Guru Besar"),1,"")))+(((I104*J104)-(10-SUMPRODUCT($I$101:I103,$J$101:J103)))*IF('LAMPIRAN I DONE'!$F$21="Tenaga Pengajar",0.25,IF(OR('LAMPIRAN I DONE'!$F$21="Asisten Ahli",'LAMPIRAN I DONE'!$F$21="Lektor",'LAMPIRAN I DONE'!$F$21="Lektor Kepala",'LAMPIRAN I DONE'!$F$21="Guru Besar"),0.5,"")))),IF(OR(AND(L104="sks&gt;10",L103="sks&gt;10"),AND(L104="sks&gt;10",L103="sks&lt;=10")),I104*J104*IF('LAMPIRAN I DONE'!$F$21="Tenaga Pengajar",0.25,IF(OR('LAMPIRAN I DONE'!$F$21="Asisten Ahli",'LAMPIRAN I DONE'!$F$21="Lektor",'LAMPIRAN I DONE'!$F$21="Lektor Kepala",'LAMPIRAN I DONE'!$F$21="Guru Besar"),0.5,"")),I104*J104*IF('LAMPIRAN I DONE'!$F$21="Tenaga Pengajar",0.5,IF(OR('LAMPIRAN I DONE'!$F$21="Asisten Ahli",'LAMPIRAN I DONE'!$F$21="Lektor",'LAMPIRAN I DONE'!$F$21="Lektor Kepala",'LAMPIRAN I DONE'!$F$21="Guru Besar"),1,""))))),"rumus")</f>
        <v>rumus</v>
      </c>
      <c r="L104" s="401" t="str">
        <f t="shared" si="39"/>
        <v>rumus</v>
      </c>
      <c r="M104" s="4"/>
      <c r="N104" s="4"/>
      <c r="O104" s="4"/>
      <c r="P104" s="4"/>
      <c r="Q104" s="4"/>
      <c r="R104" s="4"/>
      <c r="S104" s="4"/>
      <c r="T104" s="4"/>
      <c r="U104" s="4"/>
      <c r="V104" s="4"/>
      <c r="W104" s="4"/>
      <c r="X104" s="4"/>
      <c r="Y104" s="4"/>
      <c r="Z104" s="4"/>
    </row>
    <row r="105" spans="1:26" ht="25.5" customHeight="1" x14ac:dyDescent="0.25">
      <c r="A105" s="109">
        <v>4</v>
      </c>
      <c r="B105" s="397" t="s">
        <v>314</v>
      </c>
      <c r="C105" s="106" t="s">
        <v>341</v>
      </c>
      <c r="D105" s="106" t="str">
        <f t="shared" si="37"/>
        <v/>
      </c>
      <c r="E105" s="398" t="str">
        <f t="shared" si="38"/>
        <v/>
      </c>
      <c r="F105" s="398" t="str">
        <f>IF(K105&lt;&gt;"rumus",(IF(OR(AND(L105="sks&gt;10",L104="sks&lt;=10",IFERROR(SUMPRODUCT($I$101:I104,$J$101:J104)&lt;10,FALSE)),AND(L105="sks&gt;10",L104="")),((IF('LAMPIRAN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Besar"),0.5,"")))),((IF(OR(AND(L105="sks&gt;10",L104="sks&gt;10"),AND(L105="sks&gt;10",L104="sks&lt;=10")),IF('LAMPIRAN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05" s="398" t="str">
        <f>IF(K105&lt;&gt;"rumus",(IF(OR(AND(L105="sks&gt;10",L104="sks&lt;=10",IFERROR(SUMPRODUCT($I$101:I104,$J$101:J104)&lt;10,FALSE)),AND(L105="sks&gt;10",L104="")),(((10-SUMPRODUCT($I$101:I104,$J$101:J104))&amp;" x "&amp;1&amp;" x "&amp;IF('LAMPIRAN I DONE'!$F$21="Tenaga Pengajar",0.5,IF(OR('LAMPIRAN I DONE'!$F$21="Asisten Ahli",'LAMPIRAN I DONE'!$F$21="Lektor",'LAMPIRAN I DONE'!$F$21="Lektor Kepala",'LAMPIRAN I DONE'!$F$21="Guru Besar"),1,""))&amp;" = "&amp;((10-SUMPRODUCT($I$101:I104,$J$101:J104))*IF('LAMPIRAN I DONE'!$F$21="Tenaga Pengajar",0.5,IF(OR('LAMPIRAN I DONE'!$F$21="Asisten Ahli",'LAMPIRAN I DONE'!$F$21="Lektor",'LAMPIRAN I DONE'!$F$21="Lektor Kepala",'LAMPIRAN I DONE'!$F$21="Guru Besar"),1,""))))&amp;"
"&amp;(((I105*J105)-(10-SUMPRODUCT($I$101:I104,$J$101:J104)))&amp;" x "&amp;1&amp;" x "&amp;IF('LAMPIRAN I DONE'!$F$21="Tenaga Pengajar",0.25,IF(OR('LAMPIRAN I DONE'!$F$21="Asisten Ahli",'LAMPIRAN I DONE'!$F$21="Lektor",'LAMPIRAN I DONE'!$F$21="Lektor Kepala",'LAMPIRAN I DONE'!$F$21="Guru Besar"),0.5,""))&amp;" = "&amp;(((I105*J105)-(10-SUMPRODUCT($I$101:I104,$J$101:J104)))*IF('LAMPIRAN I DONE'!$F$21="Tenaga Pengajar",0.25,IF(OR('LAMPIRAN I DONE'!$F$21="Asisten Ahli",'LAMPIRAN I DONE'!$F$21="Lektor",'LAMPIRAN I DONE'!$F$21="Lektor Kepala",'LAMPIRAN I DONE'!$F$21="Guru Besar"),0.5,""))))),(I105&amp;" x "&amp;J105&amp;" x "&amp;(IF(OR(AND(L105="sks&gt;10",L104="sks&gt;10"),AND(L105="sks&gt;10",L104="sks&lt;=10")),IF('LAMPIRAN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"&amp;K105))),"rumus")</f>
        <v>rumus</v>
      </c>
      <c r="H105" s="106" t="s">
        <v>315</v>
      </c>
      <c r="I105" s="409"/>
      <c r="J105" s="409"/>
      <c r="K105" s="401" t="str">
        <f>IF(AND(I105&lt;&gt;"",J105&lt;&gt;""),(IF(OR(AND(L105="sks&gt;10",L104="sks&lt;=10",IFERROR(SUMPRODUCT($I$101:I104,$J$101:J104)&lt;10,FALSE)),AND(L105="sks&gt;10",L104="")),(((10-SUMPRODUCT($I$101:I104,$J$101:J104))*IF('LAMPIRAN I DONE'!$F$21="Tenaga Pengajar",0.5,IF(OR('LAMPIRAN I DONE'!$F$21="Asisten Ahli",'LAMPIRAN I DONE'!$F$21="Lektor",'LAMPIRAN I DONE'!$F$21="Lektor Kepala",'LAMPIRAN I DONE'!$F$21="Guru Besar"),1,"")))+(((I105*J105)-(10-SUMPRODUCT($I$101:I104,$J$101:J104)))*IF('LAMPIRAN I DONE'!$F$21="Tenaga Pengajar",0.25,IF(OR('LAMPIRAN I DONE'!$F$21="Asisten Ahli",'LAMPIRAN I DONE'!$F$21="Lektor",'LAMPIRAN I DONE'!$F$21="Lektor Kepala",'LAMPIRAN I DONE'!$F$21="Guru Besar"),0.5,"")))),IF(OR(AND(L105="sks&gt;10",L104="sks&gt;10"),AND(L105="sks&gt;10",L104="sks&lt;=10")),I105*J105*IF('LAMPIRAN I DONE'!$F$21="Tenaga Pengajar",0.25,IF(OR('LAMPIRAN I DONE'!$F$21="Asisten Ahli",'LAMPIRAN I DONE'!$F$21="Lektor",'LAMPIRAN I DONE'!$F$21="Lektor Kepala",'LAMPIRAN I DONE'!$F$21="Guru Besar"),0.5,"")),I105*J105*IF('LAMPIRAN I DONE'!$F$21="Tenaga Pengajar",0.5,IF(OR('LAMPIRAN I DONE'!$F$21="Asisten Ahli",'LAMPIRAN I DONE'!$F$21="Lektor",'LAMPIRAN I DONE'!$F$21="Lektor Kepala",'LAMPIRAN I DONE'!$F$21="Guru Besar"),1,""))))),"rumus")</f>
        <v>rumus</v>
      </c>
      <c r="L105" s="401" t="str">
        <f t="shared" si="39"/>
        <v>rumus</v>
      </c>
      <c r="M105" s="4"/>
      <c r="N105" s="4"/>
      <c r="O105" s="4"/>
      <c r="P105" s="4"/>
      <c r="Q105" s="4"/>
      <c r="R105" s="4"/>
      <c r="S105" s="4"/>
      <c r="T105" s="4"/>
      <c r="U105" s="4"/>
      <c r="V105" s="4"/>
      <c r="W105" s="4"/>
      <c r="X105" s="4"/>
      <c r="Y105" s="4"/>
      <c r="Z105" s="4"/>
    </row>
    <row r="106" spans="1:26" ht="25.5" customHeight="1" x14ac:dyDescent="0.25">
      <c r="A106" s="109">
        <v>5</v>
      </c>
      <c r="B106" s="397" t="s">
        <v>314</v>
      </c>
      <c r="C106" s="106" t="s">
        <v>341</v>
      </c>
      <c r="D106" s="106" t="str">
        <f t="shared" si="37"/>
        <v/>
      </c>
      <c r="E106" s="398" t="str">
        <f t="shared" si="38"/>
        <v/>
      </c>
      <c r="F106" s="398" t="str">
        <f>IF(K106&lt;&gt;"rumus",(IF(OR(AND(L106="sks&gt;10",L105="sks&lt;=10",IFERROR(SUMPRODUCT($I$101:I105,$J$101:J105)&lt;10,FALSE)),AND(L106="sks&gt;10",L105="")),((IF('LAMPIRAN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Besar"),0.5,"")))),((IF(OR(AND(L106="sks&gt;10",L105="sks&gt;10"),AND(L106="sks&gt;10",L105="sks&lt;=10")),IF('LAMPIRAN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06" s="398" t="str">
        <f>IF(K106&lt;&gt;"rumus",(IF(OR(AND(L106="sks&gt;10",L105="sks&lt;=10",IFERROR(SUMPRODUCT($I$101:I105,$J$101:J105)&lt;10,FALSE)),AND(L106="sks&gt;10",L105="")),(((10-SUMPRODUCT($I$101:I105,$J$101:J105))&amp;" x "&amp;1&amp;" x "&amp;IF('LAMPIRAN I DONE'!$F$21="Tenaga Pengajar",0.5,IF(OR('LAMPIRAN I DONE'!$F$21="Asisten Ahli",'LAMPIRAN I DONE'!$F$21="Lektor",'LAMPIRAN I DONE'!$F$21="Lektor Kepala",'LAMPIRAN I DONE'!$F$21="Guru Besar"),1,""))&amp;" = "&amp;((10-SUMPRODUCT($I$101:I105,$J$101:J105))*IF('LAMPIRAN I DONE'!$F$21="Tenaga Pengajar",0.5,IF(OR('LAMPIRAN I DONE'!$F$21="Asisten Ahli",'LAMPIRAN I DONE'!$F$21="Lektor",'LAMPIRAN I DONE'!$F$21="Lektor Kepala",'LAMPIRAN I DONE'!$F$21="Guru Besar"),1,""))))&amp;"
"&amp;(((I106*J106)-(10-SUMPRODUCT($I$101:I105,$J$101:J105)))&amp;" x "&amp;1&amp;" x "&amp;IF('LAMPIRAN I DONE'!$F$21="Tenaga Pengajar",0.25,IF(OR('LAMPIRAN I DONE'!$F$21="Asisten Ahli",'LAMPIRAN I DONE'!$F$21="Lektor",'LAMPIRAN I DONE'!$F$21="Lektor Kepala",'LAMPIRAN I DONE'!$F$21="Guru Besar"),0.5,""))&amp;" = "&amp;(((I106*J106)-(10-SUMPRODUCT($I$101:I105,$J$101:J105)))*IF('LAMPIRAN I DONE'!$F$21="Tenaga Pengajar",0.25,IF(OR('LAMPIRAN I DONE'!$F$21="Asisten Ahli",'LAMPIRAN I DONE'!$F$21="Lektor",'LAMPIRAN I DONE'!$F$21="Lektor Kepala",'LAMPIRAN I DONE'!$F$21="Guru Besar"),0.5,""))))),(I106&amp;" x "&amp;J106&amp;" x "&amp;(IF(OR(AND(L106="sks&gt;10",L105="sks&gt;10"),AND(L106="sks&gt;10",L105="sks&lt;=10")),IF('LAMPIRAN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"&amp;K106))),"rumus")</f>
        <v>rumus</v>
      </c>
      <c r="H106" s="106" t="s">
        <v>315</v>
      </c>
      <c r="I106" s="409"/>
      <c r="J106" s="409"/>
      <c r="K106" s="401" t="str">
        <f>IF(AND(I106&lt;&gt;"",J106&lt;&gt;""),(IF(OR(AND(L106="sks&gt;10",L105="sks&lt;=10",IFERROR(SUMPRODUCT($I$101:I105,$J$101:J105)&lt;10,FALSE)),AND(L106="sks&gt;10",L105="")),(((10-SUMPRODUCT($I$101:I105,$J$101:J105))*IF('LAMPIRAN I DONE'!$F$21="Tenaga Pengajar",0.5,IF(OR('LAMPIRAN I DONE'!$F$21="Asisten Ahli",'LAMPIRAN I DONE'!$F$21="Lektor",'LAMPIRAN I DONE'!$F$21="Lektor Kepala",'LAMPIRAN I DONE'!$F$21="Guru Besar"),1,"")))+(((I106*J106)-(10-SUMPRODUCT($I$101:I105,$J$101:J105)))*IF('LAMPIRAN I DONE'!$F$21="Tenaga Pengajar",0.25,IF(OR('LAMPIRAN I DONE'!$F$21="Asisten Ahli",'LAMPIRAN I DONE'!$F$21="Lektor",'LAMPIRAN I DONE'!$F$21="Lektor Kepala",'LAMPIRAN I DONE'!$F$21="Guru Besar"),0.5,"")))),IF(OR(AND(L106="sks&gt;10",L105="sks&gt;10"),AND(L106="sks&gt;10",L105="sks&lt;=10")),I106*J106*IF('LAMPIRAN I DONE'!$F$21="Tenaga Pengajar",0.25,IF(OR('LAMPIRAN I DONE'!$F$21="Asisten Ahli",'LAMPIRAN I DONE'!$F$21="Lektor",'LAMPIRAN I DONE'!$F$21="Lektor Kepala",'LAMPIRAN I DONE'!$F$21="Guru Besar"),0.5,"")),I106*J106*IF('LAMPIRAN I DONE'!$F$21="Tenaga Pengajar",0.5,IF(OR('LAMPIRAN I DONE'!$F$21="Asisten Ahli",'LAMPIRAN I DONE'!$F$21="Lektor",'LAMPIRAN I DONE'!$F$21="Lektor Kepala",'LAMPIRAN I DONE'!$F$21="Guru Besar"),1,""))))),"rumus")</f>
        <v>rumus</v>
      </c>
      <c r="L106" s="401" t="str">
        <f t="shared" si="39"/>
        <v>rumus</v>
      </c>
      <c r="M106" s="4"/>
      <c r="N106" s="4"/>
      <c r="O106" s="4"/>
      <c r="P106" s="4"/>
      <c r="Q106" s="4"/>
      <c r="R106" s="4"/>
      <c r="S106" s="4"/>
      <c r="T106" s="4"/>
      <c r="U106" s="4"/>
      <c r="V106" s="4"/>
      <c r="W106" s="4"/>
      <c r="X106" s="4"/>
      <c r="Y106" s="4"/>
      <c r="Z106" s="4"/>
    </row>
    <row r="107" spans="1:26" ht="25.5" customHeight="1" x14ac:dyDescent="0.25">
      <c r="A107" s="109">
        <v>6</v>
      </c>
      <c r="B107" s="397" t="s">
        <v>314</v>
      </c>
      <c r="C107" s="106" t="s">
        <v>341</v>
      </c>
      <c r="D107" s="106" t="str">
        <f t="shared" si="37"/>
        <v/>
      </c>
      <c r="E107" s="398" t="str">
        <f t="shared" si="38"/>
        <v/>
      </c>
      <c r="F107" s="398" t="str">
        <f>IF(K107&lt;&gt;"rumus",(IF(OR(AND(L107="sks&gt;10",L106="sks&lt;=10",IFERROR(SUMPRODUCT($I$101:I106,$J$101:J106)&lt;10,FALSE)),AND(L107="sks&gt;10",L106="")),((IF('LAMPIRAN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Besar"),0.5,"")))),((IF(OR(AND(L107="sks&gt;10",L106="sks&gt;10"),AND(L107="sks&gt;10",L106="sks&lt;=10")),IF('LAMPIRAN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07" s="398" t="str">
        <f>IF(K107&lt;&gt;"rumus",(IF(OR(AND(L107="sks&gt;10",L106="sks&lt;=10",IFERROR(SUMPRODUCT($I$101:I106,$J$101:J106)&lt;10,FALSE)),AND(L107="sks&gt;10",L106="")),(((10-SUMPRODUCT($I$101:I106,$J$101:J106))&amp;" x "&amp;1&amp;" x "&amp;IF('LAMPIRAN I DONE'!$F$21="Tenaga Pengajar",0.5,IF(OR('LAMPIRAN I DONE'!$F$21="Asisten Ahli",'LAMPIRAN I DONE'!$F$21="Lektor",'LAMPIRAN I DONE'!$F$21="Lektor Kepala",'LAMPIRAN I DONE'!$F$21="Guru Besar"),1,""))&amp;" = "&amp;((10-SUMPRODUCT($I$101:I106,$J$101:J106))*IF('LAMPIRAN I DONE'!$F$21="Tenaga Pengajar",0.5,IF(OR('LAMPIRAN I DONE'!$F$21="Asisten Ahli",'LAMPIRAN I DONE'!$F$21="Lektor",'LAMPIRAN I DONE'!$F$21="Lektor Kepala",'LAMPIRAN I DONE'!$F$21="Guru Besar"),1,""))))&amp;"
"&amp;(((I107*J107)-(10-SUMPRODUCT($I$101:I106,$J$101:J106)))&amp;" x "&amp;1&amp;" x "&amp;IF('LAMPIRAN I DONE'!$F$21="Tenaga Pengajar",0.25,IF(OR('LAMPIRAN I DONE'!$F$21="Asisten Ahli",'LAMPIRAN I DONE'!$F$21="Lektor",'LAMPIRAN I DONE'!$F$21="Lektor Kepala",'LAMPIRAN I DONE'!$F$21="Guru Besar"),0.5,""))&amp;" = "&amp;(((I107*J107)-(10-SUMPRODUCT($I$101:I106,$J$101:J106)))*IF('LAMPIRAN I DONE'!$F$21="Tenaga Pengajar",0.25,IF(OR('LAMPIRAN I DONE'!$F$21="Asisten Ahli",'LAMPIRAN I DONE'!$F$21="Lektor",'LAMPIRAN I DONE'!$F$21="Lektor Kepala",'LAMPIRAN I DONE'!$F$21="Guru Besar"),0.5,""))))),(I107&amp;" x "&amp;J107&amp;" x "&amp;(IF(OR(AND(L107="sks&gt;10",L106="sks&gt;10"),AND(L107="sks&gt;10",L106="sks&lt;=10")),IF('LAMPIRAN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"&amp;K107))),"rumus")</f>
        <v>rumus</v>
      </c>
      <c r="H107" s="106" t="s">
        <v>315</v>
      </c>
      <c r="I107" s="409"/>
      <c r="J107" s="409"/>
      <c r="K107" s="401" t="str">
        <f>IF(AND(I107&lt;&gt;"",J107&lt;&gt;""),(IF(OR(AND(L107="sks&gt;10",L106="sks&lt;=10",IFERROR(SUMPRODUCT($I$101:I106,$J$101:J106)&lt;10,FALSE)),AND(L107="sks&gt;10",L106="")),(((10-SUMPRODUCT($I$101:I106,$J$101:J106))*IF('LAMPIRAN I DONE'!$F$21="Tenaga Pengajar",0.5,IF(OR('LAMPIRAN I DONE'!$F$21="Asisten Ahli",'LAMPIRAN I DONE'!$F$21="Lektor",'LAMPIRAN I DONE'!$F$21="Lektor Kepala",'LAMPIRAN I DONE'!$F$21="Guru Besar"),1,"")))+(((I107*J107)-(10-SUMPRODUCT($I$101:I106,$J$101:J106)))*IF('LAMPIRAN I DONE'!$F$21="Tenaga Pengajar",0.25,IF(OR('LAMPIRAN I DONE'!$F$21="Asisten Ahli",'LAMPIRAN I DONE'!$F$21="Lektor",'LAMPIRAN I DONE'!$F$21="Lektor Kepala",'LAMPIRAN I DONE'!$F$21="Guru Besar"),0.5,"")))),IF(OR(AND(L107="sks&gt;10",L106="sks&gt;10"),AND(L107="sks&gt;10",L106="sks&lt;=10")),I107*J107*IF('LAMPIRAN I DONE'!$F$21="Tenaga Pengajar",0.25,IF(OR('LAMPIRAN I DONE'!$F$21="Asisten Ahli",'LAMPIRAN I DONE'!$F$21="Lektor",'LAMPIRAN I DONE'!$F$21="Lektor Kepala",'LAMPIRAN I DONE'!$F$21="Guru Besar"),0.5,"")),I107*J107*IF('LAMPIRAN I DONE'!$F$21="Tenaga Pengajar",0.5,IF(OR('LAMPIRAN I DONE'!$F$21="Asisten Ahli",'LAMPIRAN I DONE'!$F$21="Lektor",'LAMPIRAN I DONE'!$F$21="Lektor Kepala",'LAMPIRAN I DONE'!$F$21="Guru Besar"),1,""))))),"rumus")</f>
        <v>rumus</v>
      </c>
      <c r="L107" s="401" t="str">
        <f t="shared" si="39"/>
        <v>rumus</v>
      </c>
      <c r="M107" s="4"/>
      <c r="N107" s="4"/>
      <c r="O107" s="4"/>
      <c r="P107" s="4"/>
      <c r="Q107" s="4"/>
      <c r="R107" s="4"/>
      <c r="S107" s="4"/>
      <c r="T107" s="4"/>
      <c r="U107" s="4"/>
      <c r="V107" s="4"/>
      <c r="W107" s="4"/>
      <c r="X107" s="4"/>
      <c r="Y107" s="4"/>
      <c r="Z107" s="4"/>
    </row>
    <row r="108" spans="1:26" ht="15" customHeight="1" x14ac:dyDescent="0.25">
      <c r="A108" s="109"/>
      <c r="B108" s="406" t="str">
        <f>"a. Semester Gasal "&amp;IF(C109&lt;&gt;"",C109,"")&amp;" :"</f>
        <v>a. Semester Gasal 2022/2023 :</v>
      </c>
      <c r="C108" s="407"/>
      <c r="D108" s="410"/>
      <c r="E108" s="410"/>
      <c r="F108" s="410"/>
      <c r="G108" s="410"/>
      <c r="H108" s="411"/>
      <c r="I108" s="110"/>
      <c r="J108" s="110"/>
      <c r="K108" s="4"/>
      <c r="L108" s="4"/>
      <c r="M108" s="111">
        <f>IF((AND(N108="Max 5,5",SUM(K102:K107)&lt;=5.5)),SUM(K102:K107),IF((AND(N108="Max 5,5",SUM(K102:K107)&gt;5.5)),5.5,IF((AND(N108="Max 11",SUM(K102:K107)&lt;=11)),SUM(K102:K107),IF((AND(N108="Max 11",SUM(K102:K107)&gt;11)),11,""))))</f>
        <v>11</v>
      </c>
      <c r="N108" s="103" t="str">
        <f>IF('LAMPIRAN I DONE'!$F$21="Tenaga Pengajar","Max 5,5",IF(OR('LAMPIRAN I DONE'!$F$21="Asisten Ahli",'LAMPIRAN I DONE'!$F$21="Lektor",'LAMPIRAN I DONE'!$F$21="Lektor Kepala",'LAMPIRAN I DONE'!$F$21="Guru Besar"),"Max 11",""))</f>
        <v>Max 11</v>
      </c>
      <c r="O108" s="4"/>
      <c r="P108" s="4"/>
      <c r="Q108" s="4"/>
      <c r="R108" s="4"/>
      <c r="S108" s="4"/>
      <c r="T108" s="4"/>
      <c r="U108" s="4"/>
      <c r="V108" s="4"/>
      <c r="W108" s="4"/>
      <c r="X108" s="4"/>
      <c r="Y108" s="4"/>
      <c r="Z108" s="4"/>
    </row>
    <row r="109" spans="1:26" ht="25.5" customHeight="1" x14ac:dyDescent="0.25">
      <c r="A109" s="109">
        <v>1</v>
      </c>
      <c r="B109" s="570" t="s">
        <v>344</v>
      </c>
      <c r="C109" s="106" t="s">
        <v>345</v>
      </c>
      <c r="D109" s="106" t="str">
        <f t="shared" ref="D109:D114" si="40">IF(G109&lt;&gt;"rumus","SKS","")</f>
        <v>SKS</v>
      </c>
      <c r="E109" s="398" t="str">
        <f t="shared" ref="E109:E114" si="41">IF(K109&lt;&gt;"rumus",(IF(OR(AND(L109="sks&gt;10",L108="sks&lt;=10",IFERROR(SUMPRODUCT($I$108:I108,$J$108:J108)&lt;10,FALSE)),AND(L109="sks&gt;10",L108="")),(((10-SUMPRODUCT($I$108:I108,$J$108:J108))&amp;" x "&amp;1)&amp;"
"&amp;(((I109*J109)-(10-SUMPRODUCT($I$108:I108,$J$108:J108)))&amp;" x "&amp;1)),(I109&amp;" x "&amp;J109))),"")</f>
        <v>4 x 1</v>
      </c>
      <c r="F109" s="398">
        <f>IF(K109&lt;&gt;"rumus",(IF(OR(AND(L109="sks&gt;10",L108="sks&lt;=10",IFERROR(SUMPRODUCT($I$108:I108,$J$108:J108)&lt;10,FALSE)),AND(L109="sks&gt;10",L108="")),((IF('LAMPIRAN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Besar"),0.5,"")))),((IF(OR(AND(L109="sks&gt;10",L108="sks&gt;10"),AND(L109="sks&gt;10",L108="sks&lt;=10")),IF('LAMPIRAN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09" s="398" t="str">
        <f>IF(K109&lt;&gt;"rumus",(IF(OR(AND(L109="sks&gt;10",L108="sks&lt;=10",IFERROR(SUMPRODUCT($I$108:I108,$J$108:J108)&lt;10,FALSE)),AND(L109="sks&gt;10",L108="")),(((10-SUMPRODUCT($I$108:I108,$J$108:J108))&amp;" x "&amp;1&amp;" x "&amp;IF('LAMPIRAN I DONE'!$F$21="Tenaga Pengajar",0.5,IF(OR('LAMPIRAN I DONE'!$F$21="Asisten Ahli",'LAMPIRAN I DONE'!$F$21="Lektor",'LAMPIRAN I DONE'!$F$21="Lektor Kepala",'LAMPIRAN I DONE'!$F$21="Guru Besar"),1,""))&amp;" = "&amp;((10-SUMPRODUCT($I$108:I108,$J$108:J108))*IF('LAMPIRAN I DONE'!$F$21="Tenaga Pengajar",0.5,IF(OR('LAMPIRAN I DONE'!$F$21="Asisten Ahli",'LAMPIRAN I DONE'!$F$21="Lektor",'LAMPIRAN I DONE'!$F$21="Lektor Kepala",'LAMPIRAN I DONE'!$F$21="Guru Besar"),1,""))))&amp;"
"&amp;(((I109*J109)-(10-SUMPRODUCT($I$108:I108,$J$108:J108)))&amp;" x "&amp;1&amp;" x "&amp;IF('LAMPIRAN I DONE'!$F$21="Tenaga Pengajar",0.25,IF(OR('LAMPIRAN I DONE'!$F$21="Asisten Ahli",'LAMPIRAN I DONE'!$F$21="Lektor",'LAMPIRAN I DONE'!$F$21="Lektor Kepala",'LAMPIRAN I DONE'!$F$21="Guru Besar"),0.5,""))&amp;" = "&amp;(((I109*J109)-(10-SUMPRODUCT($I$108:I108,$J$108:J108)))*IF('LAMPIRAN I DONE'!$F$21="Tenaga Pengajar",0.25,IF(OR('LAMPIRAN I DONE'!$F$21="Asisten Ahli",'LAMPIRAN I DONE'!$F$21="Lektor",'LAMPIRAN I DONE'!$F$21="Lektor Kepala",'LAMPIRAN I DONE'!$F$21="Guru Besar"),0.5,""))))),(I109&amp;" x "&amp;J109&amp;" x "&amp;(IF(OR(AND(L109="sks&gt;10",L108="sks&gt;10"),AND(L109="sks&gt;10",L108="sks&lt;=10")),IF('LAMPIRAN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"&amp;K109))),"rumus")</f>
        <v>4 x 1 x 1 = 4</v>
      </c>
      <c r="H109" s="106" t="s">
        <v>346</v>
      </c>
      <c r="I109" s="409">
        <v>4</v>
      </c>
      <c r="J109" s="409">
        <v>1</v>
      </c>
      <c r="K109" s="401">
        <f>IF(AND(I109&lt;&gt;"",J109&lt;&gt;""),(IF(OR(AND(L109="sks&gt;10",L108="sks&lt;=10",IFERROR(SUMPRODUCT($I$108:I108,$J$108:J108)&lt;10,FALSE)),AND(L109="sks&gt;10",L108="")),(((10-SUMPRODUCT($I$108:I108,$J$108:J108))*IF('LAMPIRAN I DONE'!$F$21="Tenaga Pengajar",0.5,IF(OR('LAMPIRAN I DONE'!$F$21="Asisten Ahli",'LAMPIRAN I DONE'!$F$21="Lektor",'LAMPIRAN I DONE'!$F$21="Lektor Kepala",'LAMPIRAN I DONE'!$F$21="Guru Besar"),1,"")))+(((I109*J109)-(10-SUMPRODUCT($I$108:I108,$J$108:J108)))*IF('LAMPIRAN I DONE'!$F$21="Tenaga Pengajar",0.25,IF(OR('LAMPIRAN I DONE'!$F$21="Asisten Ahli",'LAMPIRAN I DONE'!$F$21="Lektor",'LAMPIRAN I DONE'!$F$21="Lektor Kepala",'LAMPIRAN I DONE'!$F$21="Guru Besar"),0.5,"")))),IF(OR(AND(L109="sks&gt;10",L108="sks&gt;10"),AND(L109="sks&gt;10",L108="sks&lt;=10")),I109*J109*IF('LAMPIRAN I DONE'!$F$21="Tenaga Pengajar",0.25,IF(OR('LAMPIRAN I DONE'!$F$21="Asisten Ahli",'LAMPIRAN I DONE'!$F$21="Lektor",'LAMPIRAN I DONE'!$F$21="Lektor Kepala",'LAMPIRAN I DONE'!$F$21="Guru Besar"),0.5,"")),I109*J109*IF('LAMPIRAN I DONE'!$F$21="Tenaga Pengajar",0.5,IF(OR('LAMPIRAN I DONE'!$F$21="Asisten Ahli",'LAMPIRAN I DONE'!$F$21="Lektor",'LAMPIRAN I DONE'!$F$21="Lektor Kepala",'LAMPIRAN I DONE'!$F$21="Guru Besar"),1,""))))),"rumus")</f>
        <v>4</v>
      </c>
      <c r="L109" s="401" t="str">
        <f t="shared" ref="L109:L114" si="42">IF(AND(I109&lt;&gt;"",J109&lt;&gt;""),(IF(SUMPRODUCT($I$109:I109,$J$109:J109)&lt;=10,"SKS&lt;=10",IF(SUMPRODUCT($I$109:I109,$J$109:J109)&gt;10,"SKS&gt;10",""))),"rumus")</f>
        <v>SKS&lt;=10</v>
      </c>
      <c r="M109" s="4"/>
      <c r="N109" s="4"/>
      <c r="O109" s="4"/>
      <c r="P109" s="4"/>
      <c r="Q109" s="4"/>
      <c r="R109" s="4"/>
      <c r="S109" s="4"/>
      <c r="T109" s="4"/>
      <c r="U109" s="4"/>
      <c r="V109" s="4"/>
      <c r="W109" s="4"/>
      <c r="X109" s="4"/>
      <c r="Y109" s="4"/>
      <c r="Z109" s="4"/>
    </row>
    <row r="110" spans="1:26" ht="25.5" customHeight="1" x14ac:dyDescent="0.25">
      <c r="A110" s="109">
        <v>2</v>
      </c>
      <c r="B110" s="571" t="s">
        <v>347</v>
      </c>
      <c r="C110" s="106" t="s">
        <v>345</v>
      </c>
      <c r="D110" s="106" t="str">
        <f t="shared" si="40"/>
        <v>SKS</v>
      </c>
      <c r="E110" s="398" t="str">
        <f t="shared" si="41"/>
        <v>6 x 1
2 x 1</v>
      </c>
      <c r="F110" s="398" t="str">
        <f>IF(K110&lt;&gt;"rumus",(IF(OR(AND(L110="sks&gt;10",L109="sks&lt;=10",IFERROR(SUMPRODUCT($I$108:I109,$J$108:J109)&lt;10,FALSE)),AND(L110="sks&gt;10",L109="")),((IF('LAMPIRAN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Besar"),0.5,"")))),((IF(OR(AND(L110="sks&gt;10",L109="sks&gt;10"),AND(L110="sks&gt;10",L109="sks&lt;=10")),IF('LAMPIRAN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
0.5</v>
      </c>
      <c r="G110" s="398" t="str">
        <f>IF(K110&lt;&gt;"rumus",(IF(OR(AND(L110="sks&gt;10",L109="sks&lt;=10",IFERROR(SUMPRODUCT($I$108:I109,$J$108:J109)&lt;10,FALSE)),AND(L110="sks&gt;10",L109="")),(((10-SUMPRODUCT($I$108:I109,$J$108:J109))&amp;" x "&amp;1&amp;" x "&amp;IF('LAMPIRAN I DONE'!$F$21="Tenaga Pengajar",0.5,IF(OR('LAMPIRAN I DONE'!$F$21="Asisten Ahli",'LAMPIRAN I DONE'!$F$21="Lektor",'LAMPIRAN I DONE'!$F$21="Lektor Kepala",'LAMPIRAN I DONE'!$F$21="Guru Besar"),1,""))&amp;" = "&amp;((10-SUMPRODUCT($I$108:I109,$J$108:J109))*IF('LAMPIRAN I DONE'!$F$21="Tenaga Pengajar",0.5,IF(OR('LAMPIRAN I DONE'!$F$21="Asisten Ahli",'LAMPIRAN I DONE'!$F$21="Lektor",'LAMPIRAN I DONE'!$F$21="Lektor Kepala",'LAMPIRAN I DONE'!$F$21="Guru Besar"),1,""))))&amp;"
"&amp;(((I110*J110)-(10-SUMPRODUCT($I$108:I109,$J$108:J109)))&amp;" x "&amp;1&amp;" x "&amp;IF('LAMPIRAN I DONE'!$F$21="Tenaga Pengajar",0.25,IF(OR('LAMPIRAN I DONE'!$F$21="Asisten Ahli",'LAMPIRAN I DONE'!$F$21="Lektor",'LAMPIRAN I DONE'!$F$21="Lektor Kepala",'LAMPIRAN I DONE'!$F$21="Guru Besar"),0.5,""))&amp;" = "&amp;(((I110*J110)-(10-SUMPRODUCT($I$108:I109,$J$108:J109)))*IF('LAMPIRAN I DONE'!$F$21="Tenaga Pengajar",0.25,IF(OR('LAMPIRAN I DONE'!$F$21="Asisten Ahli",'LAMPIRAN I DONE'!$F$21="Lektor",'LAMPIRAN I DONE'!$F$21="Lektor Kepala",'LAMPIRAN I DONE'!$F$21="Guru Besar"),0.5,""))))),(I110&amp;" x "&amp;J110&amp;" x "&amp;(IF(OR(AND(L110="sks&gt;10",L109="sks&gt;10"),AND(L110="sks&gt;10",L109="sks&lt;=10")),IF('LAMPIRAN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"&amp;K110))),"rumus")</f>
        <v>6 x 1 x 1 = 6
2 x 1 x 0.5 = 1</v>
      </c>
      <c r="H110" s="106" t="s">
        <v>346</v>
      </c>
      <c r="I110" s="409">
        <v>4</v>
      </c>
      <c r="J110" s="409">
        <v>2</v>
      </c>
      <c r="K110" s="401">
        <f>IF(AND(I110&lt;&gt;"",J110&lt;&gt;""),(IF(OR(AND(L110="sks&gt;10",L109="sks&lt;=10",IFERROR(SUMPRODUCT($I$108:I109,$J$108:J109)&lt;10,FALSE)),AND(L110="sks&gt;10",L109="")),(((10-SUMPRODUCT($I$108:I109,$J$108:J109))*IF('LAMPIRAN I DONE'!$F$21="Tenaga Pengajar",0.5,IF(OR('LAMPIRAN I DONE'!$F$21="Asisten Ahli",'LAMPIRAN I DONE'!$F$21="Lektor",'LAMPIRAN I DONE'!$F$21="Lektor Kepala",'LAMPIRAN I DONE'!$F$21="Guru Besar"),1,"")))+(((I110*J110)-(10-SUMPRODUCT($I$108:I109,$J$108:J109)))*IF('LAMPIRAN I DONE'!$F$21="Tenaga Pengajar",0.25,IF(OR('LAMPIRAN I DONE'!$F$21="Asisten Ahli",'LAMPIRAN I DONE'!$F$21="Lektor",'LAMPIRAN I DONE'!$F$21="Lektor Kepala",'LAMPIRAN I DONE'!$F$21="Guru Besar"),0.5,"")))),IF(OR(AND(L110="sks&gt;10",L109="sks&gt;10"),AND(L110="sks&gt;10",L109="sks&lt;=10")),I110*J110*IF('LAMPIRAN I DONE'!$F$21="Tenaga Pengajar",0.25,IF(OR('LAMPIRAN I DONE'!$F$21="Asisten Ahli",'LAMPIRAN I DONE'!$F$21="Lektor",'LAMPIRAN I DONE'!$F$21="Lektor Kepala",'LAMPIRAN I DONE'!$F$21="Guru Besar"),0.5,"")),I110*J110*IF('LAMPIRAN I DONE'!$F$21="Tenaga Pengajar",0.5,IF(OR('LAMPIRAN I DONE'!$F$21="Asisten Ahli",'LAMPIRAN I DONE'!$F$21="Lektor",'LAMPIRAN I DONE'!$F$21="Lektor Kepala",'LAMPIRAN I DONE'!$F$21="Guru Besar"),1,""))))),"rumus")</f>
        <v>7</v>
      </c>
      <c r="L110" s="401" t="str">
        <f t="shared" si="42"/>
        <v>SKS&gt;10</v>
      </c>
      <c r="M110" s="4"/>
      <c r="N110" s="4"/>
      <c r="O110" s="4"/>
      <c r="P110" s="4"/>
      <c r="Q110" s="4"/>
      <c r="R110" s="4"/>
      <c r="S110" s="4"/>
      <c r="T110" s="4"/>
      <c r="U110" s="4"/>
      <c r="V110" s="4"/>
      <c r="W110" s="4"/>
      <c r="X110" s="4"/>
      <c r="Y110" s="4"/>
      <c r="Z110" s="4"/>
    </row>
    <row r="111" spans="1:26" ht="25.5" customHeight="1" x14ac:dyDescent="0.25">
      <c r="A111" s="109">
        <v>3</v>
      </c>
      <c r="B111" s="397" t="s">
        <v>314</v>
      </c>
      <c r="C111" s="106" t="s">
        <v>345</v>
      </c>
      <c r="D111" s="106" t="str">
        <f t="shared" si="40"/>
        <v/>
      </c>
      <c r="E111" s="398" t="str">
        <f t="shared" si="41"/>
        <v/>
      </c>
      <c r="F111" s="398" t="str">
        <f>IF(K111&lt;&gt;"rumus",(IF(OR(AND(L111="sks&gt;10",L110="sks&lt;=10",IFERROR(SUMPRODUCT($I$108:I110,$J$108:J110)&lt;10,FALSE)),AND(L111="sks&gt;10",L110="")),((IF('LAMPIRAN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Besar"),0.5,"")))),((IF(OR(AND(L111="sks&gt;10",L110="sks&gt;10"),AND(L111="sks&gt;10",L110="sks&lt;=10")),IF('LAMPIRAN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11" s="398" t="str">
        <f>IF(K111&lt;&gt;"rumus",(IF(OR(AND(L111="sks&gt;10",L110="sks&lt;=10",IFERROR(SUMPRODUCT($I$108:I110,$J$108:J110)&lt;10,FALSE)),AND(L111="sks&gt;10",L110="")),(((10-SUMPRODUCT($I$108:I110,$J$108:J110))&amp;" x "&amp;1&amp;" x "&amp;IF('LAMPIRAN I DONE'!$F$21="Tenaga Pengajar",0.5,IF(OR('LAMPIRAN I DONE'!$F$21="Asisten Ahli",'LAMPIRAN I DONE'!$F$21="Lektor",'LAMPIRAN I DONE'!$F$21="Lektor Kepala",'LAMPIRAN I DONE'!$F$21="Guru Besar"),1,""))&amp;" = "&amp;((10-SUMPRODUCT($I$108:I110,$J$108:J110))*IF('LAMPIRAN I DONE'!$F$21="Tenaga Pengajar",0.5,IF(OR('LAMPIRAN I DONE'!$F$21="Asisten Ahli",'LAMPIRAN I DONE'!$F$21="Lektor",'LAMPIRAN I DONE'!$F$21="Lektor Kepala",'LAMPIRAN I DONE'!$F$21="Guru Besar"),1,""))))&amp;"
"&amp;(((I111*J111)-(10-SUMPRODUCT($I$108:I110,$J$108:J110)))&amp;" x "&amp;1&amp;" x "&amp;IF('LAMPIRAN I DONE'!$F$21="Tenaga Pengajar",0.25,IF(OR('LAMPIRAN I DONE'!$F$21="Asisten Ahli",'LAMPIRAN I DONE'!$F$21="Lektor",'LAMPIRAN I DONE'!$F$21="Lektor Kepala",'LAMPIRAN I DONE'!$F$21="Guru Besar"),0.5,""))&amp;" = "&amp;(((I111*J111)-(10-SUMPRODUCT($I$108:I110,$J$108:J110)))*IF('LAMPIRAN I DONE'!$F$21="Tenaga Pengajar",0.25,IF(OR('LAMPIRAN I DONE'!$F$21="Asisten Ahli",'LAMPIRAN I DONE'!$F$21="Lektor",'LAMPIRAN I DONE'!$F$21="Lektor Kepala",'LAMPIRAN I DONE'!$F$21="Guru Besar"),0.5,""))))),(I111&amp;" x "&amp;J111&amp;" x "&amp;(IF(OR(AND(L111="sks&gt;10",L110="sks&gt;10"),AND(L111="sks&gt;10",L110="sks&lt;=10")),IF('LAMPIRAN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"&amp;K111))),"rumus")</f>
        <v>rumus</v>
      </c>
      <c r="H111" s="106" t="s">
        <v>315</v>
      </c>
      <c r="I111" s="409"/>
      <c r="J111" s="409"/>
      <c r="K111" s="401" t="str">
        <f>IF(AND(I111&lt;&gt;"",J111&lt;&gt;""),(IF(OR(AND(L111="sks&gt;10",L110="sks&lt;=10",IFERROR(SUMPRODUCT($I$108:I110,$J$108:J110)&lt;10,FALSE)),AND(L111="sks&gt;10",L110="")),(((10-SUMPRODUCT($I$108:I110,$J$108:J110))*IF('LAMPIRAN I DONE'!$F$21="Tenaga Pengajar",0.5,IF(OR('LAMPIRAN I DONE'!$F$21="Asisten Ahli",'LAMPIRAN I DONE'!$F$21="Lektor",'LAMPIRAN I DONE'!$F$21="Lektor Kepala",'LAMPIRAN I DONE'!$F$21="Guru Besar"),1,"")))+(((I111*J111)-(10-SUMPRODUCT($I$108:I110,$J$108:J110)))*IF('LAMPIRAN I DONE'!$F$21="Tenaga Pengajar",0.25,IF(OR('LAMPIRAN I DONE'!$F$21="Asisten Ahli",'LAMPIRAN I DONE'!$F$21="Lektor",'LAMPIRAN I DONE'!$F$21="Lektor Kepala",'LAMPIRAN I DONE'!$F$21="Guru Besar"),0.5,"")))),IF(OR(AND(L111="sks&gt;10",L110="sks&gt;10"),AND(L111="sks&gt;10",L110="sks&lt;=10")),I111*J111*IF('LAMPIRAN I DONE'!$F$21="Tenaga Pengajar",0.25,IF(OR('LAMPIRAN I DONE'!$F$21="Asisten Ahli",'LAMPIRAN I DONE'!$F$21="Lektor",'LAMPIRAN I DONE'!$F$21="Lektor Kepala",'LAMPIRAN I DONE'!$F$21="Guru Besar"),0.5,"")),I111*J111*IF('LAMPIRAN I DONE'!$F$21="Tenaga Pengajar",0.5,IF(OR('LAMPIRAN I DONE'!$F$21="Asisten Ahli",'LAMPIRAN I DONE'!$F$21="Lektor",'LAMPIRAN I DONE'!$F$21="Lektor Kepala",'LAMPIRAN I DONE'!$F$21="Guru Besar"),1,""))))),"rumus")</f>
        <v>rumus</v>
      </c>
      <c r="L111" s="401" t="str">
        <f t="shared" si="42"/>
        <v>rumus</v>
      </c>
      <c r="M111" s="4"/>
      <c r="N111" s="4"/>
      <c r="O111" s="4"/>
      <c r="P111" s="4"/>
      <c r="Q111" s="4"/>
      <c r="R111" s="4"/>
      <c r="S111" s="4"/>
      <c r="T111" s="4"/>
      <c r="U111" s="4"/>
      <c r="V111" s="4"/>
      <c r="W111" s="4"/>
      <c r="X111" s="4"/>
      <c r="Y111" s="4"/>
      <c r="Z111" s="4"/>
    </row>
    <row r="112" spans="1:26" ht="25.5" customHeight="1" x14ac:dyDescent="0.25">
      <c r="A112" s="109">
        <v>4</v>
      </c>
      <c r="B112" s="397" t="s">
        <v>314</v>
      </c>
      <c r="C112" s="106" t="s">
        <v>345</v>
      </c>
      <c r="D112" s="106" t="str">
        <f t="shared" si="40"/>
        <v/>
      </c>
      <c r="E112" s="398" t="str">
        <f t="shared" si="41"/>
        <v/>
      </c>
      <c r="F112" s="398" t="str">
        <f>IF(K112&lt;&gt;"rumus",(IF(OR(AND(L112="sks&gt;10",L111="sks&lt;=10",IFERROR(SUMPRODUCT($I$108:I111,$J$108:J111)&lt;10,FALSE)),AND(L112="sks&gt;10",L111="")),((IF('LAMPIRAN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Besar"),0.5,"")))),((IF(OR(AND(L112="sks&gt;10",L111="sks&gt;10"),AND(L112="sks&gt;10",L111="sks&lt;=10")),IF('LAMPIRAN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12" s="398" t="str">
        <f>IF(K112&lt;&gt;"rumus",(IF(OR(AND(L112="sks&gt;10",L111="sks&lt;=10",IFERROR(SUMPRODUCT($I$108:I111,$J$108:J111)&lt;10,FALSE)),AND(L112="sks&gt;10",L111="")),(((10-SUMPRODUCT($I$108:I111,$J$108:J111))&amp;" x "&amp;1&amp;" x "&amp;IF('LAMPIRAN I DONE'!$F$21="Tenaga Pengajar",0.5,IF(OR('LAMPIRAN I DONE'!$F$21="Asisten Ahli",'LAMPIRAN I DONE'!$F$21="Lektor",'LAMPIRAN I DONE'!$F$21="Lektor Kepala",'LAMPIRAN I DONE'!$F$21="Guru Besar"),1,""))&amp;" = "&amp;((10-SUMPRODUCT($I$108:I111,$J$108:J111))*IF('LAMPIRAN I DONE'!$F$21="Tenaga Pengajar",0.5,IF(OR('LAMPIRAN I DONE'!$F$21="Asisten Ahli",'LAMPIRAN I DONE'!$F$21="Lektor",'LAMPIRAN I DONE'!$F$21="Lektor Kepala",'LAMPIRAN I DONE'!$F$21="Guru Besar"),1,""))))&amp;"
"&amp;(((I112*J112)-(10-SUMPRODUCT($I$108:I111,$J$108:J111)))&amp;" x "&amp;1&amp;" x "&amp;IF('LAMPIRAN I DONE'!$F$21="Tenaga Pengajar",0.25,IF(OR('LAMPIRAN I DONE'!$F$21="Asisten Ahli",'LAMPIRAN I DONE'!$F$21="Lektor",'LAMPIRAN I DONE'!$F$21="Lektor Kepala",'LAMPIRAN I DONE'!$F$21="Guru Besar"),0.5,""))&amp;" = "&amp;(((I112*J112)-(10-SUMPRODUCT($I$108:I111,$J$108:J111)))*IF('LAMPIRAN I DONE'!$F$21="Tenaga Pengajar",0.25,IF(OR('LAMPIRAN I DONE'!$F$21="Asisten Ahli",'LAMPIRAN I DONE'!$F$21="Lektor",'LAMPIRAN I DONE'!$F$21="Lektor Kepala",'LAMPIRAN I DONE'!$F$21="Guru Besar"),0.5,""))))),(I112&amp;" x "&amp;J112&amp;" x "&amp;(IF(OR(AND(L112="sks&gt;10",L111="sks&gt;10"),AND(L112="sks&gt;10",L111="sks&lt;=10")),IF('LAMPIRAN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"&amp;K112))),"rumus")</f>
        <v>rumus</v>
      </c>
      <c r="H112" s="106" t="s">
        <v>315</v>
      </c>
      <c r="I112" s="409"/>
      <c r="J112" s="409"/>
      <c r="K112" s="401" t="str">
        <f>IF(AND(I112&lt;&gt;"",J112&lt;&gt;""),(IF(OR(AND(L112="sks&gt;10",L111="sks&lt;=10",IFERROR(SUMPRODUCT($I$108:I111,$J$108:J111)&lt;10,FALSE)),AND(L112="sks&gt;10",L111="")),(((10-SUMPRODUCT($I$108:I111,$J$108:J111))*IF('LAMPIRAN I DONE'!$F$21="Tenaga Pengajar",0.5,IF(OR('LAMPIRAN I DONE'!$F$21="Asisten Ahli",'LAMPIRAN I DONE'!$F$21="Lektor",'LAMPIRAN I DONE'!$F$21="Lektor Kepala",'LAMPIRAN I DONE'!$F$21="Guru Besar"),1,"")))+(((I112*J112)-(10-SUMPRODUCT($I$108:I111,$J$108:J111)))*IF('LAMPIRAN I DONE'!$F$21="Tenaga Pengajar",0.25,IF(OR('LAMPIRAN I DONE'!$F$21="Asisten Ahli",'LAMPIRAN I DONE'!$F$21="Lektor",'LAMPIRAN I DONE'!$F$21="Lektor Kepala",'LAMPIRAN I DONE'!$F$21="Guru Besar"),0.5,"")))),IF(OR(AND(L112="sks&gt;10",L111="sks&gt;10"),AND(L112="sks&gt;10",L111="sks&lt;=10")),I112*J112*IF('LAMPIRAN I DONE'!$F$21="Tenaga Pengajar",0.25,IF(OR('LAMPIRAN I DONE'!$F$21="Asisten Ahli",'LAMPIRAN I DONE'!$F$21="Lektor",'LAMPIRAN I DONE'!$F$21="Lektor Kepala",'LAMPIRAN I DONE'!$F$21="Guru Besar"),0.5,"")),I112*J112*IF('LAMPIRAN I DONE'!$F$21="Tenaga Pengajar",0.5,IF(OR('LAMPIRAN I DONE'!$F$21="Asisten Ahli",'LAMPIRAN I DONE'!$F$21="Lektor",'LAMPIRAN I DONE'!$F$21="Lektor Kepala",'LAMPIRAN I DONE'!$F$21="Guru Besar"),1,""))))),"rumus")</f>
        <v>rumus</v>
      </c>
      <c r="L112" s="401" t="str">
        <f t="shared" si="42"/>
        <v>rumus</v>
      </c>
      <c r="M112" s="4"/>
      <c r="N112" s="4"/>
      <c r="O112" s="4"/>
      <c r="P112" s="4"/>
      <c r="Q112" s="4"/>
      <c r="R112" s="4"/>
      <c r="S112" s="4"/>
      <c r="T112" s="4"/>
      <c r="U112" s="4"/>
      <c r="V112" s="4"/>
      <c r="W112" s="4"/>
      <c r="X112" s="4"/>
      <c r="Y112" s="4"/>
      <c r="Z112" s="4"/>
    </row>
    <row r="113" spans="1:26" ht="25.5" customHeight="1" x14ac:dyDescent="0.25">
      <c r="A113" s="109">
        <v>5</v>
      </c>
      <c r="B113" s="397" t="s">
        <v>314</v>
      </c>
      <c r="C113" s="106" t="s">
        <v>345</v>
      </c>
      <c r="D113" s="106" t="str">
        <f t="shared" si="40"/>
        <v/>
      </c>
      <c r="E113" s="398" t="str">
        <f t="shared" si="41"/>
        <v/>
      </c>
      <c r="F113" s="398" t="str">
        <f>IF(K113&lt;&gt;"rumus",(IF(OR(AND(L113="sks&gt;10",L112="sks&lt;=10",IFERROR(SUMPRODUCT($I$108:I112,$J$108:J112)&lt;10,FALSE)),AND(L113="sks&gt;10",L112="")),((IF('LAMPIRAN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Besar"),0.5,"")))),((IF(OR(AND(L113="sks&gt;10",L112="sks&gt;10"),AND(L113="sks&gt;10",L112="sks&lt;=10")),IF('LAMPIRAN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13" s="398" t="str">
        <f>IF(K113&lt;&gt;"rumus",(IF(OR(AND(L113="sks&gt;10",L112="sks&lt;=10",IFERROR(SUMPRODUCT($I$108:I112,$J$108:J112)&lt;10,FALSE)),AND(L113="sks&gt;10",L112="")),(((10-SUMPRODUCT($I$108:I112,$J$108:J112))&amp;" x "&amp;1&amp;" x "&amp;IF('LAMPIRAN I DONE'!$F$21="Tenaga Pengajar",0.5,IF(OR('LAMPIRAN I DONE'!$F$21="Asisten Ahli",'LAMPIRAN I DONE'!$F$21="Lektor",'LAMPIRAN I DONE'!$F$21="Lektor Kepala",'LAMPIRAN I DONE'!$F$21="Guru Besar"),1,""))&amp;" = "&amp;((10-SUMPRODUCT($I$108:I112,$J$108:J112))*IF('LAMPIRAN I DONE'!$F$21="Tenaga Pengajar",0.5,IF(OR('LAMPIRAN I DONE'!$F$21="Asisten Ahli",'LAMPIRAN I DONE'!$F$21="Lektor",'LAMPIRAN I DONE'!$F$21="Lektor Kepala",'LAMPIRAN I DONE'!$F$21="Guru Besar"),1,""))))&amp;"
"&amp;(((I113*J113)-(10-SUMPRODUCT($I$108:I112,$J$108:J112)))&amp;" x "&amp;1&amp;" x "&amp;IF('LAMPIRAN I DONE'!$F$21="Tenaga Pengajar",0.25,IF(OR('LAMPIRAN I DONE'!$F$21="Asisten Ahli",'LAMPIRAN I DONE'!$F$21="Lektor",'LAMPIRAN I DONE'!$F$21="Lektor Kepala",'LAMPIRAN I DONE'!$F$21="Guru Besar"),0.5,""))&amp;" = "&amp;(((I113*J113)-(10-SUMPRODUCT($I$108:I112,$J$108:J112)))*IF('LAMPIRAN I DONE'!$F$21="Tenaga Pengajar",0.25,IF(OR('LAMPIRAN I DONE'!$F$21="Asisten Ahli",'LAMPIRAN I DONE'!$F$21="Lektor",'LAMPIRAN I DONE'!$F$21="Lektor Kepala",'LAMPIRAN I DONE'!$F$21="Guru Besar"),0.5,""))))),(I113&amp;" x "&amp;J113&amp;" x "&amp;(IF(OR(AND(L113="sks&gt;10",L112="sks&gt;10"),AND(L113="sks&gt;10",L112="sks&lt;=10")),IF('LAMPIRAN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"&amp;K113))),"rumus")</f>
        <v>rumus</v>
      </c>
      <c r="H113" s="106" t="s">
        <v>315</v>
      </c>
      <c r="I113" s="409"/>
      <c r="J113" s="409"/>
      <c r="K113" s="401" t="str">
        <f>IF(AND(I113&lt;&gt;"",J113&lt;&gt;""),(IF(OR(AND(L113="sks&gt;10",L112="sks&lt;=10",IFERROR(SUMPRODUCT($I$108:I112,$J$108:J112)&lt;10,FALSE)),AND(L113="sks&gt;10",L112="")),(((10-SUMPRODUCT($I$108:I112,$J$108:J112))*IF('LAMPIRAN I DONE'!$F$21="Tenaga Pengajar",0.5,IF(OR('LAMPIRAN I DONE'!$F$21="Asisten Ahli",'LAMPIRAN I DONE'!$F$21="Lektor",'LAMPIRAN I DONE'!$F$21="Lektor Kepala",'LAMPIRAN I DONE'!$F$21="Guru Besar"),1,"")))+(((I113*J113)-(10-SUMPRODUCT($I$108:I112,$J$108:J112)))*IF('LAMPIRAN I DONE'!$F$21="Tenaga Pengajar",0.25,IF(OR('LAMPIRAN I DONE'!$F$21="Asisten Ahli",'LAMPIRAN I DONE'!$F$21="Lektor",'LAMPIRAN I DONE'!$F$21="Lektor Kepala",'LAMPIRAN I DONE'!$F$21="Guru Besar"),0.5,"")))),IF(OR(AND(L113="sks&gt;10",L112="sks&gt;10"),AND(L113="sks&gt;10",L112="sks&lt;=10")),I113*J113*IF('LAMPIRAN I DONE'!$F$21="Tenaga Pengajar",0.25,IF(OR('LAMPIRAN I DONE'!$F$21="Asisten Ahli",'LAMPIRAN I DONE'!$F$21="Lektor",'LAMPIRAN I DONE'!$F$21="Lektor Kepala",'LAMPIRAN I DONE'!$F$21="Guru Besar"),0.5,"")),I113*J113*IF('LAMPIRAN I DONE'!$F$21="Tenaga Pengajar",0.5,IF(OR('LAMPIRAN I DONE'!$F$21="Asisten Ahli",'LAMPIRAN I DONE'!$F$21="Lektor",'LAMPIRAN I DONE'!$F$21="Lektor Kepala",'LAMPIRAN I DONE'!$F$21="Guru Besar"),1,""))))),"rumus")</f>
        <v>rumus</v>
      </c>
      <c r="L113" s="401" t="str">
        <f t="shared" si="42"/>
        <v>rumus</v>
      </c>
      <c r="M113" s="4"/>
      <c r="N113" s="4"/>
      <c r="O113" s="4"/>
      <c r="P113" s="4"/>
      <c r="Q113" s="4"/>
      <c r="R113" s="4"/>
      <c r="S113" s="4"/>
      <c r="T113" s="4"/>
      <c r="U113" s="4"/>
      <c r="V113" s="4"/>
      <c r="W113" s="4"/>
      <c r="X113" s="4"/>
      <c r="Y113" s="4"/>
      <c r="Z113" s="4"/>
    </row>
    <row r="114" spans="1:26" ht="25.5" customHeight="1" x14ac:dyDescent="0.25">
      <c r="A114" s="109">
        <v>6</v>
      </c>
      <c r="B114" s="397" t="s">
        <v>314</v>
      </c>
      <c r="C114" s="106" t="s">
        <v>345</v>
      </c>
      <c r="D114" s="106" t="str">
        <f t="shared" si="40"/>
        <v/>
      </c>
      <c r="E114" s="398" t="str">
        <f t="shared" si="41"/>
        <v/>
      </c>
      <c r="F114" s="398" t="str">
        <f>IF(K114&lt;&gt;"rumus",(IF(OR(AND(L114="sks&gt;10",L113="sks&lt;=10",IFERROR(SUMPRODUCT($I$108:I113,$J$108:J113)&lt;10,FALSE)),AND(L114="sks&gt;10",L113="")),((IF('LAMPIRAN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Besar"),0.5,"")))),((IF(OR(AND(L114="sks&gt;10",L113="sks&gt;10"),AND(L114="sks&gt;10",L113="sks&lt;=10")),IF('LAMPIRAN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14" s="398" t="str">
        <f>IF(K114&lt;&gt;"rumus",(IF(OR(AND(L114="sks&gt;10",L113="sks&lt;=10",IFERROR(SUMPRODUCT($I$108:I113,$J$108:J113)&lt;10,FALSE)),AND(L114="sks&gt;10",L113="")),(((10-SUMPRODUCT($I$108:I113,$J$108:J113))&amp;" x "&amp;1&amp;" x "&amp;IF('LAMPIRAN I DONE'!$F$21="Tenaga Pengajar",0.5,IF(OR('LAMPIRAN I DONE'!$F$21="Asisten Ahli",'LAMPIRAN I DONE'!$F$21="Lektor",'LAMPIRAN I DONE'!$F$21="Lektor Kepala",'LAMPIRAN I DONE'!$F$21="Guru Besar"),1,""))&amp;" = "&amp;((10-SUMPRODUCT($I$108:I113,$J$108:J113))*IF('LAMPIRAN I DONE'!$F$21="Tenaga Pengajar",0.5,IF(OR('LAMPIRAN I DONE'!$F$21="Asisten Ahli",'LAMPIRAN I DONE'!$F$21="Lektor",'LAMPIRAN I DONE'!$F$21="Lektor Kepala",'LAMPIRAN I DONE'!$F$21="Guru Besar"),1,""))))&amp;"
"&amp;(((I114*J114)-(10-SUMPRODUCT($I$108:I113,$J$108:J113)))&amp;" x "&amp;1&amp;" x "&amp;IF('LAMPIRAN I DONE'!$F$21="Tenaga Pengajar",0.25,IF(OR('LAMPIRAN I DONE'!$F$21="Asisten Ahli",'LAMPIRAN I DONE'!$F$21="Lektor",'LAMPIRAN I DONE'!$F$21="Lektor Kepala",'LAMPIRAN I DONE'!$F$21="Guru Besar"),0.5,""))&amp;" = "&amp;(((I114*J114)-(10-SUMPRODUCT($I$108:I113,$J$108:J113)))*IF('LAMPIRAN I DONE'!$F$21="Tenaga Pengajar",0.25,IF(OR('LAMPIRAN I DONE'!$F$21="Asisten Ahli",'LAMPIRAN I DONE'!$F$21="Lektor",'LAMPIRAN I DONE'!$F$21="Lektor Kepala",'LAMPIRAN I DONE'!$F$21="Guru Besar"),0.5,""))))),(I114&amp;" x "&amp;J114&amp;" x "&amp;(IF(OR(AND(L114="sks&gt;10",L113="sks&gt;10"),AND(L114="sks&gt;10",L113="sks&lt;=10")),IF('LAMPIRAN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"&amp;K114))),"rumus")</f>
        <v>rumus</v>
      </c>
      <c r="H114" s="106" t="s">
        <v>315</v>
      </c>
      <c r="I114" s="409"/>
      <c r="J114" s="409"/>
      <c r="K114" s="401" t="str">
        <f>IF(AND(I114&lt;&gt;"",J114&lt;&gt;""),(IF(OR(AND(L114="sks&gt;10",L113="sks&lt;=10",IFERROR(SUMPRODUCT($I$108:I113,$J$108:J113)&lt;10,FALSE)),AND(L114="sks&gt;10",L113="")),(((10-SUMPRODUCT($I$108:I113,$J$108:J113))*IF('LAMPIRAN I DONE'!$F$21="Tenaga Pengajar",0.5,IF(OR('LAMPIRAN I DONE'!$F$21="Asisten Ahli",'LAMPIRAN I DONE'!$F$21="Lektor",'LAMPIRAN I DONE'!$F$21="Lektor Kepala",'LAMPIRAN I DONE'!$F$21="Guru Besar"),1,"")))+(((I114*J114)-(10-SUMPRODUCT($I$108:I113,$J$108:J113)))*IF('LAMPIRAN I DONE'!$F$21="Tenaga Pengajar",0.25,IF(OR('LAMPIRAN I DONE'!$F$21="Asisten Ahli",'LAMPIRAN I DONE'!$F$21="Lektor",'LAMPIRAN I DONE'!$F$21="Lektor Kepala",'LAMPIRAN I DONE'!$F$21="Guru Besar"),0.5,"")))),IF(OR(AND(L114="sks&gt;10",L113="sks&gt;10"),AND(L114="sks&gt;10",L113="sks&lt;=10")),I114*J114*IF('LAMPIRAN I DONE'!$F$21="Tenaga Pengajar",0.25,IF(OR('LAMPIRAN I DONE'!$F$21="Asisten Ahli",'LAMPIRAN I DONE'!$F$21="Lektor",'LAMPIRAN I DONE'!$F$21="Lektor Kepala",'LAMPIRAN I DONE'!$F$21="Guru Besar"),0.5,"")),I114*J114*IF('LAMPIRAN I DONE'!$F$21="Tenaga Pengajar",0.5,IF(OR('LAMPIRAN I DONE'!$F$21="Asisten Ahli",'LAMPIRAN I DONE'!$F$21="Lektor",'LAMPIRAN I DONE'!$F$21="Lektor Kepala",'LAMPIRAN I DONE'!$F$21="Guru Besar"),1,""))))),"rumus")</f>
        <v>rumus</v>
      </c>
      <c r="L114" s="401" t="str">
        <f t="shared" si="42"/>
        <v>rumus</v>
      </c>
      <c r="M114" s="4"/>
      <c r="N114" s="4"/>
      <c r="O114" s="4"/>
      <c r="P114" s="4"/>
      <c r="Q114" s="4"/>
      <c r="R114" s="4"/>
      <c r="S114" s="4"/>
      <c r="T114" s="4"/>
      <c r="U114" s="4"/>
      <c r="V114" s="4"/>
      <c r="W114" s="4"/>
      <c r="X114" s="4"/>
      <c r="Y114" s="4"/>
      <c r="Z114" s="4"/>
    </row>
    <row r="115" spans="1:26" ht="15" customHeight="1" x14ac:dyDescent="0.25">
      <c r="A115" s="109"/>
      <c r="B115" s="406" t="str">
        <f>"a. Semester Gasal "&amp;IF(C116&lt;&gt;"",C116,"")&amp;" :"</f>
        <v>a. Semester Gasal 2023/2024 :</v>
      </c>
      <c r="C115" s="407"/>
      <c r="D115" s="407"/>
      <c r="E115" s="407"/>
      <c r="F115" s="407"/>
      <c r="G115" s="407"/>
      <c r="H115" s="408"/>
      <c r="I115" s="110"/>
      <c r="J115" s="110"/>
      <c r="K115" s="4"/>
      <c r="L115" s="4"/>
      <c r="M115" s="111">
        <f>IF((AND(N115="Max 5,5",SUM(K109:K114)&lt;=5.5)),SUM(K109:K114),IF((AND(N115="Max 5,5",SUM(K109:K114)&gt;5.5)),5.5,IF((AND(N115="Max 11",SUM(K109:K114)&lt;=11)),SUM(K109:K114),IF((AND(N115="Max 11",SUM(K109:K114)&gt;11)),11,""))))</f>
        <v>11</v>
      </c>
      <c r="N115" s="103" t="str">
        <f>IF('LAMPIRAN I DONE'!$F$21="Tenaga Pengajar","Max 5,5",IF(OR('LAMPIRAN I DONE'!$F$21="Asisten Ahli",'LAMPIRAN I DONE'!$F$21="Lektor",'LAMPIRAN I DONE'!$F$21="Lektor Kepala",'LAMPIRAN I DONE'!$F$21="Guru Besar"),"Max 11",""))</f>
        <v>Max 11</v>
      </c>
      <c r="O115" s="4"/>
      <c r="P115" s="4"/>
      <c r="Q115" s="4"/>
      <c r="R115" s="4"/>
      <c r="S115" s="4"/>
      <c r="T115" s="4"/>
      <c r="U115" s="4"/>
      <c r="V115" s="4"/>
      <c r="W115" s="4"/>
      <c r="X115" s="4"/>
      <c r="Y115" s="4"/>
      <c r="Z115" s="4"/>
    </row>
    <row r="116" spans="1:26" ht="25.5" customHeight="1" x14ac:dyDescent="0.25">
      <c r="A116" s="109">
        <v>1</v>
      </c>
      <c r="B116" s="570" t="s">
        <v>348</v>
      </c>
      <c r="C116" s="106" t="s">
        <v>349</v>
      </c>
      <c r="D116" s="106" t="str">
        <f t="shared" ref="D116:D121" si="43">IF(G116&lt;&gt;"rumus","SKS","")</f>
        <v>SKS</v>
      </c>
      <c r="E116" s="398" t="str">
        <f t="shared" ref="E116:E121" si="44">IF(K116&lt;&gt;"rumus",(IF(OR(AND(L116="sks&gt;10",L115="sks&lt;=10",IFERROR(SUMPRODUCT($I$115:I115,$J$115:J115)&lt;10,FALSE)),AND(L116="sks&gt;10",L115="")),(((10-SUMPRODUCT($I$115:I115,$J$115:J115))&amp;" x "&amp;1)&amp;"
"&amp;(((I116*J116)-(10-SUMPRODUCT($I$115:I115,$J$115:J115)))&amp;" x "&amp;1)),(I116&amp;" x "&amp;J116))),"")</f>
        <v>4 x 1</v>
      </c>
      <c r="F116" s="398">
        <f>IF(K116&lt;&gt;"rumus",(IF(OR(AND(L116="sks&gt;10",L115="sks&lt;=10",IFERROR(SUMPRODUCT($I$115:I115,$J$115:J115)&lt;10,FALSE)),AND(L116="sks&gt;10",L115="")),((IF('LAMPIRAN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Besar"),0.5,"")))),((IF(OR(AND(L116="sks&gt;10",L115="sks&gt;10"),AND(L116="sks&gt;10",L115="sks&lt;=10")),IF('LAMPIRAN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16" s="398" t="str">
        <f>IF(K116&lt;&gt;"rumus",(IF(OR(AND(L116="sks&gt;10",L115="sks&lt;=10",IFERROR(SUMPRODUCT($I$115:I115,$J$115:J115)&lt;10,FALSE)),AND(L116="sks&gt;10",L115="")),(((10-SUMPRODUCT($I$115:I115,$J$115:J115))&amp;" x "&amp;1&amp;" x "&amp;IF('LAMPIRAN I DONE'!$F$21="Tenaga Pengajar",0.5,IF(OR('LAMPIRAN I DONE'!$F$21="Asisten Ahli",'LAMPIRAN I DONE'!$F$21="Lektor",'LAMPIRAN I DONE'!$F$21="Lektor Kepala",'LAMPIRAN I DONE'!$F$21="Guru Besar"),1,""))&amp;" = "&amp;((10-SUMPRODUCT($I$115:I115,$J$115:J115))*IF('LAMPIRAN I DONE'!$F$21="Tenaga Pengajar",0.5,IF(OR('LAMPIRAN I DONE'!$F$21="Asisten Ahli",'LAMPIRAN I DONE'!$F$21="Lektor",'LAMPIRAN I DONE'!$F$21="Lektor Kepala",'LAMPIRAN I DONE'!$F$21="Guru Besar"),1,""))))&amp;"
"&amp;(((I116*J116)-(10-SUMPRODUCT($I$115:I115,$J$115:J115)))&amp;" x "&amp;1&amp;" x "&amp;IF('LAMPIRAN I DONE'!$F$21="Tenaga Pengajar",0.25,IF(OR('LAMPIRAN I DONE'!$F$21="Asisten Ahli",'LAMPIRAN I DONE'!$F$21="Lektor",'LAMPIRAN I DONE'!$F$21="Lektor Kepala",'LAMPIRAN I DONE'!$F$21="Guru Besar"),0.5,""))&amp;" = "&amp;(((I116*J116)-(10-SUMPRODUCT($I$115:I115,$J$115:J115)))*IF('LAMPIRAN I DONE'!$F$21="Tenaga Pengajar",0.25,IF(OR('LAMPIRAN I DONE'!$F$21="Asisten Ahli",'LAMPIRAN I DONE'!$F$21="Lektor",'LAMPIRAN I DONE'!$F$21="Lektor Kepala",'LAMPIRAN I DONE'!$F$21="Guru Besar"),0.5,""))))),(I116&amp;" x "&amp;J116&amp;" x "&amp;(IF(OR(AND(L116="sks&gt;10",L115="sks&gt;10"),AND(L116="sks&gt;10",L115="sks&lt;=10")),IF('LAMPIRAN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"&amp;K116))),"rumus")</f>
        <v>4 x 1 x 1 = 4</v>
      </c>
      <c r="H116" s="106" t="s">
        <v>350</v>
      </c>
      <c r="I116" s="409">
        <v>4</v>
      </c>
      <c r="J116" s="409">
        <v>1</v>
      </c>
      <c r="K116" s="401">
        <f>IF(AND(I116&lt;&gt;"",J116&lt;&gt;""),(IF(OR(AND(L116="sks&gt;10",L115="sks&lt;=10",IFERROR(SUMPRODUCT($I$115:I115,$J$115:J115)&lt;10,FALSE)),AND(L116="sks&gt;10",L115="")),(((10-SUMPRODUCT($I$115:I115,$J$115:J115))*IF('LAMPIRAN I DONE'!$F$21="Tenaga Pengajar",0.5,IF(OR('LAMPIRAN I DONE'!$F$21="Asisten Ahli",'LAMPIRAN I DONE'!$F$21="Lektor",'LAMPIRAN I DONE'!$F$21="Lektor Kepala",'LAMPIRAN I DONE'!$F$21="Guru Besar"),1,"")))+(((I116*J116)-(10-SUMPRODUCT($I$115:I115,$J$115:J115)))*IF('LAMPIRAN I DONE'!$F$21="Tenaga Pengajar",0.25,IF(OR('LAMPIRAN I DONE'!$F$21="Asisten Ahli",'LAMPIRAN I DONE'!$F$21="Lektor",'LAMPIRAN I DONE'!$F$21="Lektor Kepala",'LAMPIRAN I DONE'!$F$21="Guru Besar"),0.5,"")))),IF(OR(AND(L116="sks&gt;10",L115="sks&gt;10"),AND(L116="sks&gt;10",L115="sks&lt;=10")),I116*J116*IF('LAMPIRAN I DONE'!$F$21="Tenaga Pengajar",0.25,IF(OR('LAMPIRAN I DONE'!$F$21="Asisten Ahli",'LAMPIRAN I DONE'!$F$21="Lektor",'LAMPIRAN I DONE'!$F$21="Lektor Kepala",'LAMPIRAN I DONE'!$F$21="Guru Besar"),0.5,"")),I116*J116*IF('LAMPIRAN I DONE'!$F$21="Tenaga Pengajar",0.5,IF(OR('LAMPIRAN I DONE'!$F$21="Asisten Ahli",'LAMPIRAN I DONE'!$F$21="Lektor",'LAMPIRAN I DONE'!$F$21="Lektor Kepala",'LAMPIRAN I DONE'!$F$21="Guru Besar"),1,""))))),"rumus")</f>
        <v>4</v>
      </c>
      <c r="L116" s="401" t="str">
        <f t="shared" ref="L116:L121" si="45">IF(AND(I116&lt;&gt;"",J116&lt;&gt;""),(IF(SUMPRODUCT($I$116:I116,$J$116:J116)&lt;=10,"SKS&lt;=10",IF(SUMPRODUCT($I$116:I116,$J$116:J116)&gt;10,"SKS&gt;10",""))),"rumus")</f>
        <v>SKS&lt;=10</v>
      </c>
      <c r="M116" s="4"/>
      <c r="N116" s="4"/>
      <c r="O116" s="4"/>
      <c r="P116" s="4"/>
      <c r="Q116" s="4"/>
      <c r="R116" s="4"/>
      <c r="S116" s="4"/>
      <c r="T116" s="4"/>
      <c r="U116" s="4"/>
      <c r="V116" s="4"/>
      <c r="W116" s="4"/>
      <c r="X116" s="4"/>
      <c r="Y116" s="4"/>
      <c r="Z116" s="4"/>
    </row>
    <row r="117" spans="1:26" ht="25.5" customHeight="1" x14ac:dyDescent="0.25">
      <c r="A117" s="109">
        <v>2</v>
      </c>
      <c r="B117" s="571" t="s">
        <v>351</v>
      </c>
      <c r="C117" s="106" t="s">
        <v>349</v>
      </c>
      <c r="D117" s="106" t="str">
        <f t="shared" si="43"/>
        <v>SKS</v>
      </c>
      <c r="E117" s="398" t="str">
        <f t="shared" si="44"/>
        <v>3 x 1</v>
      </c>
      <c r="F117" s="398">
        <f>IF(K117&lt;&gt;"rumus",(IF(OR(AND(L117="sks&gt;10",L116="sks&lt;=10",IFERROR(SUMPRODUCT($I$115:I116,$J$115:J116)&lt;10,FALSE)),AND(L117="sks&gt;10",L116="")),((IF('LAMPIRAN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Besar"),0.5,"")))),((IF(OR(AND(L117="sks&gt;10",L116="sks&gt;10"),AND(L117="sks&gt;10",L116="sks&lt;=10")),IF('LAMPIRAN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17" s="398" t="str">
        <f>IF(K117&lt;&gt;"rumus",(IF(OR(AND(L117="sks&gt;10",L116="sks&lt;=10",IFERROR(SUMPRODUCT($I$115:I116,$J$115:J116)&lt;10,FALSE)),AND(L117="sks&gt;10",L116="")),(((10-SUMPRODUCT($I$115:I116,$J$115:J116))&amp;" x "&amp;1&amp;" x "&amp;IF('LAMPIRAN I DONE'!$F$21="Tenaga Pengajar",0.5,IF(OR('LAMPIRAN I DONE'!$F$21="Asisten Ahli",'LAMPIRAN I DONE'!$F$21="Lektor",'LAMPIRAN I DONE'!$F$21="Lektor Kepala",'LAMPIRAN I DONE'!$F$21="Guru Besar"),1,""))&amp;" = "&amp;((10-SUMPRODUCT($I$115:I116,$J$115:J116))*IF('LAMPIRAN I DONE'!$F$21="Tenaga Pengajar",0.5,IF(OR('LAMPIRAN I DONE'!$F$21="Asisten Ahli",'LAMPIRAN I DONE'!$F$21="Lektor",'LAMPIRAN I DONE'!$F$21="Lektor Kepala",'LAMPIRAN I DONE'!$F$21="Guru Besar"),1,""))))&amp;"
"&amp;(((I117*J117)-(10-SUMPRODUCT($I$115:I116,$J$115:J116)))&amp;" x "&amp;1&amp;" x "&amp;IF('LAMPIRAN I DONE'!$F$21="Tenaga Pengajar",0.25,IF(OR('LAMPIRAN I DONE'!$F$21="Asisten Ahli",'LAMPIRAN I DONE'!$F$21="Lektor",'LAMPIRAN I DONE'!$F$21="Lektor Kepala",'LAMPIRAN I DONE'!$F$21="Guru Besar"),0.5,""))&amp;" = "&amp;(((I117*J117)-(10-SUMPRODUCT($I$115:I116,$J$115:J116)))*IF('LAMPIRAN I DONE'!$F$21="Tenaga Pengajar",0.25,IF(OR('LAMPIRAN I DONE'!$F$21="Asisten Ahli",'LAMPIRAN I DONE'!$F$21="Lektor",'LAMPIRAN I DONE'!$F$21="Lektor Kepala",'LAMPIRAN I DONE'!$F$21="Guru Besar"),0.5,""))))),(I117&amp;" x "&amp;J117&amp;" x "&amp;(IF(OR(AND(L117="sks&gt;10",L116="sks&gt;10"),AND(L117="sks&gt;10",L116="sks&lt;=10")),IF('LAMPIRAN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"&amp;K117))),"rumus")</f>
        <v>3 x 1 x 1 = 3</v>
      </c>
      <c r="H117" s="106" t="s">
        <v>350</v>
      </c>
      <c r="I117" s="409">
        <v>3</v>
      </c>
      <c r="J117" s="409">
        <v>1</v>
      </c>
      <c r="K117" s="401">
        <f>IF(AND(I117&lt;&gt;"",J117&lt;&gt;""),(IF(OR(AND(L117="sks&gt;10",L116="sks&lt;=10",IFERROR(SUMPRODUCT($I$115:I116,$J$115:J116)&lt;10,FALSE)),AND(L117="sks&gt;10",L116="")),(((10-SUMPRODUCT($I$115:I116,$J$115:J116))*IF('LAMPIRAN I DONE'!$F$21="Tenaga Pengajar",0.5,IF(OR('LAMPIRAN I DONE'!$F$21="Asisten Ahli",'LAMPIRAN I DONE'!$F$21="Lektor",'LAMPIRAN I DONE'!$F$21="Lektor Kepala",'LAMPIRAN I DONE'!$F$21="Guru Besar"),1,"")))+(((I117*J117)-(10-SUMPRODUCT($I$115:I116,$J$115:J116)))*IF('LAMPIRAN I DONE'!$F$21="Tenaga Pengajar",0.25,IF(OR('LAMPIRAN I DONE'!$F$21="Asisten Ahli",'LAMPIRAN I DONE'!$F$21="Lektor",'LAMPIRAN I DONE'!$F$21="Lektor Kepala",'LAMPIRAN I DONE'!$F$21="Guru Besar"),0.5,"")))),IF(OR(AND(L117="sks&gt;10",L116="sks&gt;10"),AND(L117="sks&gt;10",L116="sks&lt;=10")),I117*J117*IF('LAMPIRAN I DONE'!$F$21="Tenaga Pengajar",0.25,IF(OR('LAMPIRAN I DONE'!$F$21="Asisten Ahli",'LAMPIRAN I DONE'!$F$21="Lektor",'LAMPIRAN I DONE'!$F$21="Lektor Kepala",'LAMPIRAN I DONE'!$F$21="Guru Besar"),0.5,"")),I117*J117*IF('LAMPIRAN I DONE'!$F$21="Tenaga Pengajar",0.5,IF(OR('LAMPIRAN I DONE'!$F$21="Asisten Ahli",'LAMPIRAN I DONE'!$F$21="Lektor",'LAMPIRAN I DONE'!$F$21="Lektor Kepala",'LAMPIRAN I DONE'!$F$21="Guru Besar"),1,""))))),"rumus")</f>
        <v>3</v>
      </c>
      <c r="L117" s="401" t="str">
        <f t="shared" si="45"/>
        <v>SKS&lt;=10</v>
      </c>
      <c r="M117" s="4"/>
      <c r="N117" s="4"/>
      <c r="O117" s="4"/>
      <c r="P117" s="4"/>
      <c r="Q117" s="4"/>
      <c r="R117" s="4"/>
      <c r="S117" s="4"/>
      <c r="T117" s="4"/>
      <c r="U117" s="4"/>
      <c r="V117" s="4"/>
      <c r="W117" s="4"/>
      <c r="X117" s="4"/>
      <c r="Y117" s="4"/>
      <c r="Z117" s="4"/>
    </row>
    <row r="118" spans="1:26" ht="25.5" customHeight="1" x14ac:dyDescent="0.25">
      <c r="A118" s="109">
        <v>3</v>
      </c>
      <c r="B118" s="571" t="s">
        <v>352</v>
      </c>
      <c r="C118" s="106" t="s">
        <v>349</v>
      </c>
      <c r="D118" s="106" t="str">
        <f t="shared" si="43"/>
        <v>SKS</v>
      </c>
      <c r="E118" s="398" t="str">
        <f t="shared" si="44"/>
        <v>2 x 1</v>
      </c>
      <c r="F118" s="398">
        <f>IF(K118&lt;&gt;"rumus",(IF(OR(AND(L118="sks&gt;10",L117="sks&lt;=10",IFERROR(SUMPRODUCT($I$115:I117,$J$115:J117)&lt;10,FALSE)),AND(L118="sks&gt;10",L117="")),((IF('LAMPIRAN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Besar"),0.5,"")))),((IF(OR(AND(L118="sks&gt;10",L117="sks&gt;10"),AND(L118="sks&gt;10",L117="sks&lt;=10")),IF('LAMPIRAN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18" s="398" t="str">
        <f>IF(K118&lt;&gt;"rumus",(IF(OR(AND(L118="sks&gt;10",L117="sks&lt;=10",IFERROR(SUMPRODUCT($I$115:I117,$J$115:J117)&lt;10,FALSE)),AND(L118="sks&gt;10",L117="")),(((10-SUMPRODUCT($I$115:I117,$J$115:J117))&amp;" x "&amp;1&amp;" x "&amp;IF('LAMPIRAN I DONE'!$F$21="Tenaga Pengajar",0.5,IF(OR('LAMPIRAN I DONE'!$F$21="Asisten Ahli",'LAMPIRAN I DONE'!$F$21="Lektor",'LAMPIRAN I DONE'!$F$21="Lektor Kepala",'LAMPIRAN I DONE'!$F$21="Guru Besar"),1,""))&amp;" = "&amp;((10-SUMPRODUCT($I$115:I117,$J$115:J117))*IF('LAMPIRAN I DONE'!$F$21="Tenaga Pengajar",0.5,IF(OR('LAMPIRAN I DONE'!$F$21="Asisten Ahli",'LAMPIRAN I DONE'!$F$21="Lektor",'LAMPIRAN I DONE'!$F$21="Lektor Kepala",'LAMPIRAN I DONE'!$F$21="Guru Besar"),1,""))))&amp;"
"&amp;(((I118*J118)-(10-SUMPRODUCT($I$115:I117,$J$115:J117)))&amp;" x "&amp;1&amp;" x "&amp;IF('LAMPIRAN I DONE'!$F$21="Tenaga Pengajar",0.25,IF(OR('LAMPIRAN I DONE'!$F$21="Asisten Ahli",'LAMPIRAN I DONE'!$F$21="Lektor",'LAMPIRAN I DONE'!$F$21="Lektor Kepala",'LAMPIRAN I DONE'!$F$21="Guru Besar"),0.5,""))&amp;" = "&amp;(((I118*J118)-(10-SUMPRODUCT($I$115:I117,$J$115:J117)))*IF('LAMPIRAN I DONE'!$F$21="Tenaga Pengajar",0.25,IF(OR('LAMPIRAN I DONE'!$F$21="Asisten Ahli",'LAMPIRAN I DONE'!$F$21="Lektor",'LAMPIRAN I DONE'!$F$21="Lektor Kepala",'LAMPIRAN I DONE'!$F$21="Guru Besar"),0.5,""))))),(I118&amp;" x "&amp;J118&amp;" x "&amp;(IF(OR(AND(L118="sks&gt;10",L117="sks&gt;10"),AND(L118="sks&gt;10",L117="sks&lt;=10")),IF('LAMPIRAN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"&amp;K118))),"rumus")</f>
        <v>2 x 1 x 1 = 2</v>
      </c>
      <c r="H118" s="106" t="s">
        <v>350</v>
      </c>
      <c r="I118" s="409">
        <v>2</v>
      </c>
      <c r="J118" s="409">
        <v>1</v>
      </c>
      <c r="K118" s="401">
        <f>IF(AND(I118&lt;&gt;"",J118&lt;&gt;""),(IF(OR(AND(L118="sks&gt;10",L117="sks&lt;=10",IFERROR(SUMPRODUCT($I$115:I117,$J$115:J117)&lt;10,FALSE)),AND(L118="sks&gt;10",L117="")),(((10-SUMPRODUCT($I$115:I117,$J$115:J117))*IF('LAMPIRAN I DONE'!$F$21="Tenaga Pengajar",0.5,IF(OR('LAMPIRAN I DONE'!$F$21="Asisten Ahli",'LAMPIRAN I DONE'!$F$21="Lektor",'LAMPIRAN I DONE'!$F$21="Lektor Kepala",'LAMPIRAN I DONE'!$F$21="Guru Besar"),1,"")))+(((I118*J118)-(10-SUMPRODUCT($I$115:I117,$J$115:J117)))*IF('LAMPIRAN I DONE'!$F$21="Tenaga Pengajar",0.25,IF(OR('LAMPIRAN I DONE'!$F$21="Asisten Ahli",'LAMPIRAN I DONE'!$F$21="Lektor",'LAMPIRAN I DONE'!$F$21="Lektor Kepala",'LAMPIRAN I DONE'!$F$21="Guru Besar"),0.5,"")))),IF(OR(AND(L118="sks&gt;10",L117="sks&gt;10"),AND(L118="sks&gt;10",L117="sks&lt;=10")),I118*J118*IF('LAMPIRAN I DONE'!$F$21="Tenaga Pengajar",0.25,IF(OR('LAMPIRAN I DONE'!$F$21="Asisten Ahli",'LAMPIRAN I DONE'!$F$21="Lektor",'LAMPIRAN I DONE'!$F$21="Lektor Kepala",'LAMPIRAN I DONE'!$F$21="Guru Besar"),0.5,"")),I118*J118*IF('LAMPIRAN I DONE'!$F$21="Tenaga Pengajar",0.5,IF(OR('LAMPIRAN I DONE'!$F$21="Asisten Ahli",'LAMPIRAN I DONE'!$F$21="Lektor",'LAMPIRAN I DONE'!$F$21="Lektor Kepala",'LAMPIRAN I DONE'!$F$21="Guru Besar"),1,""))))),"rumus")</f>
        <v>2</v>
      </c>
      <c r="L118" s="401" t="str">
        <f t="shared" si="45"/>
        <v>SKS&lt;=10</v>
      </c>
      <c r="M118" s="4"/>
      <c r="N118" s="4"/>
      <c r="O118" s="4"/>
      <c r="P118" s="4"/>
      <c r="Q118" s="4"/>
      <c r="R118" s="4"/>
      <c r="S118" s="4"/>
      <c r="T118" s="4"/>
      <c r="U118" s="4"/>
      <c r="V118" s="4"/>
      <c r="W118" s="4"/>
      <c r="X118" s="4"/>
      <c r="Y118" s="4"/>
      <c r="Z118" s="4"/>
    </row>
    <row r="119" spans="1:26" ht="25.5" customHeight="1" x14ac:dyDescent="0.25">
      <c r="A119" s="109">
        <v>4</v>
      </c>
      <c r="B119" s="571" t="s">
        <v>353</v>
      </c>
      <c r="C119" s="106" t="s">
        <v>349</v>
      </c>
      <c r="D119" s="106" t="str">
        <f t="shared" si="43"/>
        <v>SKS</v>
      </c>
      <c r="E119" s="398" t="str">
        <f t="shared" si="44"/>
        <v>1 x 1
2 x 1</v>
      </c>
      <c r="F119" s="398" t="str">
        <f>IF(K119&lt;&gt;"rumus",(IF(OR(AND(L119="sks&gt;10",L118="sks&lt;=10",IFERROR(SUMPRODUCT($I$115:I118,$J$115:J118)&lt;10,FALSE)),AND(L119="sks&gt;10",L118="")),((IF('LAMPIRAN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Besar"),0.5,"")))),((IF(OR(AND(L119="sks&gt;10",L118="sks&gt;10"),AND(L119="sks&gt;10",L118="sks&lt;=10")),IF('LAMPIRAN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
0.5</v>
      </c>
      <c r="G119" s="398" t="str">
        <f>IF(K119&lt;&gt;"rumus",(IF(OR(AND(L119="sks&gt;10",L118="sks&lt;=10",IFERROR(SUMPRODUCT($I$115:I118,$J$115:J118)&lt;10,FALSE)),AND(L119="sks&gt;10",L118="")),(((10-SUMPRODUCT($I$115:I118,$J$115:J118))&amp;" x "&amp;1&amp;" x "&amp;IF('LAMPIRAN I DONE'!$F$21="Tenaga Pengajar",0.5,IF(OR('LAMPIRAN I DONE'!$F$21="Asisten Ahli",'LAMPIRAN I DONE'!$F$21="Lektor",'LAMPIRAN I DONE'!$F$21="Lektor Kepala",'LAMPIRAN I DONE'!$F$21="Guru Besar"),1,""))&amp;" = "&amp;((10-SUMPRODUCT($I$115:I118,$J$115:J118))*IF('LAMPIRAN I DONE'!$F$21="Tenaga Pengajar",0.5,IF(OR('LAMPIRAN I DONE'!$F$21="Asisten Ahli",'LAMPIRAN I DONE'!$F$21="Lektor",'LAMPIRAN I DONE'!$F$21="Lektor Kepala",'LAMPIRAN I DONE'!$F$21="Guru Besar"),1,""))))&amp;"
"&amp;(((I119*J119)-(10-SUMPRODUCT($I$115:I118,$J$115:J118)))&amp;" x "&amp;1&amp;" x "&amp;IF('LAMPIRAN I DONE'!$F$21="Tenaga Pengajar",0.25,IF(OR('LAMPIRAN I DONE'!$F$21="Asisten Ahli",'LAMPIRAN I DONE'!$F$21="Lektor",'LAMPIRAN I DONE'!$F$21="Lektor Kepala",'LAMPIRAN I DONE'!$F$21="Guru Besar"),0.5,""))&amp;" = "&amp;(((I119*J119)-(10-SUMPRODUCT($I$115:I118,$J$115:J118)))*IF('LAMPIRAN I DONE'!$F$21="Tenaga Pengajar",0.25,IF(OR('LAMPIRAN I DONE'!$F$21="Asisten Ahli",'LAMPIRAN I DONE'!$F$21="Lektor",'LAMPIRAN I DONE'!$F$21="Lektor Kepala",'LAMPIRAN I DONE'!$F$21="Guru Besar"),0.5,""))))),(I119&amp;" x "&amp;J119&amp;" x "&amp;(IF(OR(AND(L119="sks&gt;10",L118="sks&gt;10"),AND(L119="sks&gt;10",L118="sks&lt;=10")),IF('LAMPIRAN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"&amp;K119))),"rumus")</f>
        <v>1 x 1 x 1 = 1
2 x 1 x 0.5 = 1</v>
      </c>
      <c r="H119" s="106" t="s">
        <v>350</v>
      </c>
      <c r="I119" s="409">
        <v>3</v>
      </c>
      <c r="J119" s="409">
        <v>1</v>
      </c>
      <c r="K119" s="401">
        <f>IF(AND(I119&lt;&gt;"",J119&lt;&gt;""),(IF(OR(AND(L119="sks&gt;10",L118="sks&lt;=10",IFERROR(SUMPRODUCT($I$115:I118,$J$115:J118)&lt;10,FALSE)),AND(L119="sks&gt;10",L118="")),(((10-SUMPRODUCT($I$115:I118,$J$115:J118))*IF('LAMPIRAN I DONE'!$F$21="Tenaga Pengajar",0.5,IF(OR('LAMPIRAN I DONE'!$F$21="Asisten Ahli",'LAMPIRAN I DONE'!$F$21="Lektor",'LAMPIRAN I DONE'!$F$21="Lektor Kepala",'LAMPIRAN I DONE'!$F$21="Guru Besar"),1,"")))+(((I119*J119)-(10-SUMPRODUCT($I$115:I118,$J$115:J118)))*IF('LAMPIRAN I DONE'!$F$21="Tenaga Pengajar",0.25,IF(OR('LAMPIRAN I DONE'!$F$21="Asisten Ahli",'LAMPIRAN I DONE'!$F$21="Lektor",'LAMPIRAN I DONE'!$F$21="Lektor Kepala",'LAMPIRAN I DONE'!$F$21="Guru Besar"),0.5,"")))),IF(OR(AND(L119="sks&gt;10",L118="sks&gt;10"),AND(L119="sks&gt;10",L118="sks&lt;=10")),I119*J119*IF('LAMPIRAN I DONE'!$F$21="Tenaga Pengajar",0.25,IF(OR('LAMPIRAN I DONE'!$F$21="Asisten Ahli",'LAMPIRAN I DONE'!$F$21="Lektor",'LAMPIRAN I DONE'!$F$21="Lektor Kepala",'LAMPIRAN I DONE'!$F$21="Guru Besar"),0.5,"")),I119*J119*IF('LAMPIRAN I DONE'!$F$21="Tenaga Pengajar",0.5,IF(OR('LAMPIRAN I DONE'!$F$21="Asisten Ahli",'LAMPIRAN I DONE'!$F$21="Lektor",'LAMPIRAN I DONE'!$F$21="Lektor Kepala",'LAMPIRAN I DONE'!$F$21="Guru Besar"),1,""))))),"rumus")</f>
        <v>2</v>
      </c>
      <c r="L119" s="401" t="str">
        <f t="shared" si="45"/>
        <v>SKS&gt;10</v>
      </c>
      <c r="M119" s="4"/>
      <c r="N119" s="4"/>
      <c r="O119" s="4"/>
      <c r="P119" s="4"/>
      <c r="Q119" s="4"/>
      <c r="R119" s="4"/>
      <c r="S119" s="4"/>
      <c r="T119" s="4"/>
      <c r="U119" s="4"/>
      <c r="V119" s="4"/>
      <c r="W119" s="4"/>
      <c r="X119" s="4"/>
      <c r="Y119" s="4"/>
      <c r="Z119" s="4"/>
    </row>
    <row r="120" spans="1:26" ht="25.5" customHeight="1" x14ac:dyDescent="0.25">
      <c r="A120" s="109">
        <v>5</v>
      </c>
      <c r="B120" s="397" t="s">
        <v>314</v>
      </c>
      <c r="C120" s="106" t="s">
        <v>349</v>
      </c>
      <c r="D120" s="106" t="str">
        <f t="shared" si="43"/>
        <v/>
      </c>
      <c r="E120" s="398" t="str">
        <f t="shared" si="44"/>
        <v/>
      </c>
      <c r="F120" s="398" t="str">
        <f>IF(K120&lt;&gt;"rumus",(IF(OR(AND(L120="sks&gt;10",L119="sks&lt;=10",IFERROR(SUMPRODUCT($I$115:I119,$J$115:J119)&lt;10,FALSE)),AND(L120="sks&gt;10",L119="")),((IF('LAMPIRAN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Besar"),0.5,"")))),((IF(OR(AND(L120="sks&gt;10",L119="sks&gt;10"),AND(L120="sks&gt;10",L119="sks&lt;=10")),IF('LAMPIRAN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20" s="398" t="str">
        <f>IF(K120&lt;&gt;"rumus",(IF(OR(AND(L120="sks&gt;10",L119="sks&lt;=10",IFERROR(SUMPRODUCT($I$115:I119,$J$115:J119)&lt;10,FALSE)),AND(L120="sks&gt;10",L119="")),(((10-SUMPRODUCT($I$115:I119,$J$115:J119))&amp;" x "&amp;1&amp;" x "&amp;IF('LAMPIRAN I DONE'!$F$21="Tenaga Pengajar",0.5,IF(OR('LAMPIRAN I DONE'!$F$21="Asisten Ahli",'LAMPIRAN I DONE'!$F$21="Lektor",'LAMPIRAN I DONE'!$F$21="Lektor Kepala",'LAMPIRAN I DONE'!$F$21="Guru Besar"),1,""))&amp;" = "&amp;((10-SUMPRODUCT($I$115:I119,$J$115:J119))*IF('LAMPIRAN I DONE'!$F$21="Tenaga Pengajar",0.5,IF(OR('LAMPIRAN I DONE'!$F$21="Asisten Ahli",'LAMPIRAN I DONE'!$F$21="Lektor",'LAMPIRAN I DONE'!$F$21="Lektor Kepala",'LAMPIRAN I DONE'!$F$21="Guru Besar"),1,""))))&amp;"
"&amp;(((I120*J120)-(10-SUMPRODUCT($I$115:I119,$J$115:J119)))&amp;" x "&amp;1&amp;" x "&amp;IF('LAMPIRAN I DONE'!$F$21="Tenaga Pengajar",0.25,IF(OR('LAMPIRAN I DONE'!$F$21="Asisten Ahli",'LAMPIRAN I DONE'!$F$21="Lektor",'LAMPIRAN I DONE'!$F$21="Lektor Kepala",'LAMPIRAN I DONE'!$F$21="Guru Besar"),0.5,""))&amp;" = "&amp;(((I120*J120)-(10-SUMPRODUCT($I$115:I119,$J$115:J119)))*IF('LAMPIRAN I DONE'!$F$21="Tenaga Pengajar",0.25,IF(OR('LAMPIRAN I DONE'!$F$21="Asisten Ahli",'LAMPIRAN I DONE'!$F$21="Lektor",'LAMPIRAN I DONE'!$F$21="Lektor Kepala",'LAMPIRAN I DONE'!$F$21="Guru Besar"),0.5,""))))),(I120&amp;" x "&amp;J120&amp;" x "&amp;(IF(OR(AND(L120="sks&gt;10",L119="sks&gt;10"),AND(L120="sks&gt;10",L119="sks&lt;=10")),IF('LAMPIRAN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"&amp;K120))),"rumus")</f>
        <v>rumus</v>
      </c>
      <c r="H120" s="106" t="s">
        <v>315</v>
      </c>
      <c r="I120" s="409"/>
      <c r="J120" s="409"/>
      <c r="K120" s="401" t="str">
        <f>IF(AND(I120&lt;&gt;"",J120&lt;&gt;""),(IF(OR(AND(L120="sks&gt;10",L119="sks&lt;=10",IFERROR(SUMPRODUCT($I$115:I119,$J$115:J119)&lt;10,FALSE)),AND(L120="sks&gt;10",L119="")),(((10-SUMPRODUCT($I$115:I119,$J$115:J119))*IF('LAMPIRAN I DONE'!$F$21="Tenaga Pengajar",0.5,IF(OR('LAMPIRAN I DONE'!$F$21="Asisten Ahli",'LAMPIRAN I DONE'!$F$21="Lektor",'LAMPIRAN I DONE'!$F$21="Lektor Kepala",'LAMPIRAN I DONE'!$F$21="Guru Besar"),1,"")))+(((I120*J120)-(10-SUMPRODUCT($I$115:I119,$J$115:J119)))*IF('LAMPIRAN I DONE'!$F$21="Tenaga Pengajar",0.25,IF(OR('LAMPIRAN I DONE'!$F$21="Asisten Ahli",'LAMPIRAN I DONE'!$F$21="Lektor",'LAMPIRAN I DONE'!$F$21="Lektor Kepala",'LAMPIRAN I DONE'!$F$21="Guru Besar"),0.5,"")))),IF(OR(AND(L120="sks&gt;10",L119="sks&gt;10"),AND(L120="sks&gt;10",L119="sks&lt;=10")),I120*J120*IF('LAMPIRAN I DONE'!$F$21="Tenaga Pengajar",0.25,IF(OR('LAMPIRAN I DONE'!$F$21="Asisten Ahli",'LAMPIRAN I DONE'!$F$21="Lektor",'LAMPIRAN I DONE'!$F$21="Lektor Kepala",'LAMPIRAN I DONE'!$F$21="Guru Besar"),0.5,"")),I120*J120*IF('LAMPIRAN I DONE'!$F$21="Tenaga Pengajar",0.5,IF(OR('LAMPIRAN I DONE'!$F$21="Asisten Ahli",'LAMPIRAN I DONE'!$F$21="Lektor",'LAMPIRAN I DONE'!$F$21="Lektor Kepala",'LAMPIRAN I DONE'!$F$21="Guru Besar"),1,""))))),"rumus")</f>
        <v>rumus</v>
      </c>
      <c r="L120" s="401" t="str">
        <f t="shared" si="45"/>
        <v>rumus</v>
      </c>
      <c r="M120" s="4"/>
      <c r="N120" s="4"/>
      <c r="O120" s="4"/>
      <c r="P120" s="4"/>
      <c r="Q120" s="4"/>
      <c r="R120" s="4"/>
      <c r="S120" s="4"/>
      <c r="T120" s="4"/>
      <c r="U120" s="4"/>
      <c r="V120" s="4"/>
      <c r="W120" s="4"/>
      <c r="X120" s="4"/>
      <c r="Y120" s="4"/>
      <c r="Z120" s="4"/>
    </row>
    <row r="121" spans="1:26" ht="25.5" customHeight="1" x14ac:dyDescent="0.25">
      <c r="A121" s="109">
        <v>6</v>
      </c>
      <c r="B121" s="397" t="s">
        <v>314</v>
      </c>
      <c r="C121" s="106" t="s">
        <v>349</v>
      </c>
      <c r="D121" s="106" t="str">
        <f t="shared" si="43"/>
        <v/>
      </c>
      <c r="E121" s="398" t="str">
        <f t="shared" si="44"/>
        <v/>
      </c>
      <c r="F121" s="398" t="str">
        <f>IF(K121&lt;&gt;"rumus",(IF(OR(AND(L121="sks&gt;10",L120="sks&lt;=10",IFERROR(SUMPRODUCT($I$115:I120,$J$115:J120)&lt;10,FALSE)),AND(L121="sks&gt;10",L120="")),((IF('LAMPIRAN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Besar"),0.5,"")))),((IF(OR(AND(L121="sks&gt;10",L120="sks&gt;10"),AND(L121="sks&gt;10",L120="sks&lt;=10")),IF('LAMPIRAN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21" s="398" t="str">
        <f>IF(K121&lt;&gt;"rumus",(IF(OR(AND(L121="sks&gt;10",L120="sks&lt;=10",IFERROR(SUMPRODUCT($I$115:I120,$J$115:J120)&lt;10,FALSE)),AND(L121="sks&gt;10",L120="")),(((10-SUMPRODUCT($I$115:I120,$J$115:J120))&amp;" x "&amp;1&amp;" x "&amp;IF('LAMPIRAN I DONE'!$F$21="Tenaga Pengajar",0.5,IF(OR('LAMPIRAN I DONE'!$F$21="Asisten Ahli",'LAMPIRAN I DONE'!$F$21="Lektor",'LAMPIRAN I DONE'!$F$21="Lektor Kepala",'LAMPIRAN I DONE'!$F$21="Guru Besar"),1,""))&amp;" = "&amp;((10-SUMPRODUCT($I$115:I120,$J$115:J120))*IF('LAMPIRAN I DONE'!$F$21="Tenaga Pengajar",0.5,IF(OR('LAMPIRAN I DONE'!$F$21="Asisten Ahli",'LAMPIRAN I DONE'!$F$21="Lektor",'LAMPIRAN I DONE'!$F$21="Lektor Kepala",'LAMPIRAN I DONE'!$F$21="Guru Besar"),1,""))))&amp;"
"&amp;(((I121*J121)-(10-SUMPRODUCT($I$115:I120,$J$115:J120)))&amp;" x "&amp;1&amp;" x "&amp;IF('LAMPIRAN I DONE'!$F$21="Tenaga Pengajar",0.25,IF(OR('LAMPIRAN I DONE'!$F$21="Asisten Ahli",'LAMPIRAN I DONE'!$F$21="Lektor",'LAMPIRAN I DONE'!$F$21="Lektor Kepala",'LAMPIRAN I DONE'!$F$21="Guru Besar"),0.5,""))&amp;" = "&amp;(((I121*J121)-(10-SUMPRODUCT($I$115:I120,$J$115:J120)))*IF('LAMPIRAN I DONE'!$F$21="Tenaga Pengajar",0.25,IF(OR('LAMPIRAN I DONE'!$F$21="Asisten Ahli",'LAMPIRAN I DONE'!$F$21="Lektor",'LAMPIRAN I DONE'!$F$21="Lektor Kepala",'LAMPIRAN I DONE'!$F$21="Guru Besar"),0.5,""))))),(I121&amp;" x "&amp;J121&amp;" x "&amp;(IF(OR(AND(L121="sks&gt;10",L120="sks&gt;10"),AND(L121="sks&gt;10",L120="sks&lt;=10")),IF('LAMPIRAN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"&amp;K121))),"rumus")</f>
        <v>rumus</v>
      </c>
      <c r="H121" s="106" t="s">
        <v>315</v>
      </c>
      <c r="I121" s="409"/>
      <c r="J121" s="409"/>
      <c r="K121" s="401" t="str">
        <f>IF(AND(I121&lt;&gt;"",J121&lt;&gt;""),(IF(OR(AND(L121="sks&gt;10",L120="sks&lt;=10",IFERROR(SUMPRODUCT($I$115:I120,$J$115:J120)&lt;10,FALSE)),AND(L121="sks&gt;10",L120="")),(((10-SUMPRODUCT($I$115:I120,$J$115:J120))*IF('LAMPIRAN I DONE'!$F$21="Tenaga Pengajar",0.5,IF(OR('LAMPIRAN I DONE'!$F$21="Asisten Ahli",'LAMPIRAN I DONE'!$F$21="Lektor",'LAMPIRAN I DONE'!$F$21="Lektor Kepala",'LAMPIRAN I DONE'!$F$21="Guru Besar"),1,"")))+(((I121*J121)-(10-SUMPRODUCT($I$115:I120,$J$115:J120)))*IF('LAMPIRAN I DONE'!$F$21="Tenaga Pengajar",0.25,IF(OR('LAMPIRAN I DONE'!$F$21="Asisten Ahli",'LAMPIRAN I DONE'!$F$21="Lektor",'LAMPIRAN I DONE'!$F$21="Lektor Kepala",'LAMPIRAN I DONE'!$F$21="Guru Besar"),0.5,"")))),IF(OR(AND(L121="sks&gt;10",L120="sks&gt;10"),AND(L121="sks&gt;10",L120="sks&lt;=10")),I121*J121*IF('LAMPIRAN I DONE'!$F$21="Tenaga Pengajar",0.25,IF(OR('LAMPIRAN I DONE'!$F$21="Asisten Ahli",'LAMPIRAN I DONE'!$F$21="Lektor",'LAMPIRAN I DONE'!$F$21="Lektor Kepala",'LAMPIRAN I DONE'!$F$21="Guru Besar"),0.5,"")),I121*J121*IF('LAMPIRAN I DONE'!$F$21="Tenaga Pengajar",0.5,IF(OR('LAMPIRAN I DONE'!$F$21="Asisten Ahli",'LAMPIRAN I DONE'!$F$21="Lektor",'LAMPIRAN I DONE'!$F$21="Lektor Kepala",'LAMPIRAN I DONE'!$F$21="Guru Besar"),1,""))))),"rumus")</f>
        <v>rumus</v>
      </c>
      <c r="L121" s="401" t="str">
        <f t="shared" si="45"/>
        <v>rumus</v>
      </c>
      <c r="M121" s="4"/>
      <c r="N121" s="4"/>
      <c r="O121" s="4"/>
      <c r="P121" s="4"/>
      <c r="Q121" s="4"/>
      <c r="R121" s="4"/>
      <c r="S121" s="4"/>
      <c r="T121" s="4"/>
      <c r="U121" s="4"/>
      <c r="V121" s="4"/>
      <c r="W121" s="4"/>
      <c r="X121" s="4"/>
      <c r="Y121" s="4"/>
      <c r="Z121" s="4"/>
    </row>
    <row r="122" spans="1:26" ht="15" customHeight="1" x14ac:dyDescent="0.25">
      <c r="A122" s="109"/>
      <c r="B122" s="406" t="str">
        <f>"b. Semester Genap "&amp;IF(C123&lt;&gt;"",C123,"")&amp;" :"</f>
        <v>b. Semester Genap 2011/2012 :</v>
      </c>
      <c r="C122" s="407"/>
      <c r="D122" s="410"/>
      <c r="E122" s="410"/>
      <c r="F122" s="410"/>
      <c r="G122" s="410"/>
      <c r="H122" s="411"/>
      <c r="I122" s="110"/>
      <c r="J122" s="110"/>
      <c r="K122" s="4"/>
      <c r="L122" s="4"/>
      <c r="M122" s="111">
        <f>IF((AND(N122="Max 5,5",SUM(K116:K121)&lt;=5.5)),SUM(K116:K121),IF((AND(N122="Max 5,5",SUM(K116:K121)&gt;5.5)),5.5,IF((AND(N122="Max 11",SUM(K116:K121)&lt;=11)),SUM(K116:K121),IF((AND(N122="Max 11",SUM(K116:K121)&gt;11)),11,""))))</f>
        <v>11</v>
      </c>
      <c r="N122" s="103" t="str">
        <f>IF('LAMPIRAN I DONE'!$F$21="Tenaga Pengajar","Max 5,5",IF(OR('LAMPIRAN I DONE'!$F$21="Asisten Ahli",'LAMPIRAN I DONE'!$F$21="Lektor",'LAMPIRAN I DONE'!$F$21="Lektor Kepala",'LAMPIRAN I DONE'!$F$21="Guru Besar"),"Max 11",""))</f>
        <v>Max 11</v>
      </c>
      <c r="O122" s="4"/>
      <c r="P122" s="4"/>
      <c r="Q122" s="4"/>
      <c r="R122" s="4"/>
      <c r="S122" s="4"/>
      <c r="T122" s="4"/>
      <c r="U122" s="4"/>
      <c r="V122" s="4"/>
      <c r="W122" s="4"/>
      <c r="X122" s="4"/>
      <c r="Y122" s="4"/>
      <c r="Z122" s="4"/>
    </row>
    <row r="123" spans="1:26" ht="25.5" customHeight="1" x14ac:dyDescent="0.25">
      <c r="A123" s="109">
        <v>1</v>
      </c>
      <c r="B123" s="570" t="s">
        <v>354</v>
      </c>
      <c r="C123" s="573" t="s">
        <v>355</v>
      </c>
      <c r="D123" s="106" t="str">
        <f t="shared" ref="D123:D128" si="46">IF(G123&lt;&gt;"rumus","SKS","")</f>
        <v>SKS</v>
      </c>
      <c r="E123" s="398" t="str">
        <f t="shared" ref="E123:E128" si="47">IF(K123&lt;&gt;"rumus",(IF(OR(AND(L123="sks&gt;10",L122="sks&lt;=10",IFERROR(SUMPRODUCT($I$122:I122,$J$122:J122)&lt;10,FALSE)),AND(L123="sks&gt;10",L122="")),(((10-SUMPRODUCT($I$122:I122,$J$122:J122))&amp;" x "&amp;1)&amp;"
"&amp;(((I123*J123)-(10-SUMPRODUCT($I$122:I122,$J$122:J122)))&amp;" x "&amp;1)),(I123&amp;" x "&amp;J123))),"")</f>
        <v>4 x 1</v>
      </c>
      <c r="F123" s="398">
        <f>IF(K123&lt;&gt;"rumus",(IF(OR(AND(L123="sks&gt;10",L122="sks&lt;=10",IFERROR(SUMPRODUCT($I$122:I122,$J$122:J122)&lt;10,FALSE)),AND(L123="sks&gt;10",L122="")),((IF('LAMPIRAN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Besar"),0.5,"")))),((IF(OR(AND(L123="sks&gt;10",L122="sks&gt;10"),AND(L123="sks&gt;10",L122="sks&lt;=10")),IF('LAMPIRAN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23" s="398" t="str">
        <f>IF(K123&lt;&gt;"rumus",(IF(OR(AND(L123="sks&gt;10",L122="sks&lt;=10",IFERROR(SUMPRODUCT($I$122:I122,$J$122:J122)&lt;10,FALSE)),AND(L123="sks&gt;10",L122="")),(((10-SUMPRODUCT($I$122:I122,$J$122:J122))&amp;" x "&amp;1&amp;" x "&amp;IF('LAMPIRAN I DONE'!$F$21="Tenaga Pengajar",0.5,IF(OR('LAMPIRAN I DONE'!$F$21="Asisten Ahli",'LAMPIRAN I DONE'!$F$21="Lektor",'LAMPIRAN I DONE'!$F$21="Lektor Kepala",'LAMPIRAN I DONE'!$F$21="Guru Besar"),1,""))&amp;" = "&amp;((10-SUMPRODUCT($I$122:I122,$J$122:J122))*IF('LAMPIRAN I DONE'!$F$21="Tenaga Pengajar",0.5,IF(OR('LAMPIRAN I DONE'!$F$21="Asisten Ahli",'LAMPIRAN I DONE'!$F$21="Lektor",'LAMPIRAN I DONE'!$F$21="Lektor Kepala",'LAMPIRAN I DONE'!$F$21="Guru Besar"),1,""))))&amp;"
"&amp;(((I123*J123)-(10-SUMPRODUCT($I$122:I122,$J$122:J122)))&amp;" x "&amp;1&amp;" x "&amp;IF('LAMPIRAN I DONE'!$F$21="Tenaga Pengajar",0.25,IF(OR('LAMPIRAN I DONE'!$F$21="Asisten Ahli",'LAMPIRAN I DONE'!$F$21="Lektor",'LAMPIRAN I DONE'!$F$21="Lektor Kepala",'LAMPIRAN I DONE'!$F$21="Guru Besar"),0.5,""))&amp;" = "&amp;(((I123*J123)-(10-SUMPRODUCT($I$122:I122,$J$122:J122)))*IF('LAMPIRAN I DONE'!$F$21="Tenaga Pengajar",0.25,IF(OR('LAMPIRAN I DONE'!$F$21="Asisten Ahli",'LAMPIRAN I DONE'!$F$21="Lektor",'LAMPIRAN I DONE'!$F$21="Lektor Kepala",'LAMPIRAN I DONE'!$F$21="Guru Besar"),0.5,""))))),(I123&amp;" x "&amp;J123&amp;" x "&amp;(IF(OR(AND(L123="sks&gt;10",L122="sks&gt;10"),AND(L123="sks&gt;10",L122="sks&lt;=10")),IF('LAMPIRAN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"&amp;K123))),"rumus")</f>
        <v>4 x 1 x 1 = 4</v>
      </c>
      <c r="H123" s="611" t="s">
        <v>356</v>
      </c>
      <c r="I123" s="409">
        <v>4</v>
      </c>
      <c r="J123" s="409">
        <v>1</v>
      </c>
      <c r="K123" s="401">
        <f>IF(AND(I123&lt;&gt;"",J123&lt;&gt;""),(IF(OR(AND(L123="sks&gt;10",L122="sks&lt;=10",IFERROR(SUMPRODUCT($I$122:I122,$J$122:J122)&lt;10,FALSE)),AND(L123="sks&gt;10",L122="")),(((10-SUMPRODUCT($I$122:I122,$J$122:J122))*IF('LAMPIRAN I DONE'!$F$21="Tenaga Pengajar",0.5,IF(OR('LAMPIRAN I DONE'!$F$21="Asisten Ahli",'LAMPIRAN I DONE'!$F$21="Lektor",'LAMPIRAN I DONE'!$F$21="Lektor Kepala",'LAMPIRAN I DONE'!$F$21="Guru Besar"),1,"")))+(((I123*J123)-(10-SUMPRODUCT($I$122:I122,$J$122:J122)))*IF('LAMPIRAN I DONE'!$F$21="Tenaga Pengajar",0.25,IF(OR('LAMPIRAN I DONE'!$F$21="Asisten Ahli",'LAMPIRAN I DONE'!$F$21="Lektor",'LAMPIRAN I DONE'!$F$21="Lektor Kepala",'LAMPIRAN I DONE'!$F$21="Guru Besar"),0.5,"")))),IF(OR(AND(L123="sks&gt;10",L122="sks&gt;10"),AND(L123="sks&gt;10",L122="sks&lt;=10")),I123*J123*IF('LAMPIRAN I DONE'!$F$21="Tenaga Pengajar",0.25,IF(OR('LAMPIRAN I DONE'!$F$21="Asisten Ahli",'LAMPIRAN I DONE'!$F$21="Lektor",'LAMPIRAN I DONE'!$F$21="Lektor Kepala",'LAMPIRAN I DONE'!$F$21="Guru Besar"),0.5,"")),I123*J123*IF('LAMPIRAN I DONE'!$F$21="Tenaga Pengajar",0.5,IF(OR('LAMPIRAN I DONE'!$F$21="Asisten Ahli",'LAMPIRAN I DONE'!$F$21="Lektor",'LAMPIRAN I DONE'!$F$21="Lektor Kepala",'LAMPIRAN I DONE'!$F$21="Guru Besar"),1,""))))),"rumus")</f>
        <v>4</v>
      </c>
      <c r="L123" s="401" t="str">
        <f t="shared" ref="L123:L128" si="48">IF(AND(I123&lt;&gt;"",J123&lt;&gt;""),(IF(SUMPRODUCT($I$123:I123,$J$123:J123)&lt;=10,"SKS&lt;=10",IF(SUMPRODUCT($I$123:I123,$J$123:J123)&gt;10,"SKS&gt;10",""))),"rumus")</f>
        <v>SKS&lt;=10</v>
      </c>
      <c r="M123" s="4"/>
      <c r="N123" s="4"/>
      <c r="O123" s="4"/>
      <c r="P123" s="4"/>
      <c r="Q123" s="4"/>
      <c r="R123" s="4"/>
      <c r="S123" s="4"/>
      <c r="T123" s="4"/>
      <c r="U123" s="4"/>
      <c r="V123" s="4"/>
      <c r="W123" s="4"/>
      <c r="X123" s="4"/>
      <c r="Y123" s="4"/>
      <c r="Z123" s="4"/>
    </row>
    <row r="124" spans="1:26" ht="25.5" customHeight="1" x14ac:dyDescent="0.25">
      <c r="A124" s="109">
        <v>2</v>
      </c>
      <c r="B124" s="397" t="s">
        <v>314</v>
      </c>
      <c r="C124" s="573" t="s">
        <v>355</v>
      </c>
      <c r="D124" s="106" t="str">
        <f t="shared" si="46"/>
        <v/>
      </c>
      <c r="E124" s="398" t="str">
        <f t="shared" si="47"/>
        <v/>
      </c>
      <c r="F124" s="398" t="str">
        <f>IF(K124&lt;&gt;"rumus",(IF(OR(AND(L124="sks&gt;10",L123="sks&lt;=10",IFERROR(SUMPRODUCT($I$122:I123,$J$122:J123)&lt;10,FALSE)),AND(L124="sks&gt;10",L123="")),((IF('LAMPIRAN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Besar"),0.5,"")))),((IF(OR(AND(L124="sks&gt;10",L123="sks&gt;10"),AND(L124="sks&gt;10",L123="sks&lt;=10")),IF('LAMPIRAN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24" s="398" t="str">
        <f>IF(K124&lt;&gt;"rumus",(IF(OR(AND(L124="sks&gt;10",L123="sks&lt;=10",IFERROR(SUMPRODUCT($I$122:I123,$J$122:J123)&lt;10,FALSE)),AND(L124="sks&gt;10",L123="")),(((10-SUMPRODUCT($I$122:I123,$J$122:J123))&amp;" x "&amp;1&amp;" x "&amp;IF('LAMPIRAN I DONE'!$F$21="Tenaga Pengajar",0.5,IF(OR('LAMPIRAN I DONE'!$F$21="Asisten Ahli",'LAMPIRAN I DONE'!$F$21="Lektor",'LAMPIRAN I DONE'!$F$21="Lektor Kepala",'LAMPIRAN I DONE'!$F$21="Guru Besar"),1,""))&amp;" = "&amp;((10-SUMPRODUCT($I$122:I123,$J$122:J123))*IF('LAMPIRAN I DONE'!$F$21="Tenaga Pengajar",0.5,IF(OR('LAMPIRAN I DONE'!$F$21="Asisten Ahli",'LAMPIRAN I DONE'!$F$21="Lektor",'LAMPIRAN I DONE'!$F$21="Lektor Kepala",'LAMPIRAN I DONE'!$F$21="Guru Besar"),1,""))))&amp;"
"&amp;(((I124*J124)-(10-SUMPRODUCT($I$122:I123,$J$122:J123)))&amp;" x "&amp;1&amp;" x "&amp;IF('LAMPIRAN I DONE'!$F$21="Tenaga Pengajar",0.25,IF(OR('LAMPIRAN I DONE'!$F$21="Asisten Ahli",'LAMPIRAN I DONE'!$F$21="Lektor",'LAMPIRAN I DONE'!$F$21="Lektor Kepala",'LAMPIRAN I DONE'!$F$21="Guru Besar"),0.5,""))&amp;" = "&amp;(((I124*J124)-(10-SUMPRODUCT($I$122:I123,$J$122:J123)))*IF('LAMPIRAN I DONE'!$F$21="Tenaga Pengajar",0.25,IF(OR('LAMPIRAN I DONE'!$F$21="Asisten Ahli",'LAMPIRAN I DONE'!$F$21="Lektor",'LAMPIRAN I DONE'!$F$21="Lektor Kepala",'LAMPIRAN I DONE'!$F$21="Guru Besar"),0.5,""))))),(I124&amp;" x "&amp;J124&amp;" x "&amp;(IF(OR(AND(L124="sks&gt;10",L123="sks&gt;10"),AND(L124="sks&gt;10",L123="sks&lt;=10")),IF('LAMPIRAN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"&amp;K124))),"rumus")</f>
        <v>rumus</v>
      </c>
      <c r="H124" s="106" t="s">
        <v>315</v>
      </c>
      <c r="I124" s="409"/>
      <c r="J124" s="409"/>
      <c r="K124" s="401" t="str">
        <f>IF(AND(I124&lt;&gt;"",J124&lt;&gt;""),(IF(OR(AND(L124="sks&gt;10",L123="sks&lt;=10",IFERROR(SUMPRODUCT($I$122:I123,$J$122:J123)&lt;10,FALSE)),AND(L124="sks&gt;10",L123="")),(((10-SUMPRODUCT($I$122:I123,$J$122:J123))*IF('LAMPIRAN I DONE'!$F$21="Tenaga Pengajar",0.5,IF(OR('LAMPIRAN I DONE'!$F$21="Asisten Ahli",'LAMPIRAN I DONE'!$F$21="Lektor",'LAMPIRAN I DONE'!$F$21="Lektor Kepala",'LAMPIRAN I DONE'!$F$21="Guru Besar"),1,"")))+(((I124*J124)-(10-SUMPRODUCT($I$122:I123,$J$122:J123)))*IF('LAMPIRAN I DONE'!$F$21="Tenaga Pengajar",0.25,IF(OR('LAMPIRAN I DONE'!$F$21="Asisten Ahli",'LAMPIRAN I DONE'!$F$21="Lektor",'LAMPIRAN I DONE'!$F$21="Lektor Kepala",'LAMPIRAN I DONE'!$F$21="Guru Besar"),0.5,"")))),IF(OR(AND(L124="sks&gt;10",L123="sks&gt;10"),AND(L124="sks&gt;10",L123="sks&lt;=10")),I124*J124*IF('LAMPIRAN I DONE'!$F$21="Tenaga Pengajar",0.25,IF(OR('LAMPIRAN I DONE'!$F$21="Asisten Ahli",'LAMPIRAN I DONE'!$F$21="Lektor",'LAMPIRAN I DONE'!$F$21="Lektor Kepala",'LAMPIRAN I DONE'!$F$21="Guru Besar"),0.5,"")),I124*J124*IF('LAMPIRAN I DONE'!$F$21="Tenaga Pengajar",0.5,IF(OR('LAMPIRAN I DONE'!$F$21="Asisten Ahli",'LAMPIRAN I DONE'!$F$21="Lektor",'LAMPIRAN I DONE'!$F$21="Lektor Kepala",'LAMPIRAN I DONE'!$F$21="Guru Besar"),1,""))))),"rumus")</f>
        <v>rumus</v>
      </c>
      <c r="L124" s="401" t="str">
        <f t="shared" si="48"/>
        <v>rumus</v>
      </c>
      <c r="M124" s="4"/>
      <c r="N124" s="4"/>
      <c r="O124" s="4"/>
      <c r="P124" s="4"/>
      <c r="Q124" s="4"/>
      <c r="R124" s="4"/>
      <c r="S124" s="4"/>
      <c r="T124" s="4"/>
      <c r="U124" s="4"/>
      <c r="V124" s="4"/>
      <c r="W124" s="4"/>
      <c r="X124" s="4"/>
      <c r="Y124" s="4"/>
      <c r="Z124" s="4"/>
    </row>
    <row r="125" spans="1:26" ht="25.5" customHeight="1" x14ac:dyDescent="0.25">
      <c r="A125" s="109">
        <v>3</v>
      </c>
      <c r="B125" s="397" t="s">
        <v>314</v>
      </c>
      <c r="C125" s="573" t="s">
        <v>355</v>
      </c>
      <c r="D125" s="106" t="str">
        <f t="shared" si="46"/>
        <v/>
      </c>
      <c r="E125" s="398" t="str">
        <f t="shared" si="47"/>
        <v/>
      </c>
      <c r="F125" s="398" t="str">
        <f>IF(K125&lt;&gt;"rumus",(IF(OR(AND(L125="sks&gt;10",L124="sks&lt;=10",IFERROR(SUMPRODUCT($I$122:I124,$J$122:J124)&lt;10,FALSE)),AND(L125="sks&gt;10",L124="")),((IF('LAMPIRAN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Besar"),0.5,"")))),((IF(OR(AND(L125="sks&gt;10",L124="sks&gt;10"),AND(L125="sks&gt;10",L124="sks&lt;=10")),IF('LAMPIRAN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25" s="398" t="str">
        <f>IF(K125&lt;&gt;"rumus",(IF(OR(AND(L125="sks&gt;10",L124="sks&lt;=10",IFERROR(SUMPRODUCT($I$122:I124,$J$122:J124)&lt;10,FALSE)),AND(L125="sks&gt;10",L124="")),(((10-SUMPRODUCT($I$122:I124,$J$122:J124))&amp;" x "&amp;1&amp;" x "&amp;IF('LAMPIRAN I DONE'!$F$21="Tenaga Pengajar",0.5,IF(OR('LAMPIRAN I DONE'!$F$21="Asisten Ahli",'LAMPIRAN I DONE'!$F$21="Lektor",'LAMPIRAN I DONE'!$F$21="Lektor Kepala",'LAMPIRAN I DONE'!$F$21="Guru Besar"),1,""))&amp;" = "&amp;((10-SUMPRODUCT($I$122:I124,$J$122:J124))*IF('LAMPIRAN I DONE'!$F$21="Tenaga Pengajar",0.5,IF(OR('LAMPIRAN I DONE'!$F$21="Asisten Ahli",'LAMPIRAN I DONE'!$F$21="Lektor",'LAMPIRAN I DONE'!$F$21="Lektor Kepala",'LAMPIRAN I DONE'!$F$21="Guru Besar"),1,""))))&amp;"
"&amp;(((I125*J125)-(10-SUMPRODUCT($I$122:I124,$J$122:J124)))&amp;" x "&amp;1&amp;" x "&amp;IF('LAMPIRAN I DONE'!$F$21="Tenaga Pengajar",0.25,IF(OR('LAMPIRAN I DONE'!$F$21="Asisten Ahli",'LAMPIRAN I DONE'!$F$21="Lektor",'LAMPIRAN I DONE'!$F$21="Lektor Kepala",'LAMPIRAN I DONE'!$F$21="Guru Besar"),0.5,""))&amp;" = "&amp;(((I125*J125)-(10-SUMPRODUCT($I$122:I124,$J$122:J124)))*IF('LAMPIRAN I DONE'!$F$21="Tenaga Pengajar",0.25,IF(OR('LAMPIRAN I DONE'!$F$21="Asisten Ahli",'LAMPIRAN I DONE'!$F$21="Lektor",'LAMPIRAN I DONE'!$F$21="Lektor Kepala",'LAMPIRAN I DONE'!$F$21="Guru Besar"),0.5,""))))),(I125&amp;" x "&amp;J125&amp;" x "&amp;(IF(OR(AND(L125="sks&gt;10",L124="sks&gt;10"),AND(L125="sks&gt;10",L124="sks&lt;=10")),IF('LAMPIRAN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"&amp;K125))),"rumus")</f>
        <v>rumus</v>
      </c>
      <c r="H125" s="106" t="s">
        <v>315</v>
      </c>
      <c r="I125" s="409"/>
      <c r="J125" s="409"/>
      <c r="K125" s="401" t="str">
        <f>IF(AND(I125&lt;&gt;"",J125&lt;&gt;""),(IF(OR(AND(L125="sks&gt;10",L124="sks&lt;=10",IFERROR(SUMPRODUCT($I$122:I124,$J$122:J124)&lt;10,FALSE)),AND(L125="sks&gt;10",L124="")),(((10-SUMPRODUCT($I$122:I124,$J$122:J124))*IF('LAMPIRAN I DONE'!$F$21="Tenaga Pengajar",0.5,IF(OR('LAMPIRAN I DONE'!$F$21="Asisten Ahli",'LAMPIRAN I DONE'!$F$21="Lektor",'LAMPIRAN I DONE'!$F$21="Lektor Kepala",'LAMPIRAN I DONE'!$F$21="Guru Besar"),1,"")))+(((I125*J125)-(10-SUMPRODUCT($I$122:I124,$J$122:J124)))*IF('LAMPIRAN I DONE'!$F$21="Tenaga Pengajar",0.25,IF(OR('LAMPIRAN I DONE'!$F$21="Asisten Ahli",'LAMPIRAN I DONE'!$F$21="Lektor",'LAMPIRAN I DONE'!$F$21="Lektor Kepala",'LAMPIRAN I DONE'!$F$21="Guru Besar"),0.5,"")))),IF(OR(AND(L125="sks&gt;10",L124="sks&gt;10"),AND(L125="sks&gt;10",L124="sks&lt;=10")),I125*J125*IF('LAMPIRAN I DONE'!$F$21="Tenaga Pengajar",0.25,IF(OR('LAMPIRAN I DONE'!$F$21="Asisten Ahli",'LAMPIRAN I DONE'!$F$21="Lektor",'LAMPIRAN I DONE'!$F$21="Lektor Kepala",'LAMPIRAN I DONE'!$F$21="Guru Besar"),0.5,"")),I125*J125*IF('LAMPIRAN I DONE'!$F$21="Tenaga Pengajar",0.5,IF(OR('LAMPIRAN I DONE'!$F$21="Asisten Ahli",'LAMPIRAN I DONE'!$F$21="Lektor",'LAMPIRAN I DONE'!$F$21="Lektor Kepala",'LAMPIRAN I DONE'!$F$21="Guru Besar"),1,""))))),"rumus")</f>
        <v>rumus</v>
      </c>
      <c r="L125" s="401" t="str">
        <f t="shared" si="48"/>
        <v>rumus</v>
      </c>
      <c r="M125" s="4"/>
      <c r="N125" s="4"/>
      <c r="O125" s="4"/>
      <c r="P125" s="4"/>
      <c r="Q125" s="4"/>
      <c r="R125" s="4"/>
      <c r="S125" s="4"/>
      <c r="T125" s="4"/>
      <c r="U125" s="4"/>
      <c r="V125" s="4"/>
      <c r="W125" s="4"/>
      <c r="X125" s="4"/>
      <c r="Y125" s="4"/>
      <c r="Z125" s="4"/>
    </row>
    <row r="126" spans="1:26" ht="25.5" customHeight="1" x14ac:dyDescent="0.25">
      <c r="A126" s="109">
        <v>4</v>
      </c>
      <c r="B126" s="397" t="s">
        <v>314</v>
      </c>
      <c r="C126" s="573" t="s">
        <v>355</v>
      </c>
      <c r="D126" s="106" t="str">
        <f t="shared" si="46"/>
        <v/>
      </c>
      <c r="E126" s="398" t="str">
        <f t="shared" si="47"/>
        <v/>
      </c>
      <c r="F126" s="398" t="str">
        <f>IF(K126&lt;&gt;"rumus",(IF(OR(AND(L126="sks&gt;10",L125="sks&lt;=10",IFERROR(SUMPRODUCT($I$122:I125,$J$122:J125)&lt;10,FALSE)),AND(L126="sks&gt;10",L125="")),((IF('LAMPIRAN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Besar"),0.5,"")))),((IF(OR(AND(L126="sks&gt;10",L125="sks&gt;10"),AND(L126="sks&gt;10",L125="sks&lt;=10")),IF('LAMPIRAN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26" s="398" t="str">
        <f>IF(K126&lt;&gt;"rumus",(IF(OR(AND(L126="sks&gt;10",L125="sks&lt;=10",IFERROR(SUMPRODUCT($I$122:I125,$J$122:J125)&lt;10,FALSE)),AND(L126="sks&gt;10",L125="")),(((10-SUMPRODUCT($I$122:I125,$J$122:J125))&amp;" x "&amp;1&amp;" x "&amp;IF('LAMPIRAN I DONE'!$F$21="Tenaga Pengajar",0.5,IF(OR('LAMPIRAN I DONE'!$F$21="Asisten Ahli",'LAMPIRAN I DONE'!$F$21="Lektor",'LAMPIRAN I DONE'!$F$21="Lektor Kepala",'LAMPIRAN I DONE'!$F$21="Guru Besar"),1,""))&amp;" = "&amp;((10-SUMPRODUCT($I$122:I125,$J$122:J125))*IF('LAMPIRAN I DONE'!$F$21="Tenaga Pengajar",0.5,IF(OR('LAMPIRAN I DONE'!$F$21="Asisten Ahli",'LAMPIRAN I DONE'!$F$21="Lektor",'LAMPIRAN I DONE'!$F$21="Lektor Kepala",'LAMPIRAN I DONE'!$F$21="Guru Besar"),1,""))))&amp;"
"&amp;(((I126*J126)-(10-SUMPRODUCT($I$122:I125,$J$122:J125)))&amp;" x "&amp;1&amp;" x "&amp;IF('LAMPIRAN I DONE'!$F$21="Tenaga Pengajar",0.25,IF(OR('LAMPIRAN I DONE'!$F$21="Asisten Ahli",'LAMPIRAN I DONE'!$F$21="Lektor",'LAMPIRAN I DONE'!$F$21="Lektor Kepala",'LAMPIRAN I DONE'!$F$21="Guru Besar"),0.5,""))&amp;" = "&amp;(((I126*J126)-(10-SUMPRODUCT($I$122:I125,$J$122:J125)))*IF('LAMPIRAN I DONE'!$F$21="Tenaga Pengajar",0.25,IF(OR('LAMPIRAN I DONE'!$F$21="Asisten Ahli",'LAMPIRAN I DONE'!$F$21="Lektor",'LAMPIRAN I DONE'!$F$21="Lektor Kepala",'LAMPIRAN I DONE'!$F$21="Guru Besar"),0.5,""))))),(I126&amp;" x "&amp;J126&amp;" x "&amp;(IF(OR(AND(L126="sks&gt;10",L125="sks&gt;10"),AND(L126="sks&gt;10",L125="sks&lt;=10")),IF('LAMPIRAN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"&amp;K126))),"rumus")</f>
        <v>rumus</v>
      </c>
      <c r="H126" s="106" t="s">
        <v>315</v>
      </c>
      <c r="I126" s="409"/>
      <c r="J126" s="409"/>
      <c r="K126" s="401" t="str">
        <f>IF(AND(I126&lt;&gt;"",J126&lt;&gt;""),(IF(OR(AND(L126="sks&gt;10",L125="sks&lt;=10",IFERROR(SUMPRODUCT($I$122:I125,$J$122:J125)&lt;10,FALSE)),AND(L126="sks&gt;10",L125="")),(((10-SUMPRODUCT($I$122:I125,$J$122:J125))*IF('LAMPIRAN I DONE'!$F$21="Tenaga Pengajar",0.5,IF(OR('LAMPIRAN I DONE'!$F$21="Asisten Ahli",'LAMPIRAN I DONE'!$F$21="Lektor",'LAMPIRAN I DONE'!$F$21="Lektor Kepala",'LAMPIRAN I DONE'!$F$21="Guru Besar"),1,"")))+(((I126*J126)-(10-SUMPRODUCT($I$122:I125,$J$122:J125)))*IF('LAMPIRAN I DONE'!$F$21="Tenaga Pengajar",0.25,IF(OR('LAMPIRAN I DONE'!$F$21="Asisten Ahli",'LAMPIRAN I DONE'!$F$21="Lektor",'LAMPIRAN I DONE'!$F$21="Lektor Kepala",'LAMPIRAN I DONE'!$F$21="Guru Besar"),0.5,"")))),IF(OR(AND(L126="sks&gt;10",L125="sks&gt;10"),AND(L126="sks&gt;10",L125="sks&lt;=10")),I126*J126*IF('LAMPIRAN I DONE'!$F$21="Tenaga Pengajar",0.25,IF(OR('LAMPIRAN I DONE'!$F$21="Asisten Ahli",'LAMPIRAN I DONE'!$F$21="Lektor",'LAMPIRAN I DONE'!$F$21="Lektor Kepala",'LAMPIRAN I DONE'!$F$21="Guru Besar"),0.5,"")),I126*J126*IF('LAMPIRAN I DONE'!$F$21="Tenaga Pengajar",0.5,IF(OR('LAMPIRAN I DONE'!$F$21="Asisten Ahli",'LAMPIRAN I DONE'!$F$21="Lektor",'LAMPIRAN I DONE'!$F$21="Lektor Kepala",'LAMPIRAN I DONE'!$F$21="Guru Besar"),1,""))))),"rumus")</f>
        <v>rumus</v>
      </c>
      <c r="L126" s="401" t="str">
        <f t="shared" si="48"/>
        <v>rumus</v>
      </c>
      <c r="M126" s="4"/>
      <c r="N126" s="4"/>
      <c r="O126" s="4"/>
      <c r="P126" s="4"/>
      <c r="Q126" s="4"/>
      <c r="R126" s="4"/>
      <c r="S126" s="4"/>
      <c r="T126" s="4"/>
      <c r="U126" s="4"/>
      <c r="V126" s="4"/>
      <c r="W126" s="4"/>
      <c r="X126" s="4"/>
      <c r="Y126" s="4"/>
      <c r="Z126" s="4"/>
    </row>
    <row r="127" spans="1:26" ht="25.5" customHeight="1" x14ac:dyDescent="0.25">
      <c r="A127" s="109">
        <v>5</v>
      </c>
      <c r="B127" s="397" t="s">
        <v>314</v>
      </c>
      <c r="C127" s="573" t="s">
        <v>355</v>
      </c>
      <c r="D127" s="106" t="str">
        <f t="shared" si="46"/>
        <v/>
      </c>
      <c r="E127" s="398" t="str">
        <f t="shared" si="47"/>
        <v/>
      </c>
      <c r="F127" s="398" t="str">
        <f>IF(K127&lt;&gt;"rumus",(IF(OR(AND(L127="sks&gt;10",L126="sks&lt;=10",IFERROR(SUMPRODUCT($I$122:I126,$J$122:J126)&lt;10,FALSE)),AND(L127="sks&gt;10",L126="")),((IF('LAMPIRAN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Besar"),0.5,"")))),((IF(OR(AND(L127="sks&gt;10",L126="sks&gt;10"),AND(L127="sks&gt;10",L126="sks&lt;=10")),IF('LAMPIRAN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27" s="398" t="str">
        <f>IF(K127&lt;&gt;"rumus",(IF(OR(AND(L127="sks&gt;10",L126="sks&lt;=10",IFERROR(SUMPRODUCT($I$122:I126,$J$122:J126)&lt;10,FALSE)),AND(L127="sks&gt;10",L126="")),(((10-SUMPRODUCT($I$122:I126,$J$122:J126))&amp;" x "&amp;1&amp;" x "&amp;IF('LAMPIRAN I DONE'!$F$21="Tenaga Pengajar",0.5,IF(OR('LAMPIRAN I DONE'!$F$21="Asisten Ahli",'LAMPIRAN I DONE'!$F$21="Lektor",'LAMPIRAN I DONE'!$F$21="Lektor Kepala",'LAMPIRAN I DONE'!$F$21="Guru Besar"),1,""))&amp;" = "&amp;((10-SUMPRODUCT($I$122:I126,$J$122:J126))*IF('LAMPIRAN I DONE'!$F$21="Tenaga Pengajar",0.5,IF(OR('LAMPIRAN I DONE'!$F$21="Asisten Ahli",'LAMPIRAN I DONE'!$F$21="Lektor",'LAMPIRAN I DONE'!$F$21="Lektor Kepala",'LAMPIRAN I DONE'!$F$21="Guru Besar"),1,""))))&amp;"
"&amp;(((I127*J127)-(10-SUMPRODUCT($I$122:I126,$J$122:J126)))&amp;" x "&amp;1&amp;" x "&amp;IF('LAMPIRAN I DONE'!$F$21="Tenaga Pengajar",0.25,IF(OR('LAMPIRAN I DONE'!$F$21="Asisten Ahli",'LAMPIRAN I DONE'!$F$21="Lektor",'LAMPIRAN I DONE'!$F$21="Lektor Kepala",'LAMPIRAN I DONE'!$F$21="Guru Besar"),0.5,""))&amp;" = "&amp;(((I127*J127)-(10-SUMPRODUCT($I$122:I126,$J$122:J126)))*IF('LAMPIRAN I DONE'!$F$21="Tenaga Pengajar",0.25,IF(OR('LAMPIRAN I DONE'!$F$21="Asisten Ahli",'LAMPIRAN I DONE'!$F$21="Lektor",'LAMPIRAN I DONE'!$F$21="Lektor Kepala",'LAMPIRAN I DONE'!$F$21="Guru Besar"),0.5,""))))),(I127&amp;" x "&amp;J127&amp;" x "&amp;(IF(OR(AND(L127="sks&gt;10",L126="sks&gt;10"),AND(L127="sks&gt;10",L126="sks&lt;=10")),IF('LAMPIRAN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"&amp;K127))),"rumus")</f>
        <v>rumus</v>
      </c>
      <c r="H127" s="106" t="s">
        <v>315</v>
      </c>
      <c r="I127" s="409"/>
      <c r="J127" s="409"/>
      <c r="K127" s="401" t="str">
        <f>IF(AND(I127&lt;&gt;"",J127&lt;&gt;""),(IF(OR(AND(L127="sks&gt;10",L126="sks&lt;=10",IFERROR(SUMPRODUCT($I$122:I126,$J$122:J126)&lt;10,FALSE)),AND(L127="sks&gt;10",L126="")),(((10-SUMPRODUCT($I$122:I126,$J$122:J126))*IF('LAMPIRAN I DONE'!$F$21="Tenaga Pengajar",0.5,IF(OR('LAMPIRAN I DONE'!$F$21="Asisten Ahli",'LAMPIRAN I DONE'!$F$21="Lektor",'LAMPIRAN I DONE'!$F$21="Lektor Kepala",'LAMPIRAN I DONE'!$F$21="Guru Besar"),1,"")))+(((I127*J127)-(10-SUMPRODUCT($I$122:I126,$J$122:J126)))*IF('LAMPIRAN I DONE'!$F$21="Tenaga Pengajar",0.25,IF(OR('LAMPIRAN I DONE'!$F$21="Asisten Ahli",'LAMPIRAN I DONE'!$F$21="Lektor",'LAMPIRAN I DONE'!$F$21="Lektor Kepala",'LAMPIRAN I DONE'!$F$21="Guru Besar"),0.5,"")))),IF(OR(AND(L127="sks&gt;10",L126="sks&gt;10"),AND(L127="sks&gt;10",L126="sks&lt;=10")),I127*J127*IF('LAMPIRAN I DONE'!$F$21="Tenaga Pengajar",0.25,IF(OR('LAMPIRAN I DONE'!$F$21="Asisten Ahli",'LAMPIRAN I DONE'!$F$21="Lektor",'LAMPIRAN I DONE'!$F$21="Lektor Kepala",'LAMPIRAN I DONE'!$F$21="Guru Besar"),0.5,"")),I127*J127*IF('LAMPIRAN I DONE'!$F$21="Tenaga Pengajar",0.5,IF(OR('LAMPIRAN I DONE'!$F$21="Asisten Ahli",'LAMPIRAN I DONE'!$F$21="Lektor",'LAMPIRAN I DONE'!$F$21="Lektor Kepala",'LAMPIRAN I DONE'!$F$21="Guru Besar"),1,""))))),"rumus")</f>
        <v>rumus</v>
      </c>
      <c r="L127" s="401" t="str">
        <f t="shared" si="48"/>
        <v>rumus</v>
      </c>
      <c r="M127" s="4"/>
      <c r="N127" s="4"/>
      <c r="O127" s="4"/>
      <c r="P127" s="4"/>
      <c r="Q127" s="4"/>
      <c r="R127" s="4"/>
      <c r="S127" s="4"/>
      <c r="T127" s="4"/>
      <c r="U127" s="4"/>
      <c r="V127" s="4"/>
      <c r="W127" s="4"/>
      <c r="X127" s="4"/>
      <c r="Y127" s="4"/>
      <c r="Z127" s="4"/>
    </row>
    <row r="128" spans="1:26" ht="25.5" customHeight="1" x14ac:dyDescent="0.25">
      <c r="A128" s="109">
        <v>6</v>
      </c>
      <c r="B128" s="397" t="s">
        <v>314</v>
      </c>
      <c r="C128" s="573" t="s">
        <v>355</v>
      </c>
      <c r="D128" s="106" t="str">
        <f t="shared" si="46"/>
        <v/>
      </c>
      <c r="E128" s="398" t="str">
        <f t="shared" si="47"/>
        <v/>
      </c>
      <c r="F128" s="398" t="str">
        <f>IF(K128&lt;&gt;"rumus",(IF(OR(AND(L128="sks&gt;10",L127="sks&lt;=10",IFERROR(SUMPRODUCT($I$122:I127,$J$122:J127)&lt;10,FALSE)),AND(L128="sks&gt;10",L127="")),((IF('LAMPIRAN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Besar"),0.5,"")))),((IF(OR(AND(L128="sks&gt;10",L127="sks&gt;10"),AND(L128="sks&gt;10",L127="sks&lt;=10")),IF('LAMPIRAN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28" s="398" t="str">
        <f>IF(K128&lt;&gt;"rumus",(IF(OR(AND(L128="sks&gt;10",L127="sks&lt;=10",IFERROR(SUMPRODUCT($I$122:I127,$J$122:J127)&lt;10,FALSE)),AND(L128="sks&gt;10",L127="")),(((10-SUMPRODUCT($I$122:I127,$J$122:J127))&amp;" x "&amp;1&amp;" x "&amp;IF('LAMPIRAN I DONE'!$F$21="Tenaga Pengajar",0.5,IF(OR('LAMPIRAN I DONE'!$F$21="Asisten Ahli",'LAMPIRAN I DONE'!$F$21="Lektor",'LAMPIRAN I DONE'!$F$21="Lektor Kepala",'LAMPIRAN I DONE'!$F$21="Guru Besar"),1,""))&amp;" = "&amp;((10-SUMPRODUCT($I$122:I127,$J$122:J127))*IF('LAMPIRAN I DONE'!$F$21="Tenaga Pengajar",0.5,IF(OR('LAMPIRAN I DONE'!$F$21="Asisten Ahli",'LAMPIRAN I DONE'!$F$21="Lektor",'LAMPIRAN I DONE'!$F$21="Lektor Kepala",'LAMPIRAN I DONE'!$F$21="Guru Besar"),1,""))))&amp;"
"&amp;(((I128*J128)-(10-SUMPRODUCT($I$122:I127,$J$122:J127)))&amp;" x "&amp;1&amp;" x "&amp;IF('LAMPIRAN I DONE'!$F$21="Tenaga Pengajar",0.25,IF(OR('LAMPIRAN I DONE'!$F$21="Asisten Ahli",'LAMPIRAN I DONE'!$F$21="Lektor",'LAMPIRAN I DONE'!$F$21="Lektor Kepala",'LAMPIRAN I DONE'!$F$21="Guru Besar"),0.5,""))&amp;" = "&amp;(((I128*J128)-(10-SUMPRODUCT($I$122:I127,$J$122:J127)))*IF('LAMPIRAN I DONE'!$F$21="Tenaga Pengajar",0.25,IF(OR('LAMPIRAN I DONE'!$F$21="Asisten Ahli",'LAMPIRAN I DONE'!$F$21="Lektor",'LAMPIRAN I DONE'!$F$21="Lektor Kepala",'LAMPIRAN I DONE'!$F$21="Guru Besar"),0.5,""))))),(I128&amp;" x "&amp;J128&amp;" x "&amp;(IF(OR(AND(L128="sks&gt;10",L127="sks&gt;10"),AND(L128="sks&gt;10",L127="sks&lt;=10")),IF('LAMPIRAN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"&amp;K128))),"rumus")</f>
        <v>rumus</v>
      </c>
      <c r="H128" s="106" t="s">
        <v>315</v>
      </c>
      <c r="I128" s="409"/>
      <c r="J128" s="409"/>
      <c r="K128" s="401" t="str">
        <f>IF(AND(I128&lt;&gt;"",J128&lt;&gt;""),(IF(OR(AND(L128="sks&gt;10",L127="sks&lt;=10",IFERROR(SUMPRODUCT($I$122:I127,$J$122:J127)&lt;10,FALSE)),AND(L128="sks&gt;10",L127="")),(((10-SUMPRODUCT($I$122:I127,$J$122:J127))*IF('LAMPIRAN I DONE'!$F$21="Tenaga Pengajar",0.5,IF(OR('LAMPIRAN I DONE'!$F$21="Asisten Ahli",'LAMPIRAN I DONE'!$F$21="Lektor",'LAMPIRAN I DONE'!$F$21="Lektor Kepala",'LAMPIRAN I DONE'!$F$21="Guru Besar"),1,"")))+(((I128*J128)-(10-SUMPRODUCT($I$122:I127,$J$122:J127)))*IF('LAMPIRAN I DONE'!$F$21="Tenaga Pengajar",0.25,IF(OR('LAMPIRAN I DONE'!$F$21="Asisten Ahli",'LAMPIRAN I DONE'!$F$21="Lektor",'LAMPIRAN I DONE'!$F$21="Lektor Kepala",'LAMPIRAN I DONE'!$F$21="Guru Besar"),0.5,"")))),IF(OR(AND(L128="sks&gt;10",L127="sks&gt;10"),AND(L128="sks&gt;10",L127="sks&lt;=10")),I128*J128*IF('LAMPIRAN I DONE'!$F$21="Tenaga Pengajar",0.25,IF(OR('LAMPIRAN I DONE'!$F$21="Asisten Ahli",'LAMPIRAN I DONE'!$F$21="Lektor",'LAMPIRAN I DONE'!$F$21="Lektor Kepala",'LAMPIRAN I DONE'!$F$21="Guru Besar"),0.5,"")),I128*J128*IF('LAMPIRAN I DONE'!$F$21="Tenaga Pengajar",0.5,IF(OR('LAMPIRAN I DONE'!$F$21="Asisten Ahli",'LAMPIRAN I DONE'!$F$21="Lektor",'LAMPIRAN I DONE'!$F$21="Lektor Kepala",'LAMPIRAN I DONE'!$F$21="Guru Besar"),1,""))))),"rumus")</f>
        <v>rumus</v>
      </c>
      <c r="L128" s="401" t="str">
        <f t="shared" si="48"/>
        <v>rumus</v>
      </c>
      <c r="M128" s="4"/>
      <c r="N128" s="4"/>
      <c r="O128" s="4"/>
      <c r="P128" s="4"/>
      <c r="Q128" s="4"/>
      <c r="R128" s="4"/>
      <c r="S128" s="4"/>
      <c r="T128" s="4"/>
      <c r="U128" s="4"/>
      <c r="V128" s="4"/>
      <c r="W128" s="4"/>
      <c r="X128" s="4"/>
      <c r="Y128" s="4"/>
      <c r="Z128" s="4"/>
    </row>
    <row r="129" spans="1:26" ht="15" customHeight="1" x14ac:dyDescent="0.25">
      <c r="A129" s="109"/>
      <c r="B129" s="406" t="str">
        <f>"b. Semester Genap "&amp;IF(C130&lt;&gt;"",C130,"")&amp;" :"</f>
        <v>b. Semester Genap 2012/2013 :</v>
      </c>
      <c r="C129" s="410"/>
      <c r="D129" s="410"/>
      <c r="E129" s="410"/>
      <c r="F129" s="410"/>
      <c r="G129" s="410"/>
      <c r="H129" s="411"/>
      <c r="I129" s="110"/>
      <c r="J129" s="110"/>
      <c r="K129" s="4"/>
      <c r="L129" s="4"/>
      <c r="M129" s="111">
        <f>IF((AND(N129="Max 5,5",SUM(K123:K128)&lt;=5.5)),SUM(K123:K128),IF((AND(N129="Max 5,5",SUM(K123:K128)&gt;5.5)),5.5,IF((AND(N129="Max 11",SUM(K123:K128)&lt;=11)),SUM(K123:K128),IF((AND(N129="Max 11",SUM(K123:K128)&gt;11)),11,""))))</f>
        <v>4</v>
      </c>
      <c r="N129" s="103" t="str">
        <f>IF('LAMPIRAN I DONE'!$F$21="Tenaga Pengajar","Max 5,5",IF(OR('LAMPIRAN I DONE'!$F$21="Asisten Ahli",'LAMPIRAN I DONE'!$F$21="Lektor",'LAMPIRAN I DONE'!$F$21="Lektor Kepala",'LAMPIRAN I DONE'!$F$21="Guru Besar"),"Max 11",""))</f>
        <v>Max 11</v>
      </c>
      <c r="O129" s="4"/>
      <c r="P129" s="4"/>
      <c r="Q129" s="4"/>
      <c r="R129" s="4"/>
      <c r="S129" s="4"/>
      <c r="T129" s="4"/>
      <c r="U129" s="4"/>
      <c r="V129" s="4"/>
      <c r="W129" s="4"/>
      <c r="X129" s="4"/>
      <c r="Y129" s="4"/>
      <c r="Z129" s="4"/>
    </row>
    <row r="130" spans="1:26" ht="25.5" customHeight="1" x14ac:dyDescent="0.25">
      <c r="A130" s="109">
        <v>1</v>
      </c>
      <c r="B130" s="570" t="s">
        <v>357</v>
      </c>
      <c r="C130" s="106" t="s">
        <v>312</v>
      </c>
      <c r="D130" s="106" t="str">
        <f t="shared" ref="D130:D135" si="49">IF(G130&lt;&gt;"rumus","SKS","")</f>
        <v>SKS</v>
      </c>
      <c r="E130" s="398" t="str">
        <f t="shared" ref="E130:E135" si="50">IF(K130&lt;&gt;"rumus",(IF(OR(AND(L130="sks&gt;10",L129="sks&lt;=10",IFERROR(SUMPRODUCT($I$129:I129,$J$129:J129)&lt;10,FALSE)),AND(L130="sks&gt;10",L129="")),(((10-SUMPRODUCT($I$129:I129,$J$129:J129))&amp;" x "&amp;1)&amp;"
"&amp;(((I130*J130)-(10-SUMPRODUCT($I$129:I129,$J$129:J129)))&amp;" x "&amp;1)),(I130&amp;" x "&amp;J130))),"")</f>
        <v>4 x 2</v>
      </c>
      <c r="F130" s="398">
        <f>IF(K130&lt;&gt;"rumus",(IF(OR(AND(L130="sks&gt;10",L129="sks&lt;=10",IFERROR(SUMPRODUCT($I$129:I129,$J$129:J129)&lt;10,FALSE)),AND(L130="sks&gt;10",L129="")),((IF('LAMPIRAN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Besar"),0.5,"")))),((IF(OR(AND(L130="sks&gt;10",L129="sks&gt;10"),AND(L130="sks&gt;10",L129="sks&lt;=10")),IF('LAMPIRAN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30" s="398" t="str">
        <f>IF(K130&lt;&gt;"rumus",(IF(OR(AND(L130="sks&gt;10",L129="sks&lt;=10",IFERROR(SUMPRODUCT($I$129:I129,$J$129:J129)&lt;10,FALSE)),AND(L130="sks&gt;10",L129="")),(((10-SUMPRODUCT($I$129:I129,$J$129:J129))&amp;" x "&amp;1&amp;" x "&amp;IF('LAMPIRAN I DONE'!$F$21="Tenaga Pengajar",0.5,IF(OR('LAMPIRAN I DONE'!$F$21="Asisten Ahli",'LAMPIRAN I DONE'!$F$21="Lektor",'LAMPIRAN I DONE'!$F$21="Lektor Kepala",'LAMPIRAN I DONE'!$F$21="Guru Besar"),1,""))&amp;" = "&amp;((10-SUMPRODUCT($I$129:I129,$J$129:J129))*IF('LAMPIRAN I DONE'!$F$21="Tenaga Pengajar",0.5,IF(OR('LAMPIRAN I DONE'!$F$21="Asisten Ahli",'LAMPIRAN I DONE'!$F$21="Lektor",'LAMPIRAN I DONE'!$F$21="Lektor Kepala",'LAMPIRAN I DONE'!$F$21="Guru Besar"),1,""))))&amp;"
"&amp;(((I130*J130)-(10-SUMPRODUCT($I$129:I129,$J$129:J129)))&amp;" x "&amp;1&amp;" x "&amp;IF('LAMPIRAN I DONE'!$F$21="Tenaga Pengajar",0.25,IF(OR('LAMPIRAN I DONE'!$F$21="Asisten Ahli",'LAMPIRAN I DONE'!$F$21="Lektor",'LAMPIRAN I DONE'!$F$21="Lektor Kepala",'LAMPIRAN I DONE'!$F$21="Guru Besar"),0.5,""))&amp;" = "&amp;(((I130*J130)-(10-SUMPRODUCT($I$129:I129,$J$129:J129)))*IF('LAMPIRAN I DONE'!$F$21="Tenaga Pengajar",0.25,IF(OR('LAMPIRAN I DONE'!$F$21="Asisten Ahli",'LAMPIRAN I DONE'!$F$21="Lektor",'LAMPIRAN I DONE'!$F$21="Lektor Kepala",'LAMPIRAN I DONE'!$F$21="Guru Besar"),0.5,""))))),(I130&amp;" x "&amp;J130&amp;" x "&amp;(IF(OR(AND(L130="sks&gt;10",L129="sks&gt;10"),AND(L130="sks&gt;10",L129="sks&lt;=10")),IF('LAMPIRAN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"&amp;K130))),"rumus")</f>
        <v>4 x 2 x 1 = 8</v>
      </c>
      <c r="H130" s="106" t="s">
        <v>358</v>
      </c>
      <c r="I130" s="409">
        <v>4</v>
      </c>
      <c r="J130" s="409">
        <v>2</v>
      </c>
      <c r="K130" s="401">
        <f>IF(AND(I130&lt;&gt;"",J130&lt;&gt;""),(IF(OR(AND(L130="sks&gt;10",L129="sks&lt;=10",IFERROR(SUMPRODUCT($I$129:I129,$J$129:J129)&lt;10,FALSE)),AND(L130="sks&gt;10",L129="")),(((10-SUMPRODUCT($I$129:I129,$J$129:J129))*IF('LAMPIRAN I DONE'!$F$21="Tenaga Pengajar",0.5,IF(OR('LAMPIRAN I DONE'!$F$21="Asisten Ahli",'LAMPIRAN I DONE'!$F$21="Lektor",'LAMPIRAN I DONE'!$F$21="Lektor Kepala",'LAMPIRAN I DONE'!$F$21="Guru Besar"),1,"")))+(((I130*J130)-(10-SUMPRODUCT($I$129:I129,$J$129:J129)))*IF('LAMPIRAN I DONE'!$F$21="Tenaga Pengajar",0.25,IF(OR('LAMPIRAN I DONE'!$F$21="Asisten Ahli",'LAMPIRAN I DONE'!$F$21="Lektor",'LAMPIRAN I DONE'!$F$21="Lektor Kepala",'LAMPIRAN I DONE'!$F$21="Guru Besar"),0.5,"")))),IF(OR(AND(L130="sks&gt;10",L129="sks&gt;10"),AND(L130="sks&gt;10",L129="sks&lt;=10")),I130*J130*IF('LAMPIRAN I DONE'!$F$21="Tenaga Pengajar",0.25,IF(OR('LAMPIRAN I DONE'!$F$21="Asisten Ahli",'LAMPIRAN I DONE'!$F$21="Lektor",'LAMPIRAN I DONE'!$F$21="Lektor Kepala",'LAMPIRAN I DONE'!$F$21="Guru Besar"),0.5,"")),I130*J130*IF('LAMPIRAN I DONE'!$F$21="Tenaga Pengajar",0.5,IF(OR('LAMPIRAN I DONE'!$F$21="Asisten Ahli",'LAMPIRAN I DONE'!$F$21="Lektor",'LAMPIRAN I DONE'!$F$21="Lektor Kepala",'LAMPIRAN I DONE'!$F$21="Guru Besar"),1,""))))),"rumus")</f>
        <v>8</v>
      </c>
      <c r="L130" s="401" t="str">
        <f t="shared" ref="L130:L135" si="51">IF(AND(I130&lt;&gt;"",J130&lt;&gt;""),(IF(SUMPRODUCT($I$130:I130,$J$130:J130)&lt;=10,"SKS&lt;=10",IF(SUMPRODUCT($I$130:I130,$J$130:J130)&gt;10,"SKS&gt;10",""))),"rumus")</f>
        <v>SKS&lt;=10</v>
      </c>
      <c r="M130" s="4"/>
      <c r="N130" s="4"/>
      <c r="O130" s="4"/>
      <c r="P130" s="4"/>
      <c r="Q130" s="4"/>
      <c r="R130" s="4"/>
      <c r="S130" s="4"/>
      <c r="T130" s="4"/>
      <c r="U130" s="4"/>
      <c r="V130" s="4"/>
      <c r="W130" s="4"/>
      <c r="X130" s="4"/>
      <c r="Y130" s="4"/>
      <c r="Z130" s="4"/>
    </row>
    <row r="131" spans="1:26" ht="25.5" customHeight="1" x14ac:dyDescent="0.25">
      <c r="A131" s="109">
        <v>2</v>
      </c>
      <c r="B131" s="397" t="s">
        <v>314</v>
      </c>
      <c r="C131" s="106" t="s">
        <v>312</v>
      </c>
      <c r="D131" s="106" t="str">
        <f t="shared" si="49"/>
        <v>SKS</v>
      </c>
      <c r="E131" s="398" t="str">
        <f t="shared" si="50"/>
        <v>2 x 1
6 x 1</v>
      </c>
      <c r="F131" s="398" t="str">
        <f>IF(K131&lt;&gt;"rumus",(IF(OR(AND(L131="sks&gt;10",L130="sks&lt;=10",IFERROR(SUMPRODUCT($I$129:I130,$J$129:J130)&lt;10,FALSE)),AND(L131="sks&gt;10",L130="")),((IF('LAMPIRAN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Besar"),0.5,"")))),((IF(OR(AND(L131="sks&gt;10",L130="sks&gt;10"),AND(L131="sks&gt;10",L130="sks&lt;=10")),IF('LAMPIRAN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
0.5</v>
      </c>
      <c r="G131" s="398" t="str">
        <f>IF(K131&lt;&gt;"rumus",(IF(OR(AND(L131="sks&gt;10",L130="sks&lt;=10",IFERROR(SUMPRODUCT($I$129:I130,$J$129:J130)&lt;10,FALSE)),AND(L131="sks&gt;10",L130="")),(((10-SUMPRODUCT($I$129:I130,$J$129:J130))&amp;" x "&amp;1&amp;" x "&amp;IF('LAMPIRAN I DONE'!$F$21="Tenaga Pengajar",0.5,IF(OR('LAMPIRAN I DONE'!$F$21="Asisten Ahli",'LAMPIRAN I DONE'!$F$21="Lektor",'LAMPIRAN I DONE'!$F$21="Lektor Kepala",'LAMPIRAN I DONE'!$F$21="Guru Besar"),1,""))&amp;" = "&amp;((10-SUMPRODUCT($I$129:I130,$J$129:J130))*IF('LAMPIRAN I DONE'!$F$21="Tenaga Pengajar",0.5,IF(OR('LAMPIRAN I DONE'!$F$21="Asisten Ahli",'LAMPIRAN I DONE'!$F$21="Lektor",'LAMPIRAN I DONE'!$F$21="Lektor Kepala",'LAMPIRAN I DONE'!$F$21="Guru Besar"),1,""))))&amp;"
"&amp;(((I131*J131)-(10-SUMPRODUCT($I$129:I130,$J$129:J130)))&amp;" x "&amp;1&amp;" x "&amp;IF('LAMPIRAN I DONE'!$F$21="Tenaga Pengajar",0.25,IF(OR('LAMPIRAN I DONE'!$F$21="Asisten Ahli",'LAMPIRAN I DONE'!$F$21="Lektor",'LAMPIRAN I DONE'!$F$21="Lektor Kepala",'LAMPIRAN I DONE'!$F$21="Guru Besar"),0.5,""))&amp;" = "&amp;(((I131*J131)-(10-SUMPRODUCT($I$129:I130,$J$129:J130)))*IF('LAMPIRAN I DONE'!$F$21="Tenaga Pengajar",0.25,IF(OR('LAMPIRAN I DONE'!$F$21="Asisten Ahli",'LAMPIRAN I DONE'!$F$21="Lektor",'LAMPIRAN I DONE'!$F$21="Lektor Kepala",'LAMPIRAN I DONE'!$F$21="Guru Besar"),0.5,""))))),(I131&amp;" x "&amp;J131&amp;" x "&amp;(IF(OR(AND(L131="sks&gt;10",L130="sks&gt;10"),AND(L131="sks&gt;10",L130="sks&lt;=10")),IF('LAMPIRAN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"&amp;K131))),"rumus")</f>
        <v>2 x 1 x 1 = 2
6 x 1 x 0.5 = 3</v>
      </c>
      <c r="H131" s="106" t="s">
        <v>315</v>
      </c>
      <c r="I131" s="409">
        <v>4</v>
      </c>
      <c r="J131" s="409">
        <v>2</v>
      </c>
      <c r="K131" s="401">
        <f>IF(AND(I131&lt;&gt;"",J131&lt;&gt;""),(IF(OR(AND(L131="sks&gt;10",L130="sks&lt;=10",IFERROR(SUMPRODUCT($I$129:I130,$J$129:J130)&lt;10,FALSE)),AND(L131="sks&gt;10",L130="")),(((10-SUMPRODUCT($I$129:I130,$J$129:J130))*IF('LAMPIRAN I DONE'!$F$21="Tenaga Pengajar",0.5,IF(OR('LAMPIRAN I DONE'!$F$21="Asisten Ahli",'LAMPIRAN I DONE'!$F$21="Lektor",'LAMPIRAN I DONE'!$F$21="Lektor Kepala",'LAMPIRAN I DONE'!$F$21="Guru Besar"),1,"")))+(((I131*J131)-(10-SUMPRODUCT($I$129:I130,$J$129:J130)))*IF('LAMPIRAN I DONE'!$F$21="Tenaga Pengajar",0.25,IF(OR('LAMPIRAN I DONE'!$F$21="Asisten Ahli",'LAMPIRAN I DONE'!$F$21="Lektor",'LAMPIRAN I DONE'!$F$21="Lektor Kepala",'LAMPIRAN I DONE'!$F$21="Guru Besar"),0.5,"")))),IF(OR(AND(L131="sks&gt;10",L130="sks&gt;10"),AND(L131="sks&gt;10",L130="sks&lt;=10")),I131*J131*IF('LAMPIRAN I DONE'!$F$21="Tenaga Pengajar",0.25,IF(OR('LAMPIRAN I DONE'!$F$21="Asisten Ahli",'LAMPIRAN I DONE'!$F$21="Lektor",'LAMPIRAN I DONE'!$F$21="Lektor Kepala",'LAMPIRAN I DONE'!$F$21="Guru Besar"),0.5,"")),I131*J131*IF('LAMPIRAN I DONE'!$F$21="Tenaga Pengajar",0.5,IF(OR('LAMPIRAN I DONE'!$F$21="Asisten Ahli",'LAMPIRAN I DONE'!$F$21="Lektor",'LAMPIRAN I DONE'!$F$21="Lektor Kepala",'LAMPIRAN I DONE'!$F$21="Guru Besar"),1,""))))),"rumus")</f>
        <v>5</v>
      </c>
      <c r="L131" s="401" t="str">
        <f t="shared" si="51"/>
        <v>SKS&gt;10</v>
      </c>
      <c r="M131" s="4"/>
      <c r="N131" s="4"/>
      <c r="O131" s="4"/>
      <c r="P131" s="4"/>
      <c r="Q131" s="4"/>
      <c r="R131" s="4"/>
      <c r="S131" s="4"/>
      <c r="T131" s="4"/>
      <c r="U131" s="4"/>
      <c r="V131" s="4"/>
      <c r="W131" s="4"/>
      <c r="X131" s="4"/>
      <c r="Y131" s="4"/>
      <c r="Z131" s="4"/>
    </row>
    <row r="132" spans="1:26" ht="25.5" customHeight="1" x14ac:dyDescent="0.25">
      <c r="A132" s="109">
        <v>3</v>
      </c>
      <c r="B132" s="397" t="s">
        <v>314</v>
      </c>
      <c r="C132" s="106" t="s">
        <v>312</v>
      </c>
      <c r="D132" s="106" t="str">
        <f t="shared" si="49"/>
        <v>SKS</v>
      </c>
      <c r="E132" s="398" t="str">
        <f t="shared" si="50"/>
        <v>4 x 2</v>
      </c>
      <c r="F132" s="398">
        <f>IF(K132&lt;&gt;"rumus",(IF(OR(AND(L132="sks&gt;10",L131="sks&lt;=10",IFERROR(SUMPRODUCT($I$129:I131,$J$129:J131)&lt;10,FALSE)),AND(L132="sks&gt;10",L131="")),((IF('LAMPIRAN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Besar"),0.5,"")))),((IF(OR(AND(L132="sks&gt;10",L131="sks&gt;10"),AND(L132="sks&gt;10",L131="sks&lt;=10")),IF('LAMPIRAN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0.5</v>
      </c>
      <c r="G132" s="398" t="str">
        <f>IF(K132&lt;&gt;"rumus",(IF(OR(AND(L132="sks&gt;10",L131="sks&lt;=10",IFERROR(SUMPRODUCT($I$129:I131,$J$129:J131)&lt;10,FALSE)),AND(L132="sks&gt;10",L131="")),(((10-SUMPRODUCT($I$129:I131,$J$129:J131))&amp;" x "&amp;1&amp;" x "&amp;IF('LAMPIRAN I DONE'!$F$21="Tenaga Pengajar",0.5,IF(OR('LAMPIRAN I DONE'!$F$21="Asisten Ahli",'LAMPIRAN I DONE'!$F$21="Lektor",'LAMPIRAN I DONE'!$F$21="Lektor Kepala",'LAMPIRAN I DONE'!$F$21="Guru Besar"),1,""))&amp;" = "&amp;((10-SUMPRODUCT($I$129:I131,$J$129:J131))*IF('LAMPIRAN I DONE'!$F$21="Tenaga Pengajar",0.5,IF(OR('LAMPIRAN I DONE'!$F$21="Asisten Ahli",'LAMPIRAN I DONE'!$F$21="Lektor",'LAMPIRAN I DONE'!$F$21="Lektor Kepala",'LAMPIRAN I DONE'!$F$21="Guru Besar"),1,""))))&amp;"
"&amp;(((I132*J132)-(10-SUMPRODUCT($I$129:I131,$J$129:J131)))&amp;" x "&amp;1&amp;" x "&amp;IF('LAMPIRAN I DONE'!$F$21="Tenaga Pengajar",0.25,IF(OR('LAMPIRAN I DONE'!$F$21="Asisten Ahli",'LAMPIRAN I DONE'!$F$21="Lektor",'LAMPIRAN I DONE'!$F$21="Lektor Kepala",'LAMPIRAN I DONE'!$F$21="Guru Besar"),0.5,""))&amp;" = "&amp;(((I132*J132)-(10-SUMPRODUCT($I$129:I131,$J$129:J131)))*IF('LAMPIRAN I DONE'!$F$21="Tenaga Pengajar",0.25,IF(OR('LAMPIRAN I DONE'!$F$21="Asisten Ahli",'LAMPIRAN I DONE'!$F$21="Lektor",'LAMPIRAN I DONE'!$F$21="Lektor Kepala",'LAMPIRAN I DONE'!$F$21="Guru Besar"),0.5,""))))),(I132&amp;" x "&amp;J132&amp;" x "&amp;(IF(OR(AND(L132="sks&gt;10",L131="sks&gt;10"),AND(L132="sks&gt;10",L131="sks&lt;=10")),IF('LAMPIRAN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"&amp;K132))),"rumus")</f>
        <v>4 x 2 x 0.5 = 4</v>
      </c>
      <c r="H132" s="106" t="s">
        <v>315</v>
      </c>
      <c r="I132" s="409">
        <v>4</v>
      </c>
      <c r="J132" s="409">
        <v>2</v>
      </c>
      <c r="K132" s="401">
        <f>IF(AND(I132&lt;&gt;"",J132&lt;&gt;""),(IF(OR(AND(L132="sks&gt;10",L131="sks&lt;=10",IFERROR(SUMPRODUCT($I$129:I131,$J$129:J131)&lt;10,FALSE)),AND(L132="sks&gt;10",L131="")),(((10-SUMPRODUCT($I$129:I131,$J$129:J131))*IF('LAMPIRAN I DONE'!$F$21="Tenaga Pengajar",0.5,IF(OR('LAMPIRAN I DONE'!$F$21="Asisten Ahli",'LAMPIRAN I DONE'!$F$21="Lektor",'LAMPIRAN I DONE'!$F$21="Lektor Kepala",'LAMPIRAN I DONE'!$F$21="Guru Besar"),1,"")))+(((I132*J132)-(10-SUMPRODUCT($I$129:I131,$J$129:J131)))*IF('LAMPIRAN I DONE'!$F$21="Tenaga Pengajar",0.25,IF(OR('LAMPIRAN I DONE'!$F$21="Asisten Ahli",'LAMPIRAN I DONE'!$F$21="Lektor",'LAMPIRAN I DONE'!$F$21="Lektor Kepala",'LAMPIRAN I DONE'!$F$21="Guru Besar"),0.5,"")))),IF(OR(AND(L132="sks&gt;10",L131="sks&gt;10"),AND(L132="sks&gt;10",L131="sks&lt;=10")),I132*J132*IF('LAMPIRAN I DONE'!$F$21="Tenaga Pengajar",0.25,IF(OR('LAMPIRAN I DONE'!$F$21="Asisten Ahli",'LAMPIRAN I DONE'!$F$21="Lektor",'LAMPIRAN I DONE'!$F$21="Lektor Kepala",'LAMPIRAN I DONE'!$F$21="Guru Besar"),0.5,"")),I132*J132*IF('LAMPIRAN I DONE'!$F$21="Tenaga Pengajar",0.5,IF(OR('LAMPIRAN I DONE'!$F$21="Asisten Ahli",'LAMPIRAN I DONE'!$F$21="Lektor",'LAMPIRAN I DONE'!$F$21="Lektor Kepala",'LAMPIRAN I DONE'!$F$21="Guru Besar"),1,""))))),"rumus")</f>
        <v>4</v>
      </c>
      <c r="L132" s="401" t="str">
        <f t="shared" si="51"/>
        <v>SKS&gt;10</v>
      </c>
      <c r="M132" s="4"/>
      <c r="N132" s="4"/>
      <c r="O132" s="4"/>
      <c r="P132" s="4"/>
      <c r="Q132" s="4"/>
      <c r="R132" s="4"/>
      <c r="S132" s="4"/>
      <c r="T132" s="4"/>
      <c r="U132" s="4"/>
      <c r="V132" s="4"/>
      <c r="W132" s="4"/>
      <c r="X132" s="4"/>
      <c r="Y132" s="4"/>
      <c r="Z132" s="4"/>
    </row>
    <row r="133" spans="1:26" ht="25.5" customHeight="1" x14ac:dyDescent="0.25">
      <c r="A133" s="109">
        <v>4</v>
      </c>
      <c r="B133" s="397" t="s">
        <v>314</v>
      </c>
      <c r="C133" s="106" t="s">
        <v>312</v>
      </c>
      <c r="D133" s="106" t="str">
        <f t="shared" si="49"/>
        <v>SKS</v>
      </c>
      <c r="E133" s="398" t="str">
        <f t="shared" si="50"/>
        <v>4 x 2</v>
      </c>
      <c r="F133" s="398">
        <f>IF(K133&lt;&gt;"rumus",(IF(OR(AND(L133="sks&gt;10",L132="sks&lt;=10",IFERROR(SUMPRODUCT($I$129:I132,$J$129:J132)&lt;10,FALSE)),AND(L133="sks&gt;10",L132="")),((IF('LAMPIRAN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Besar"),0.5,"")))),((IF(OR(AND(L133="sks&gt;10",L132="sks&gt;10"),AND(L133="sks&gt;10",L132="sks&lt;=10")),IF('LAMPIRAN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0.5</v>
      </c>
      <c r="G133" s="398" t="str">
        <f>IF(K133&lt;&gt;"rumus",(IF(OR(AND(L133="sks&gt;10",L132="sks&lt;=10",IFERROR(SUMPRODUCT($I$129:I132,$J$129:J132)&lt;10,FALSE)),AND(L133="sks&gt;10",L132="")),(((10-SUMPRODUCT($I$129:I132,$J$129:J132))&amp;" x "&amp;1&amp;" x "&amp;IF('LAMPIRAN I DONE'!$F$21="Tenaga Pengajar",0.5,IF(OR('LAMPIRAN I DONE'!$F$21="Asisten Ahli",'LAMPIRAN I DONE'!$F$21="Lektor",'LAMPIRAN I DONE'!$F$21="Lektor Kepala",'LAMPIRAN I DONE'!$F$21="Guru Besar"),1,""))&amp;" = "&amp;((10-SUMPRODUCT($I$129:I132,$J$129:J132))*IF('LAMPIRAN I DONE'!$F$21="Tenaga Pengajar",0.5,IF(OR('LAMPIRAN I DONE'!$F$21="Asisten Ahli",'LAMPIRAN I DONE'!$F$21="Lektor",'LAMPIRAN I DONE'!$F$21="Lektor Kepala",'LAMPIRAN I DONE'!$F$21="Guru Besar"),1,""))))&amp;"
"&amp;(((I133*J133)-(10-SUMPRODUCT($I$129:I132,$J$129:J132)))&amp;" x "&amp;1&amp;" x "&amp;IF('LAMPIRAN I DONE'!$F$21="Tenaga Pengajar",0.25,IF(OR('LAMPIRAN I DONE'!$F$21="Asisten Ahli",'LAMPIRAN I DONE'!$F$21="Lektor",'LAMPIRAN I DONE'!$F$21="Lektor Kepala",'LAMPIRAN I DONE'!$F$21="Guru Besar"),0.5,""))&amp;" = "&amp;(((I133*J133)-(10-SUMPRODUCT($I$129:I132,$J$129:J132)))*IF('LAMPIRAN I DONE'!$F$21="Tenaga Pengajar",0.25,IF(OR('LAMPIRAN I DONE'!$F$21="Asisten Ahli",'LAMPIRAN I DONE'!$F$21="Lektor",'LAMPIRAN I DONE'!$F$21="Lektor Kepala",'LAMPIRAN I DONE'!$F$21="Guru Besar"),0.5,""))))),(I133&amp;" x "&amp;J133&amp;" x "&amp;(IF(OR(AND(L133="sks&gt;10",L132="sks&gt;10"),AND(L133="sks&gt;10",L132="sks&lt;=10")),IF('LAMPIRAN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"&amp;K133))),"rumus")</f>
        <v>4 x 2 x 0.5 = 4</v>
      </c>
      <c r="H133" s="106" t="s">
        <v>315</v>
      </c>
      <c r="I133" s="409">
        <v>4</v>
      </c>
      <c r="J133" s="409">
        <v>2</v>
      </c>
      <c r="K133" s="401">
        <f>IF(AND(I133&lt;&gt;"",J133&lt;&gt;""),(IF(OR(AND(L133="sks&gt;10",L132="sks&lt;=10",IFERROR(SUMPRODUCT($I$129:I132,$J$129:J132)&lt;10,FALSE)),AND(L133="sks&gt;10",L132="")),(((10-SUMPRODUCT($I$129:I132,$J$129:J132))*IF('LAMPIRAN I DONE'!$F$21="Tenaga Pengajar",0.5,IF(OR('LAMPIRAN I DONE'!$F$21="Asisten Ahli",'LAMPIRAN I DONE'!$F$21="Lektor",'LAMPIRAN I DONE'!$F$21="Lektor Kepala",'LAMPIRAN I DONE'!$F$21="Guru Besar"),1,"")))+(((I133*J133)-(10-SUMPRODUCT($I$129:I132,$J$129:J132)))*IF('LAMPIRAN I DONE'!$F$21="Tenaga Pengajar",0.25,IF(OR('LAMPIRAN I DONE'!$F$21="Asisten Ahli",'LAMPIRAN I DONE'!$F$21="Lektor",'LAMPIRAN I DONE'!$F$21="Lektor Kepala",'LAMPIRAN I DONE'!$F$21="Guru Besar"),0.5,"")))),IF(OR(AND(L133="sks&gt;10",L132="sks&gt;10"),AND(L133="sks&gt;10",L132="sks&lt;=10")),I133*J133*IF('LAMPIRAN I DONE'!$F$21="Tenaga Pengajar",0.25,IF(OR('LAMPIRAN I DONE'!$F$21="Asisten Ahli",'LAMPIRAN I DONE'!$F$21="Lektor",'LAMPIRAN I DONE'!$F$21="Lektor Kepala",'LAMPIRAN I DONE'!$F$21="Guru Besar"),0.5,"")),I133*J133*IF('LAMPIRAN I DONE'!$F$21="Tenaga Pengajar",0.5,IF(OR('LAMPIRAN I DONE'!$F$21="Asisten Ahli",'LAMPIRAN I DONE'!$F$21="Lektor",'LAMPIRAN I DONE'!$F$21="Lektor Kepala",'LAMPIRAN I DONE'!$F$21="Guru Besar"),1,""))))),"rumus")</f>
        <v>4</v>
      </c>
      <c r="L133" s="401" t="str">
        <f t="shared" si="51"/>
        <v>SKS&gt;10</v>
      </c>
      <c r="M133" s="4"/>
      <c r="N133" s="4"/>
      <c r="O133" s="4"/>
      <c r="P133" s="4"/>
      <c r="Q133" s="4"/>
      <c r="R133" s="4"/>
      <c r="S133" s="4"/>
      <c r="T133" s="4"/>
      <c r="U133" s="4"/>
      <c r="V133" s="4"/>
      <c r="W133" s="4"/>
      <c r="X133" s="4"/>
      <c r="Y133" s="4"/>
      <c r="Z133" s="4"/>
    </row>
    <row r="134" spans="1:26" ht="25.5" customHeight="1" x14ac:dyDescent="0.25">
      <c r="A134" s="109">
        <v>5</v>
      </c>
      <c r="B134" s="397" t="s">
        <v>314</v>
      </c>
      <c r="C134" s="106" t="s">
        <v>312</v>
      </c>
      <c r="D134" s="106" t="str">
        <f t="shared" si="49"/>
        <v/>
      </c>
      <c r="E134" s="398" t="str">
        <f t="shared" si="50"/>
        <v/>
      </c>
      <c r="F134" s="398" t="str">
        <f>IF(K134&lt;&gt;"rumus",(IF(OR(AND(L134="sks&gt;10",L133="sks&lt;=10",IFERROR(SUMPRODUCT($I$129:I133,$J$129:J133)&lt;10,FALSE)),AND(L134="sks&gt;10",L133="")),((IF('LAMPIRAN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Besar"),0.5,"")))),((IF(OR(AND(L134="sks&gt;10",L133="sks&gt;10"),AND(L134="sks&gt;10",L133="sks&lt;=10")),IF('LAMPIRAN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34" s="398" t="str">
        <f>IF(K134&lt;&gt;"rumus",(IF(OR(AND(L134="sks&gt;10",L133="sks&lt;=10",IFERROR(SUMPRODUCT($I$129:I133,$J$129:J133)&lt;10,FALSE)),AND(L134="sks&gt;10",L133="")),(((10-SUMPRODUCT($I$129:I133,$J$129:J133))&amp;" x "&amp;1&amp;" x "&amp;IF('LAMPIRAN I DONE'!$F$21="Tenaga Pengajar",0.5,IF(OR('LAMPIRAN I DONE'!$F$21="Asisten Ahli",'LAMPIRAN I DONE'!$F$21="Lektor",'LAMPIRAN I DONE'!$F$21="Lektor Kepala",'LAMPIRAN I DONE'!$F$21="Guru Besar"),1,""))&amp;" = "&amp;((10-SUMPRODUCT($I$129:I133,$J$129:J133))*IF('LAMPIRAN I DONE'!$F$21="Tenaga Pengajar",0.5,IF(OR('LAMPIRAN I DONE'!$F$21="Asisten Ahli",'LAMPIRAN I DONE'!$F$21="Lektor",'LAMPIRAN I DONE'!$F$21="Lektor Kepala",'LAMPIRAN I DONE'!$F$21="Guru Besar"),1,""))))&amp;"
"&amp;(((I134*J134)-(10-SUMPRODUCT($I$129:I133,$J$129:J133)))&amp;" x "&amp;1&amp;" x "&amp;IF('LAMPIRAN I DONE'!$F$21="Tenaga Pengajar",0.25,IF(OR('LAMPIRAN I DONE'!$F$21="Asisten Ahli",'LAMPIRAN I DONE'!$F$21="Lektor",'LAMPIRAN I DONE'!$F$21="Lektor Kepala",'LAMPIRAN I DONE'!$F$21="Guru Besar"),0.5,""))&amp;" = "&amp;(((I134*J134)-(10-SUMPRODUCT($I$129:I133,$J$129:J133)))*IF('LAMPIRAN I DONE'!$F$21="Tenaga Pengajar",0.25,IF(OR('LAMPIRAN I DONE'!$F$21="Asisten Ahli",'LAMPIRAN I DONE'!$F$21="Lektor",'LAMPIRAN I DONE'!$F$21="Lektor Kepala",'LAMPIRAN I DONE'!$F$21="Guru Besar"),0.5,""))))),(I134&amp;" x "&amp;J134&amp;" x "&amp;(IF(OR(AND(L134="sks&gt;10",L133="sks&gt;10"),AND(L134="sks&gt;10",L133="sks&lt;=10")),IF('LAMPIRAN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"&amp;K134))),"rumus")</f>
        <v>rumus</v>
      </c>
      <c r="H134" s="106" t="s">
        <v>315</v>
      </c>
      <c r="I134" s="409"/>
      <c r="J134" s="409"/>
      <c r="K134" s="401" t="str">
        <f>IF(AND(I134&lt;&gt;"",J134&lt;&gt;""),(IF(OR(AND(L134="sks&gt;10",L133="sks&lt;=10",IFERROR(SUMPRODUCT($I$129:I133,$J$129:J133)&lt;10,FALSE)),AND(L134="sks&gt;10",L133="")),(((10-SUMPRODUCT($I$129:I133,$J$129:J133))*IF('LAMPIRAN I DONE'!$F$21="Tenaga Pengajar",0.5,IF(OR('LAMPIRAN I DONE'!$F$21="Asisten Ahli",'LAMPIRAN I DONE'!$F$21="Lektor",'LAMPIRAN I DONE'!$F$21="Lektor Kepala",'LAMPIRAN I DONE'!$F$21="Guru Besar"),1,"")))+(((I134*J134)-(10-SUMPRODUCT($I$129:I133,$J$129:J133)))*IF('LAMPIRAN I DONE'!$F$21="Tenaga Pengajar",0.25,IF(OR('LAMPIRAN I DONE'!$F$21="Asisten Ahli",'LAMPIRAN I DONE'!$F$21="Lektor",'LAMPIRAN I DONE'!$F$21="Lektor Kepala",'LAMPIRAN I DONE'!$F$21="Guru Besar"),0.5,"")))),IF(OR(AND(L134="sks&gt;10",L133="sks&gt;10"),AND(L134="sks&gt;10",L133="sks&lt;=10")),I134*J134*IF('LAMPIRAN I DONE'!$F$21="Tenaga Pengajar",0.25,IF(OR('LAMPIRAN I DONE'!$F$21="Asisten Ahli",'LAMPIRAN I DONE'!$F$21="Lektor",'LAMPIRAN I DONE'!$F$21="Lektor Kepala",'LAMPIRAN I DONE'!$F$21="Guru Besar"),0.5,"")),I134*J134*IF('LAMPIRAN I DONE'!$F$21="Tenaga Pengajar",0.5,IF(OR('LAMPIRAN I DONE'!$F$21="Asisten Ahli",'LAMPIRAN I DONE'!$F$21="Lektor",'LAMPIRAN I DONE'!$F$21="Lektor Kepala",'LAMPIRAN I DONE'!$F$21="Guru Besar"),1,""))))),"rumus")</f>
        <v>rumus</v>
      </c>
      <c r="L134" s="401" t="str">
        <f t="shared" si="51"/>
        <v>rumus</v>
      </c>
      <c r="M134" s="4"/>
      <c r="N134" s="4"/>
      <c r="O134" s="4"/>
      <c r="P134" s="4"/>
      <c r="Q134" s="4"/>
      <c r="R134" s="4"/>
      <c r="S134" s="4"/>
      <c r="T134" s="4"/>
      <c r="U134" s="4"/>
      <c r="V134" s="4"/>
      <c r="W134" s="4"/>
      <c r="X134" s="4"/>
      <c r="Y134" s="4"/>
      <c r="Z134" s="4"/>
    </row>
    <row r="135" spans="1:26" ht="25.5" customHeight="1" x14ac:dyDescent="0.25">
      <c r="A135" s="109">
        <v>6</v>
      </c>
      <c r="B135" s="397" t="s">
        <v>314</v>
      </c>
      <c r="C135" s="106" t="s">
        <v>312</v>
      </c>
      <c r="D135" s="106" t="str">
        <f t="shared" si="49"/>
        <v/>
      </c>
      <c r="E135" s="398" t="str">
        <f t="shared" si="50"/>
        <v/>
      </c>
      <c r="F135" s="398" t="str">
        <f>IF(K135&lt;&gt;"rumus",(IF(OR(AND(L135="sks&gt;10",L134="sks&lt;=10",IFERROR(SUMPRODUCT($I$129:I134,$J$129:J134)&lt;10,FALSE)),AND(L135="sks&gt;10",L134="")),((IF('LAMPIRAN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Besar"),0.5,"")))),((IF(OR(AND(L135="sks&gt;10",L134="sks&gt;10"),AND(L135="sks&gt;10",L134="sks&lt;=10")),IF('LAMPIRAN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35" s="398" t="str">
        <f>IF(K135&lt;&gt;"rumus",(IF(OR(AND(L135="sks&gt;10",L134="sks&lt;=10",IFERROR(SUMPRODUCT($I$129:I134,$J$129:J134)&lt;10,FALSE)),AND(L135="sks&gt;10",L134="")),(((10-SUMPRODUCT($I$129:I134,$J$129:J134))&amp;" x "&amp;1&amp;" x "&amp;IF('LAMPIRAN I DONE'!$F$21="Tenaga Pengajar",0.5,IF(OR('LAMPIRAN I DONE'!$F$21="Asisten Ahli",'LAMPIRAN I DONE'!$F$21="Lektor",'LAMPIRAN I DONE'!$F$21="Lektor Kepala",'LAMPIRAN I DONE'!$F$21="Guru Besar"),1,""))&amp;" = "&amp;((10-SUMPRODUCT($I$129:I134,$J$129:J134))*IF('LAMPIRAN I DONE'!$F$21="Tenaga Pengajar",0.5,IF(OR('LAMPIRAN I DONE'!$F$21="Asisten Ahli",'LAMPIRAN I DONE'!$F$21="Lektor",'LAMPIRAN I DONE'!$F$21="Lektor Kepala",'LAMPIRAN I DONE'!$F$21="Guru Besar"),1,""))))&amp;"
"&amp;(((I135*J135)-(10-SUMPRODUCT($I$129:I134,$J$129:J134)))&amp;" x "&amp;1&amp;" x "&amp;IF('LAMPIRAN I DONE'!$F$21="Tenaga Pengajar",0.25,IF(OR('LAMPIRAN I DONE'!$F$21="Asisten Ahli",'LAMPIRAN I DONE'!$F$21="Lektor",'LAMPIRAN I DONE'!$F$21="Lektor Kepala",'LAMPIRAN I DONE'!$F$21="Guru Besar"),0.5,""))&amp;" = "&amp;(((I135*J135)-(10-SUMPRODUCT($I$129:I134,$J$129:J134)))*IF('LAMPIRAN I DONE'!$F$21="Tenaga Pengajar",0.25,IF(OR('LAMPIRAN I DONE'!$F$21="Asisten Ahli",'LAMPIRAN I DONE'!$F$21="Lektor",'LAMPIRAN I DONE'!$F$21="Lektor Kepala",'LAMPIRAN I DONE'!$F$21="Guru Besar"),0.5,""))))),(I135&amp;" x "&amp;J135&amp;" x "&amp;(IF(OR(AND(L135="sks&gt;10",L134="sks&gt;10"),AND(L135="sks&gt;10",L134="sks&lt;=10")),IF('LAMPIRAN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"&amp;K135))),"rumus")</f>
        <v>rumus</v>
      </c>
      <c r="H135" s="106" t="s">
        <v>315</v>
      </c>
      <c r="I135" s="409"/>
      <c r="J135" s="409"/>
      <c r="K135" s="401" t="str">
        <f>IF(AND(I135&lt;&gt;"",J135&lt;&gt;""),(IF(OR(AND(L135="sks&gt;10",L134="sks&lt;=10",IFERROR(SUMPRODUCT($I$129:I134,$J$129:J134)&lt;10,FALSE)),AND(L135="sks&gt;10",L134="")),(((10-SUMPRODUCT($I$129:I134,$J$129:J134))*IF('LAMPIRAN I DONE'!$F$21="Tenaga Pengajar",0.5,IF(OR('LAMPIRAN I DONE'!$F$21="Asisten Ahli",'LAMPIRAN I DONE'!$F$21="Lektor",'LAMPIRAN I DONE'!$F$21="Lektor Kepala",'LAMPIRAN I DONE'!$F$21="Guru Besar"),1,"")))+(((I135*J135)-(10-SUMPRODUCT($I$129:I134,$J$129:J134)))*IF('LAMPIRAN I DONE'!$F$21="Tenaga Pengajar",0.25,IF(OR('LAMPIRAN I DONE'!$F$21="Asisten Ahli",'LAMPIRAN I DONE'!$F$21="Lektor",'LAMPIRAN I DONE'!$F$21="Lektor Kepala",'LAMPIRAN I DONE'!$F$21="Guru Besar"),0.5,"")))),IF(OR(AND(L135="sks&gt;10",L134="sks&gt;10"),AND(L135="sks&gt;10",L134="sks&lt;=10")),I135*J135*IF('LAMPIRAN I DONE'!$F$21="Tenaga Pengajar",0.25,IF(OR('LAMPIRAN I DONE'!$F$21="Asisten Ahli",'LAMPIRAN I DONE'!$F$21="Lektor",'LAMPIRAN I DONE'!$F$21="Lektor Kepala",'LAMPIRAN I DONE'!$F$21="Guru Besar"),0.5,"")),I135*J135*IF('LAMPIRAN I DONE'!$F$21="Tenaga Pengajar",0.5,IF(OR('LAMPIRAN I DONE'!$F$21="Asisten Ahli",'LAMPIRAN I DONE'!$F$21="Lektor",'LAMPIRAN I DONE'!$F$21="Lektor Kepala",'LAMPIRAN I DONE'!$F$21="Guru Besar"),1,""))))),"rumus")</f>
        <v>rumus</v>
      </c>
      <c r="L135" s="401" t="str">
        <f t="shared" si="51"/>
        <v>rumus</v>
      </c>
      <c r="M135" s="4"/>
      <c r="N135" s="4"/>
      <c r="O135" s="4"/>
      <c r="P135" s="4"/>
      <c r="Q135" s="4"/>
      <c r="R135" s="4"/>
      <c r="S135" s="4"/>
      <c r="T135" s="4"/>
      <c r="U135" s="4"/>
      <c r="V135" s="4"/>
      <c r="W135" s="4"/>
      <c r="X135" s="4"/>
      <c r="Y135" s="4"/>
      <c r="Z135" s="4"/>
    </row>
    <row r="136" spans="1:26" ht="15" customHeight="1" x14ac:dyDescent="0.25">
      <c r="A136" s="109"/>
      <c r="B136" s="406" t="str">
        <f>"b. Semester Genap "&amp;IF(C137&lt;&gt;"",C137,"")&amp;" :"</f>
        <v>b. Semester Genap 2013/2014 :</v>
      </c>
      <c r="C136" s="410"/>
      <c r="D136" s="410"/>
      <c r="E136" s="410"/>
      <c r="F136" s="410"/>
      <c r="G136" s="410"/>
      <c r="H136" s="411"/>
      <c r="I136" s="110"/>
      <c r="J136" s="110"/>
      <c r="K136" s="112"/>
      <c r="L136" s="112"/>
      <c r="M136" s="111">
        <f>IF((AND(N136="Max 5,5",SUM(K130:K135)&lt;=5.5)),SUM(K130:K135),IF((AND(N136="Max 5,5",SUM(K130:K135)&gt;5.5)),5.5,IF((AND(N136="Max 11",SUM(K130:K135)&lt;=11)),SUM(K130:K135),IF((AND(N136="Max 11",SUM(K130:K135)&gt;11)),11,""))))</f>
        <v>11</v>
      </c>
      <c r="N136" s="103" t="str">
        <f>IF('LAMPIRAN I DONE'!$F$21="Tenaga Pengajar","Max 5,5",IF(OR('LAMPIRAN I DONE'!$F$21="Asisten Ahli",'LAMPIRAN I DONE'!$F$21="Lektor",'LAMPIRAN I DONE'!$F$21="Lektor Kepala",'LAMPIRAN I DONE'!$F$21="Guru Besar"),"Max 11",""))</f>
        <v>Max 11</v>
      </c>
      <c r="O136" s="4"/>
      <c r="P136" s="4"/>
      <c r="Q136" s="4"/>
      <c r="R136" s="4"/>
      <c r="S136" s="4"/>
      <c r="T136" s="4"/>
      <c r="U136" s="4"/>
      <c r="V136" s="4"/>
      <c r="W136" s="4"/>
      <c r="X136" s="4"/>
      <c r="Y136" s="4"/>
      <c r="Z136" s="4"/>
    </row>
    <row r="137" spans="1:26" ht="25.5" customHeight="1" x14ac:dyDescent="0.25">
      <c r="A137" s="109">
        <v>1</v>
      </c>
      <c r="B137" s="570" t="s">
        <v>357</v>
      </c>
      <c r="C137" s="106" t="s">
        <v>317</v>
      </c>
      <c r="D137" s="106" t="str">
        <f t="shared" ref="D137:D142" si="52">IF(G137&lt;&gt;"rumus","SKS","")</f>
        <v>SKS</v>
      </c>
      <c r="E137" s="398" t="str">
        <f t="shared" ref="E137:E142" si="53">IF(K137&lt;&gt;"rumus",(IF(OR(AND(L137="sks&gt;10",L136="sks&lt;=10",IFERROR(SUMPRODUCT($I$136:I136,$J$136:J136)&lt;10,FALSE)),AND(L137="sks&gt;10",L136="")),(((10-SUMPRODUCT($I$136:I136,$J$136:J136))&amp;" x "&amp;1)&amp;"
"&amp;(((I137*J137)-(10-SUMPRODUCT($I$136:I136,$J$136:J136)))&amp;" x "&amp;1)),(I137&amp;" x "&amp;J137))),"")</f>
        <v>4 x 2</v>
      </c>
      <c r="F137" s="398">
        <f>IF(K137&lt;&gt;"rumus",(IF(OR(AND(L137="sks&gt;10",L136="sks&lt;=10",IFERROR(SUMPRODUCT($I$136:I136,$J$136:J136)&lt;10,FALSE)),AND(L137="sks&gt;10",L136="")),((IF('LAMPIRAN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Besar"),0.5,"")))),((IF(OR(AND(L137="sks&gt;10",L136="sks&gt;10"),AND(L137="sks&gt;10",L136="sks&lt;=10")),IF('LAMPIRAN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37" s="398" t="str">
        <f>IF(K137&lt;&gt;"rumus",(IF(OR(AND(L137="sks&gt;10",L136="sks&lt;=10",IFERROR(SUMPRODUCT($I$136:I136,$J$136:J136)&lt;10,FALSE)),AND(L137="sks&gt;10",L136="")),(((10-SUMPRODUCT($I$136:I136,$J$136:J136))&amp;" x "&amp;1&amp;" x "&amp;IF('LAMPIRAN I DONE'!$F$21="Tenaga Pengajar",0.5,IF(OR('LAMPIRAN I DONE'!$F$21="Asisten Ahli",'LAMPIRAN I DONE'!$F$21="Lektor",'LAMPIRAN I DONE'!$F$21="Lektor Kepala",'LAMPIRAN I DONE'!$F$21="Guru Besar"),1,""))&amp;" = "&amp;((10-SUMPRODUCT($I$136:I136,$J$136:J136))*IF('LAMPIRAN I DONE'!$F$21="Tenaga Pengajar",0.5,IF(OR('LAMPIRAN I DONE'!$F$21="Asisten Ahli",'LAMPIRAN I DONE'!$F$21="Lektor",'LAMPIRAN I DONE'!$F$21="Lektor Kepala",'LAMPIRAN I DONE'!$F$21="Guru Besar"),1,""))))&amp;"
"&amp;(((I137*J137)-(10-SUMPRODUCT($I$136:I136,$J$136:J136)))&amp;" x "&amp;1&amp;" x "&amp;IF('LAMPIRAN I DONE'!$F$21="Tenaga Pengajar",0.25,IF(OR('LAMPIRAN I DONE'!$F$21="Asisten Ahli",'LAMPIRAN I DONE'!$F$21="Lektor",'LAMPIRAN I DONE'!$F$21="Lektor Kepala",'LAMPIRAN I DONE'!$F$21="Guru Besar"),0.5,""))&amp;" = "&amp;(((I137*J137)-(10-SUMPRODUCT($I$136:I136,$J$136:J136)))*IF('LAMPIRAN I DONE'!$F$21="Tenaga Pengajar",0.25,IF(OR('LAMPIRAN I DONE'!$F$21="Asisten Ahli",'LAMPIRAN I DONE'!$F$21="Lektor",'LAMPIRAN I DONE'!$F$21="Lektor Kepala",'LAMPIRAN I DONE'!$F$21="Guru Besar"),0.5,""))))),(I137&amp;" x "&amp;J137&amp;" x "&amp;(IF(OR(AND(L137="sks&gt;10",L136="sks&gt;10"),AND(L137="sks&gt;10",L136="sks&lt;=10")),IF('LAMPIRAN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"&amp;K137))),"rumus")</f>
        <v>4 x 2 x 1 = 8</v>
      </c>
      <c r="H137" s="106" t="s">
        <v>359</v>
      </c>
      <c r="I137" s="409">
        <v>4</v>
      </c>
      <c r="J137" s="409">
        <v>2</v>
      </c>
      <c r="K137" s="401">
        <f>IF(AND(I137&lt;&gt;"",J137&lt;&gt;""),(IF(OR(AND(L137="sks&gt;10",L136="sks&lt;=10",IFERROR(SUMPRODUCT($I$136:I136,$J$136:J136)&lt;10,FALSE)),AND(L137="sks&gt;10",L136="")),(((10-SUMPRODUCT($I$136:I136,$J$136:J136))*IF('LAMPIRAN I DONE'!$F$21="Tenaga Pengajar",0.5,IF(OR('LAMPIRAN I DONE'!$F$21="Asisten Ahli",'LAMPIRAN I DONE'!$F$21="Lektor",'LAMPIRAN I DONE'!$F$21="Lektor Kepala",'LAMPIRAN I DONE'!$F$21="Guru Besar"),1,"")))+(((I137*J137)-(10-SUMPRODUCT($I$136:I136,$J$136:J136)))*IF('LAMPIRAN I DONE'!$F$21="Tenaga Pengajar",0.25,IF(OR('LAMPIRAN I DONE'!$F$21="Asisten Ahli",'LAMPIRAN I DONE'!$F$21="Lektor",'LAMPIRAN I DONE'!$F$21="Lektor Kepala",'LAMPIRAN I DONE'!$F$21="Guru Besar"),0.5,"")))),IF(OR(AND(L137="sks&gt;10",L136="sks&gt;10"),AND(L137="sks&gt;10",L136="sks&lt;=10")),I137*J137*IF('LAMPIRAN I DONE'!$F$21="Tenaga Pengajar",0.25,IF(OR('LAMPIRAN I DONE'!$F$21="Asisten Ahli",'LAMPIRAN I DONE'!$F$21="Lektor",'LAMPIRAN I DONE'!$F$21="Lektor Kepala",'LAMPIRAN I DONE'!$F$21="Guru Besar"),0.5,"")),I137*J137*IF('LAMPIRAN I DONE'!$F$21="Tenaga Pengajar",0.5,IF(OR('LAMPIRAN I DONE'!$F$21="Asisten Ahli",'LAMPIRAN I DONE'!$F$21="Lektor",'LAMPIRAN I DONE'!$F$21="Lektor Kepala",'LAMPIRAN I DONE'!$F$21="Guru Besar"),1,""))))),"rumus")</f>
        <v>8</v>
      </c>
      <c r="L137" s="401" t="str">
        <f t="shared" ref="L137:L142" si="54">IF(AND(I137&lt;&gt;"",J137&lt;&gt;""),(IF(SUMPRODUCT($I$137:I137,$J$137:J137)&lt;=10,"SKS&lt;=10",IF(SUMPRODUCT($I$137:I137,$J$137:J137)&gt;10,"SKS&gt;10",""))),"rumus")</f>
        <v>SKS&lt;=10</v>
      </c>
      <c r="M137" s="4"/>
      <c r="N137" s="4"/>
      <c r="O137" s="4"/>
      <c r="P137" s="4"/>
      <c r="Q137" s="4"/>
      <c r="R137" s="4"/>
      <c r="S137" s="4"/>
      <c r="T137" s="4"/>
      <c r="U137" s="4"/>
      <c r="V137" s="4"/>
      <c r="W137" s="4"/>
      <c r="X137" s="4"/>
      <c r="Y137" s="4"/>
      <c r="Z137" s="4"/>
    </row>
    <row r="138" spans="1:26" ht="25.5" customHeight="1" x14ac:dyDescent="0.25">
      <c r="A138" s="109">
        <v>2</v>
      </c>
      <c r="B138" s="397" t="s">
        <v>314</v>
      </c>
      <c r="C138" s="106" t="s">
        <v>317</v>
      </c>
      <c r="D138" s="106" t="str">
        <f t="shared" si="52"/>
        <v/>
      </c>
      <c r="E138" s="398" t="str">
        <f t="shared" si="53"/>
        <v/>
      </c>
      <c r="F138" s="398" t="str">
        <f>IF(K138&lt;&gt;"rumus",(IF(OR(AND(L138="sks&gt;10",L137="sks&lt;=10",IFERROR(SUMPRODUCT($I$136:I137,$J$136:J137)&lt;10,FALSE)),AND(L138="sks&gt;10",L137="")),((IF('LAMPIRAN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Besar"),0.5,"")))),((IF(OR(AND(L138="sks&gt;10",L137="sks&gt;10"),AND(L138="sks&gt;10",L137="sks&lt;=10")),IF('LAMPIRAN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38" s="398" t="str">
        <f>IF(K138&lt;&gt;"rumus",(IF(OR(AND(L138="sks&gt;10",L137="sks&lt;=10",IFERROR(SUMPRODUCT($I$136:I137,$J$136:J137)&lt;10,FALSE)),AND(L138="sks&gt;10",L137="")),(((10-SUMPRODUCT($I$136:I137,$J$136:J137))&amp;" x "&amp;1&amp;" x "&amp;IF('LAMPIRAN I DONE'!$F$21="Tenaga Pengajar",0.5,IF(OR('LAMPIRAN I DONE'!$F$21="Asisten Ahli",'LAMPIRAN I DONE'!$F$21="Lektor",'LAMPIRAN I DONE'!$F$21="Lektor Kepala",'LAMPIRAN I DONE'!$F$21="Guru Besar"),1,""))&amp;" = "&amp;((10-SUMPRODUCT($I$136:I137,$J$136:J137))*IF('LAMPIRAN I DONE'!$F$21="Tenaga Pengajar",0.5,IF(OR('LAMPIRAN I DONE'!$F$21="Asisten Ahli",'LAMPIRAN I DONE'!$F$21="Lektor",'LAMPIRAN I DONE'!$F$21="Lektor Kepala",'LAMPIRAN I DONE'!$F$21="Guru Besar"),1,""))))&amp;"
"&amp;(((I138*J138)-(10-SUMPRODUCT($I$136:I137,$J$136:J137)))&amp;" x "&amp;1&amp;" x "&amp;IF('LAMPIRAN I DONE'!$F$21="Tenaga Pengajar",0.25,IF(OR('LAMPIRAN I DONE'!$F$21="Asisten Ahli",'LAMPIRAN I DONE'!$F$21="Lektor",'LAMPIRAN I DONE'!$F$21="Lektor Kepala",'LAMPIRAN I DONE'!$F$21="Guru Besar"),0.5,""))&amp;" = "&amp;(((I138*J138)-(10-SUMPRODUCT($I$136:I137,$J$136:J137)))*IF('LAMPIRAN I DONE'!$F$21="Tenaga Pengajar",0.25,IF(OR('LAMPIRAN I DONE'!$F$21="Asisten Ahli",'LAMPIRAN I DONE'!$F$21="Lektor",'LAMPIRAN I DONE'!$F$21="Lektor Kepala",'LAMPIRAN I DONE'!$F$21="Guru Besar"),0.5,""))))),(I138&amp;" x "&amp;J138&amp;" x "&amp;(IF(OR(AND(L138="sks&gt;10",L137="sks&gt;10"),AND(L138="sks&gt;10",L137="sks&lt;=10")),IF('LAMPIRAN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"&amp;K138))),"rumus")</f>
        <v>rumus</v>
      </c>
      <c r="H138" s="106" t="s">
        <v>315</v>
      </c>
      <c r="I138" s="409"/>
      <c r="J138" s="409"/>
      <c r="K138" s="401" t="str">
        <f>IF(AND(I138&lt;&gt;"",J138&lt;&gt;""),(IF(OR(AND(L138="sks&gt;10",L137="sks&lt;=10",IFERROR(SUMPRODUCT($I$136:I137,$J$136:J137)&lt;10,FALSE)),AND(L138="sks&gt;10",L137="")),(((10-SUMPRODUCT($I$136:I137,$J$136:J137))*IF('LAMPIRAN I DONE'!$F$21="Tenaga Pengajar",0.5,IF(OR('LAMPIRAN I DONE'!$F$21="Asisten Ahli",'LAMPIRAN I DONE'!$F$21="Lektor",'LAMPIRAN I DONE'!$F$21="Lektor Kepala",'LAMPIRAN I DONE'!$F$21="Guru Besar"),1,"")))+(((I138*J138)-(10-SUMPRODUCT($I$136:I137,$J$136:J137)))*IF('LAMPIRAN I DONE'!$F$21="Tenaga Pengajar",0.25,IF(OR('LAMPIRAN I DONE'!$F$21="Asisten Ahli",'LAMPIRAN I DONE'!$F$21="Lektor",'LAMPIRAN I DONE'!$F$21="Lektor Kepala",'LAMPIRAN I DONE'!$F$21="Guru Besar"),0.5,"")))),IF(OR(AND(L138="sks&gt;10",L137="sks&gt;10"),AND(L138="sks&gt;10",L137="sks&lt;=10")),I138*J138*IF('LAMPIRAN I DONE'!$F$21="Tenaga Pengajar",0.25,IF(OR('LAMPIRAN I DONE'!$F$21="Asisten Ahli",'LAMPIRAN I DONE'!$F$21="Lektor",'LAMPIRAN I DONE'!$F$21="Lektor Kepala",'LAMPIRAN I DONE'!$F$21="Guru Besar"),0.5,"")),I138*J138*IF('LAMPIRAN I DONE'!$F$21="Tenaga Pengajar",0.5,IF(OR('LAMPIRAN I DONE'!$F$21="Asisten Ahli",'LAMPIRAN I DONE'!$F$21="Lektor",'LAMPIRAN I DONE'!$F$21="Lektor Kepala",'LAMPIRAN I DONE'!$F$21="Guru Besar"),1,""))))),"rumus")</f>
        <v>rumus</v>
      </c>
      <c r="L138" s="401" t="str">
        <f t="shared" si="54"/>
        <v>rumus</v>
      </c>
      <c r="M138" s="4"/>
      <c r="N138" s="4"/>
      <c r="O138" s="4"/>
      <c r="P138" s="4"/>
      <c r="Q138" s="4"/>
      <c r="R138" s="4"/>
      <c r="S138" s="4"/>
      <c r="T138" s="4"/>
      <c r="U138" s="4"/>
      <c r="V138" s="4"/>
      <c r="W138" s="4"/>
      <c r="X138" s="4"/>
      <c r="Y138" s="4"/>
      <c r="Z138" s="4"/>
    </row>
    <row r="139" spans="1:26" ht="25.5" customHeight="1" x14ac:dyDescent="0.25">
      <c r="A139" s="109">
        <v>3</v>
      </c>
      <c r="B139" s="397" t="s">
        <v>314</v>
      </c>
      <c r="C139" s="106" t="s">
        <v>317</v>
      </c>
      <c r="D139" s="106" t="str">
        <f t="shared" si="52"/>
        <v/>
      </c>
      <c r="E139" s="398" t="str">
        <f t="shared" si="53"/>
        <v/>
      </c>
      <c r="F139" s="398" t="str">
        <f>IF(K139&lt;&gt;"rumus",(IF(OR(AND(L139="sks&gt;10",L138="sks&lt;=10",IFERROR(SUMPRODUCT($I$136:I138,$J$136:J138)&lt;10,FALSE)),AND(L139="sks&gt;10",L138="")),((IF('LAMPIRAN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Besar"),0.5,"")))),((IF(OR(AND(L139="sks&gt;10",L138="sks&gt;10"),AND(L139="sks&gt;10",L138="sks&lt;=10")),IF('LAMPIRAN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39" s="398" t="str">
        <f>IF(K139&lt;&gt;"rumus",(IF(OR(AND(L139="sks&gt;10",L138="sks&lt;=10",IFERROR(SUMPRODUCT($I$136:I138,$J$136:J138)&lt;10,FALSE)),AND(L139="sks&gt;10",L138="")),(((10-SUMPRODUCT($I$136:I138,$J$136:J138))&amp;" x "&amp;1&amp;" x "&amp;IF('LAMPIRAN I DONE'!$F$21="Tenaga Pengajar",0.5,IF(OR('LAMPIRAN I DONE'!$F$21="Asisten Ahli",'LAMPIRAN I DONE'!$F$21="Lektor",'LAMPIRAN I DONE'!$F$21="Lektor Kepala",'LAMPIRAN I DONE'!$F$21="Guru Besar"),1,""))&amp;" = "&amp;((10-SUMPRODUCT($I$136:I138,$J$136:J138))*IF('LAMPIRAN I DONE'!$F$21="Tenaga Pengajar",0.5,IF(OR('LAMPIRAN I DONE'!$F$21="Asisten Ahli",'LAMPIRAN I DONE'!$F$21="Lektor",'LAMPIRAN I DONE'!$F$21="Lektor Kepala",'LAMPIRAN I DONE'!$F$21="Guru Besar"),1,""))))&amp;"
"&amp;(((I139*J139)-(10-SUMPRODUCT($I$136:I138,$J$136:J138)))&amp;" x "&amp;1&amp;" x "&amp;IF('LAMPIRAN I DONE'!$F$21="Tenaga Pengajar",0.25,IF(OR('LAMPIRAN I DONE'!$F$21="Asisten Ahli",'LAMPIRAN I DONE'!$F$21="Lektor",'LAMPIRAN I DONE'!$F$21="Lektor Kepala",'LAMPIRAN I DONE'!$F$21="Guru Besar"),0.5,""))&amp;" = "&amp;(((I139*J139)-(10-SUMPRODUCT($I$136:I138,$J$136:J138)))*IF('LAMPIRAN I DONE'!$F$21="Tenaga Pengajar",0.25,IF(OR('LAMPIRAN I DONE'!$F$21="Asisten Ahli",'LAMPIRAN I DONE'!$F$21="Lektor",'LAMPIRAN I DONE'!$F$21="Lektor Kepala",'LAMPIRAN I DONE'!$F$21="Guru Besar"),0.5,""))))),(I139&amp;" x "&amp;J139&amp;" x "&amp;(IF(OR(AND(L139="sks&gt;10",L138="sks&gt;10"),AND(L139="sks&gt;10",L138="sks&lt;=10")),IF('LAMPIRAN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"&amp;K139))),"rumus")</f>
        <v>rumus</v>
      </c>
      <c r="H139" s="106" t="s">
        <v>315</v>
      </c>
      <c r="I139" s="409"/>
      <c r="J139" s="409"/>
      <c r="K139" s="401" t="str">
        <f>IF(AND(I139&lt;&gt;"",J139&lt;&gt;""),(IF(OR(AND(L139="sks&gt;10",L138="sks&lt;=10",IFERROR(SUMPRODUCT($I$136:I138,$J$136:J138)&lt;10,FALSE)),AND(L139="sks&gt;10",L138="")),(((10-SUMPRODUCT($I$136:I138,$J$136:J138))*IF('LAMPIRAN I DONE'!$F$21="Tenaga Pengajar",0.5,IF(OR('LAMPIRAN I DONE'!$F$21="Asisten Ahli",'LAMPIRAN I DONE'!$F$21="Lektor",'LAMPIRAN I DONE'!$F$21="Lektor Kepala",'LAMPIRAN I DONE'!$F$21="Guru Besar"),1,"")))+(((I139*J139)-(10-SUMPRODUCT($I$136:I138,$J$136:J138)))*IF('LAMPIRAN I DONE'!$F$21="Tenaga Pengajar",0.25,IF(OR('LAMPIRAN I DONE'!$F$21="Asisten Ahli",'LAMPIRAN I DONE'!$F$21="Lektor",'LAMPIRAN I DONE'!$F$21="Lektor Kepala",'LAMPIRAN I DONE'!$F$21="Guru Besar"),0.5,"")))),IF(OR(AND(L139="sks&gt;10",L138="sks&gt;10"),AND(L139="sks&gt;10",L138="sks&lt;=10")),I139*J139*IF('LAMPIRAN I DONE'!$F$21="Tenaga Pengajar",0.25,IF(OR('LAMPIRAN I DONE'!$F$21="Asisten Ahli",'LAMPIRAN I DONE'!$F$21="Lektor",'LAMPIRAN I DONE'!$F$21="Lektor Kepala",'LAMPIRAN I DONE'!$F$21="Guru Besar"),0.5,"")),I139*J139*IF('LAMPIRAN I DONE'!$F$21="Tenaga Pengajar",0.5,IF(OR('LAMPIRAN I DONE'!$F$21="Asisten Ahli",'LAMPIRAN I DONE'!$F$21="Lektor",'LAMPIRAN I DONE'!$F$21="Lektor Kepala",'LAMPIRAN I DONE'!$F$21="Guru Besar"),1,""))))),"rumus")</f>
        <v>rumus</v>
      </c>
      <c r="L139" s="401" t="str">
        <f t="shared" si="54"/>
        <v>rumus</v>
      </c>
      <c r="M139" s="4"/>
      <c r="N139" s="4"/>
      <c r="O139" s="4"/>
      <c r="P139" s="4"/>
      <c r="Q139" s="4"/>
      <c r="R139" s="4"/>
      <c r="S139" s="4"/>
      <c r="T139" s="4"/>
      <c r="U139" s="4"/>
      <c r="V139" s="4"/>
      <c r="W139" s="4"/>
      <c r="X139" s="4"/>
      <c r="Y139" s="4"/>
      <c r="Z139" s="4"/>
    </row>
    <row r="140" spans="1:26" ht="25.5" customHeight="1" x14ac:dyDescent="0.25">
      <c r="A140" s="109">
        <v>4</v>
      </c>
      <c r="B140" s="397" t="s">
        <v>314</v>
      </c>
      <c r="C140" s="106" t="s">
        <v>317</v>
      </c>
      <c r="D140" s="106" t="str">
        <f t="shared" si="52"/>
        <v/>
      </c>
      <c r="E140" s="398" t="str">
        <f t="shared" si="53"/>
        <v/>
      </c>
      <c r="F140" s="398" t="str">
        <f>IF(K140&lt;&gt;"rumus",(IF(OR(AND(L140="sks&gt;10",L139="sks&lt;=10",IFERROR(SUMPRODUCT($I$136:I139,$J$136:J139)&lt;10,FALSE)),AND(L140="sks&gt;10",L139="")),((IF('LAMPIRAN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Besar"),0.5,"")))),((IF(OR(AND(L140="sks&gt;10",L139="sks&gt;10"),AND(L140="sks&gt;10",L139="sks&lt;=10")),IF('LAMPIRAN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0" s="398" t="str">
        <f>IF(K140&lt;&gt;"rumus",(IF(OR(AND(L140="sks&gt;10",L139="sks&lt;=10",IFERROR(SUMPRODUCT($I$136:I139,$J$136:J139)&lt;10,FALSE)),AND(L140="sks&gt;10",L139="")),(((10-SUMPRODUCT($I$136:I139,$J$136:J139))&amp;" x "&amp;1&amp;" x "&amp;IF('LAMPIRAN I DONE'!$F$21="Tenaga Pengajar",0.5,IF(OR('LAMPIRAN I DONE'!$F$21="Asisten Ahli",'LAMPIRAN I DONE'!$F$21="Lektor",'LAMPIRAN I DONE'!$F$21="Lektor Kepala",'LAMPIRAN I DONE'!$F$21="Guru Besar"),1,""))&amp;" = "&amp;((10-SUMPRODUCT($I$136:I139,$J$136:J139))*IF('LAMPIRAN I DONE'!$F$21="Tenaga Pengajar",0.5,IF(OR('LAMPIRAN I DONE'!$F$21="Asisten Ahli",'LAMPIRAN I DONE'!$F$21="Lektor",'LAMPIRAN I DONE'!$F$21="Lektor Kepala",'LAMPIRAN I DONE'!$F$21="Guru Besar"),1,""))))&amp;"
"&amp;(((I140*J140)-(10-SUMPRODUCT($I$136:I139,$J$136:J139)))&amp;" x "&amp;1&amp;" x "&amp;IF('LAMPIRAN I DONE'!$F$21="Tenaga Pengajar",0.25,IF(OR('LAMPIRAN I DONE'!$F$21="Asisten Ahli",'LAMPIRAN I DONE'!$F$21="Lektor",'LAMPIRAN I DONE'!$F$21="Lektor Kepala",'LAMPIRAN I DONE'!$F$21="Guru Besar"),0.5,""))&amp;" = "&amp;(((I140*J140)-(10-SUMPRODUCT($I$136:I139,$J$136:J139)))*IF('LAMPIRAN I DONE'!$F$21="Tenaga Pengajar",0.25,IF(OR('LAMPIRAN I DONE'!$F$21="Asisten Ahli",'LAMPIRAN I DONE'!$F$21="Lektor",'LAMPIRAN I DONE'!$F$21="Lektor Kepala",'LAMPIRAN I DONE'!$F$21="Guru Besar"),0.5,""))))),(I140&amp;" x "&amp;J140&amp;" x "&amp;(IF(OR(AND(L140="sks&gt;10",L139="sks&gt;10"),AND(L140="sks&gt;10",L139="sks&lt;=10")),IF('LAMPIRAN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"&amp;K140))),"rumus")</f>
        <v>rumus</v>
      </c>
      <c r="H140" s="106" t="s">
        <v>315</v>
      </c>
      <c r="I140" s="409"/>
      <c r="J140" s="409"/>
      <c r="K140" s="401" t="str">
        <f>IF(AND(I140&lt;&gt;"",J140&lt;&gt;""),(IF(OR(AND(L140="sks&gt;10",L139="sks&lt;=10",IFERROR(SUMPRODUCT($I$136:I139,$J$136:J139)&lt;10,FALSE)),AND(L140="sks&gt;10",L139="")),(((10-SUMPRODUCT($I$136:I139,$J$136:J139))*IF('LAMPIRAN I DONE'!$F$21="Tenaga Pengajar",0.5,IF(OR('LAMPIRAN I DONE'!$F$21="Asisten Ahli",'LAMPIRAN I DONE'!$F$21="Lektor",'LAMPIRAN I DONE'!$F$21="Lektor Kepala",'LAMPIRAN I DONE'!$F$21="Guru Besar"),1,"")))+(((I140*J140)-(10-SUMPRODUCT($I$136:I139,$J$136:J139)))*IF('LAMPIRAN I DONE'!$F$21="Tenaga Pengajar",0.25,IF(OR('LAMPIRAN I DONE'!$F$21="Asisten Ahli",'LAMPIRAN I DONE'!$F$21="Lektor",'LAMPIRAN I DONE'!$F$21="Lektor Kepala",'LAMPIRAN I DONE'!$F$21="Guru Besar"),0.5,"")))),IF(OR(AND(L140="sks&gt;10",L139="sks&gt;10"),AND(L140="sks&gt;10",L139="sks&lt;=10")),I140*J140*IF('LAMPIRAN I DONE'!$F$21="Tenaga Pengajar",0.25,IF(OR('LAMPIRAN I DONE'!$F$21="Asisten Ahli",'LAMPIRAN I DONE'!$F$21="Lektor",'LAMPIRAN I DONE'!$F$21="Lektor Kepala",'LAMPIRAN I DONE'!$F$21="Guru Besar"),0.5,"")),I140*J140*IF('LAMPIRAN I DONE'!$F$21="Tenaga Pengajar",0.5,IF(OR('LAMPIRAN I DONE'!$F$21="Asisten Ahli",'LAMPIRAN I DONE'!$F$21="Lektor",'LAMPIRAN I DONE'!$F$21="Lektor Kepala",'LAMPIRAN I DONE'!$F$21="Guru Besar"),1,""))))),"rumus")</f>
        <v>rumus</v>
      </c>
      <c r="L140" s="401" t="str">
        <f t="shared" si="54"/>
        <v>rumus</v>
      </c>
      <c r="M140" s="4"/>
      <c r="N140" s="4"/>
      <c r="O140" s="4"/>
      <c r="P140" s="4"/>
      <c r="Q140" s="4"/>
      <c r="R140" s="4"/>
      <c r="S140" s="4"/>
      <c r="T140" s="4"/>
      <c r="U140" s="4"/>
      <c r="V140" s="4"/>
      <c r="W140" s="4"/>
      <c r="X140" s="4"/>
      <c r="Y140" s="4"/>
      <c r="Z140" s="4"/>
    </row>
    <row r="141" spans="1:26" ht="25.5" customHeight="1" x14ac:dyDescent="0.25">
      <c r="A141" s="109">
        <v>5</v>
      </c>
      <c r="B141" s="397" t="s">
        <v>314</v>
      </c>
      <c r="C141" s="106" t="s">
        <v>317</v>
      </c>
      <c r="D141" s="106" t="str">
        <f t="shared" si="52"/>
        <v/>
      </c>
      <c r="E141" s="398" t="str">
        <f t="shared" si="53"/>
        <v/>
      </c>
      <c r="F141" s="398" t="str">
        <f>IF(K141&lt;&gt;"rumus",(IF(OR(AND(L141="sks&gt;10",L140="sks&lt;=10",IFERROR(SUMPRODUCT($I$136:I140,$J$136:J140)&lt;10,FALSE)),AND(L141="sks&gt;10",L140="")),((IF('LAMPIRAN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Besar"),0.5,"")))),((IF(OR(AND(L141="sks&gt;10",L140="sks&gt;10"),AND(L141="sks&gt;10",L140="sks&lt;=10")),IF('LAMPIRAN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1" s="398" t="str">
        <f>IF(K141&lt;&gt;"rumus",(IF(OR(AND(L141="sks&gt;10",L140="sks&lt;=10",IFERROR(SUMPRODUCT($I$136:I140,$J$136:J140)&lt;10,FALSE)),AND(L141="sks&gt;10",L140="")),(((10-SUMPRODUCT($I$136:I140,$J$136:J140))&amp;" x "&amp;1&amp;" x "&amp;IF('LAMPIRAN I DONE'!$F$21="Tenaga Pengajar",0.5,IF(OR('LAMPIRAN I DONE'!$F$21="Asisten Ahli",'LAMPIRAN I DONE'!$F$21="Lektor",'LAMPIRAN I DONE'!$F$21="Lektor Kepala",'LAMPIRAN I DONE'!$F$21="Guru Besar"),1,""))&amp;" = "&amp;((10-SUMPRODUCT($I$136:I140,$J$136:J140))*IF('LAMPIRAN I DONE'!$F$21="Tenaga Pengajar",0.5,IF(OR('LAMPIRAN I DONE'!$F$21="Asisten Ahli",'LAMPIRAN I DONE'!$F$21="Lektor",'LAMPIRAN I DONE'!$F$21="Lektor Kepala",'LAMPIRAN I DONE'!$F$21="Guru Besar"),1,""))))&amp;"
"&amp;(((I141*J141)-(10-SUMPRODUCT($I$136:I140,$J$136:J140)))&amp;" x "&amp;1&amp;" x "&amp;IF('LAMPIRAN I DONE'!$F$21="Tenaga Pengajar",0.25,IF(OR('LAMPIRAN I DONE'!$F$21="Asisten Ahli",'LAMPIRAN I DONE'!$F$21="Lektor",'LAMPIRAN I DONE'!$F$21="Lektor Kepala",'LAMPIRAN I DONE'!$F$21="Guru Besar"),0.5,""))&amp;" = "&amp;(((I141*J141)-(10-SUMPRODUCT($I$136:I140,$J$136:J140)))*IF('LAMPIRAN I DONE'!$F$21="Tenaga Pengajar",0.25,IF(OR('LAMPIRAN I DONE'!$F$21="Asisten Ahli",'LAMPIRAN I DONE'!$F$21="Lektor",'LAMPIRAN I DONE'!$F$21="Lektor Kepala",'LAMPIRAN I DONE'!$F$21="Guru Besar"),0.5,""))))),(I141&amp;" x "&amp;J141&amp;" x "&amp;(IF(OR(AND(L141="sks&gt;10",L140="sks&gt;10"),AND(L141="sks&gt;10",L140="sks&lt;=10")),IF('LAMPIRAN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"&amp;K141))),"rumus")</f>
        <v>rumus</v>
      </c>
      <c r="H141" s="106" t="s">
        <v>315</v>
      </c>
      <c r="I141" s="409"/>
      <c r="J141" s="409"/>
      <c r="K141" s="401" t="str">
        <f>IF(AND(I141&lt;&gt;"",J141&lt;&gt;""),(IF(OR(AND(L141="sks&gt;10",L140="sks&lt;=10",IFERROR(SUMPRODUCT($I$136:I140,$J$136:J140)&lt;10,FALSE)),AND(L141="sks&gt;10",L140="")),(((10-SUMPRODUCT($I$136:I140,$J$136:J140))*IF('LAMPIRAN I DONE'!$F$21="Tenaga Pengajar",0.5,IF(OR('LAMPIRAN I DONE'!$F$21="Asisten Ahli",'LAMPIRAN I DONE'!$F$21="Lektor",'LAMPIRAN I DONE'!$F$21="Lektor Kepala",'LAMPIRAN I DONE'!$F$21="Guru Besar"),1,"")))+(((I141*J141)-(10-SUMPRODUCT($I$136:I140,$J$136:J140)))*IF('LAMPIRAN I DONE'!$F$21="Tenaga Pengajar",0.25,IF(OR('LAMPIRAN I DONE'!$F$21="Asisten Ahli",'LAMPIRAN I DONE'!$F$21="Lektor",'LAMPIRAN I DONE'!$F$21="Lektor Kepala",'LAMPIRAN I DONE'!$F$21="Guru Besar"),0.5,"")))),IF(OR(AND(L141="sks&gt;10",L140="sks&gt;10"),AND(L141="sks&gt;10",L140="sks&lt;=10")),I141*J141*IF('LAMPIRAN I DONE'!$F$21="Tenaga Pengajar",0.25,IF(OR('LAMPIRAN I DONE'!$F$21="Asisten Ahli",'LAMPIRAN I DONE'!$F$21="Lektor",'LAMPIRAN I DONE'!$F$21="Lektor Kepala",'LAMPIRAN I DONE'!$F$21="Guru Besar"),0.5,"")),I141*J141*IF('LAMPIRAN I DONE'!$F$21="Tenaga Pengajar",0.5,IF(OR('LAMPIRAN I DONE'!$F$21="Asisten Ahli",'LAMPIRAN I DONE'!$F$21="Lektor",'LAMPIRAN I DONE'!$F$21="Lektor Kepala",'LAMPIRAN I DONE'!$F$21="Guru Besar"),1,""))))),"rumus")</f>
        <v>rumus</v>
      </c>
      <c r="L141" s="401" t="str">
        <f t="shared" si="54"/>
        <v>rumus</v>
      </c>
      <c r="M141" s="4"/>
      <c r="N141" s="4"/>
      <c r="O141" s="4"/>
      <c r="P141" s="4"/>
      <c r="Q141" s="4"/>
      <c r="R141" s="4"/>
      <c r="S141" s="4"/>
      <c r="T141" s="4"/>
      <c r="U141" s="4"/>
      <c r="V141" s="4"/>
      <c r="W141" s="4"/>
      <c r="X141" s="4"/>
      <c r="Y141" s="4"/>
      <c r="Z141" s="4"/>
    </row>
    <row r="142" spans="1:26" ht="25.5" customHeight="1" x14ac:dyDescent="0.25">
      <c r="A142" s="109">
        <v>6</v>
      </c>
      <c r="B142" s="397" t="s">
        <v>314</v>
      </c>
      <c r="C142" s="106" t="s">
        <v>317</v>
      </c>
      <c r="D142" s="106" t="str">
        <f t="shared" si="52"/>
        <v/>
      </c>
      <c r="E142" s="398" t="str">
        <f t="shared" si="53"/>
        <v/>
      </c>
      <c r="F142" s="398" t="str">
        <f>IF(K142&lt;&gt;"rumus",(IF(OR(AND(L142="sks&gt;10",L141="sks&lt;=10",IFERROR(SUMPRODUCT($I$136:I141,$J$136:J141)&lt;10,FALSE)),AND(L142="sks&gt;10",L141="")),((IF('LAMPIRAN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Besar"),0.5,"")))),((IF(OR(AND(L142="sks&gt;10",L141="sks&gt;10"),AND(L142="sks&gt;10",L141="sks&lt;=10")),IF('LAMPIRAN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2" s="398" t="str">
        <f>IF(K142&lt;&gt;"rumus",(IF(OR(AND(L142="sks&gt;10",L141="sks&lt;=10",IFERROR(SUMPRODUCT($I$136:I141,$J$136:J141)&lt;10,FALSE)),AND(L142="sks&gt;10",L141="")),(((10-SUMPRODUCT($I$136:I141,$J$136:J141))&amp;" x "&amp;1&amp;" x "&amp;IF('LAMPIRAN I DONE'!$F$21="Tenaga Pengajar",0.5,IF(OR('LAMPIRAN I DONE'!$F$21="Asisten Ahli",'LAMPIRAN I DONE'!$F$21="Lektor",'LAMPIRAN I DONE'!$F$21="Lektor Kepala",'LAMPIRAN I DONE'!$F$21="Guru Besar"),1,""))&amp;" = "&amp;((10-SUMPRODUCT($I$136:I141,$J$136:J141))*IF('LAMPIRAN I DONE'!$F$21="Tenaga Pengajar",0.5,IF(OR('LAMPIRAN I DONE'!$F$21="Asisten Ahli",'LAMPIRAN I DONE'!$F$21="Lektor",'LAMPIRAN I DONE'!$F$21="Lektor Kepala",'LAMPIRAN I DONE'!$F$21="Guru Besar"),1,""))))&amp;"
"&amp;(((I142*J142)-(10-SUMPRODUCT($I$136:I141,$J$136:J141)))&amp;" x "&amp;1&amp;" x "&amp;IF('LAMPIRAN I DONE'!$F$21="Tenaga Pengajar",0.25,IF(OR('LAMPIRAN I DONE'!$F$21="Asisten Ahli",'LAMPIRAN I DONE'!$F$21="Lektor",'LAMPIRAN I DONE'!$F$21="Lektor Kepala",'LAMPIRAN I DONE'!$F$21="Guru Besar"),0.5,""))&amp;" = "&amp;(((I142*J142)-(10-SUMPRODUCT($I$136:I141,$J$136:J141)))*IF('LAMPIRAN I DONE'!$F$21="Tenaga Pengajar",0.25,IF(OR('LAMPIRAN I DONE'!$F$21="Asisten Ahli",'LAMPIRAN I DONE'!$F$21="Lektor",'LAMPIRAN I DONE'!$F$21="Lektor Kepala",'LAMPIRAN I DONE'!$F$21="Guru Besar"),0.5,""))))),(I142&amp;" x "&amp;J142&amp;" x "&amp;(IF(OR(AND(L142="sks&gt;10",L141="sks&gt;10"),AND(L142="sks&gt;10",L141="sks&lt;=10")),IF('LAMPIRAN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"&amp;K142))),"rumus")</f>
        <v>rumus</v>
      </c>
      <c r="H142" s="106" t="s">
        <v>315</v>
      </c>
      <c r="I142" s="409"/>
      <c r="J142" s="409"/>
      <c r="K142" s="401" t="str">
        <f>IF(AND(I142&lt;&gt;"",J142&lt;&gt;""),(IF(OR(AND(L142="sks&gt;10",L141="sks&lt;=10",IFERROR(SUMPRODUCT($I$136:I141,$J$136:J141)&lt;10,FALSE)),AND(L142="sks&gt;10",L141="")),(((10-SUMPRODUCT($I$136:I141,$J$136:J141))*IF('LAMPIRAN I DONE'!$F$21="Tenaga Pengajar",0.5,IF(OR('LAMPIRAN I DONE'!$F$21="Asisten Ahli",'LAMPIRAN I DONE'!$F$21="Lektor",'LAMPIRAN I DONE'!$F$21="Lektor Kepala",'LAMPIRAN I DONE'!$F$21="Guru Besar"),1,"")))+(((I142*J142)-(10-SUMPRODUCT($I$136:I141,$J$136:J141)))*IF('LAMPIRAN I DONE'!$F$21="Tenaga Pengajar",0.25,IF(OR('LAMPIRAN I DONE'!$F$21="Asisten Ahli",'LAMPIRAN I DONE'!$F$21="Lektor",'LAMPIRAN I DONE'!$F$21="Lektor Kepala",'LAMPIRAN I DONE'!$F$21="Guru Besar"),0.5,"")))),IF(OR(AND(L142="sks&gt;10",L141="sks&gt;10"),AND(L142="sks&gt;10",L141="sks&lt;=10")),I142*J142*IF('LAMPIRAN I DONE'!$F$21="Tenaga Pengajar",0.25,IF(OR('LAMPIRAN I DONE'!$F$21="Asisten Ahli",'LAMPIRAN I DONE'!$F$21="Lektor",'LAMPIRAN I DONE'!$F$21="Lektor Kepala",'LAMPIRAN I DONE'!$F$21="Guru Besar"),0.5,"")),I142*J142*IF('LAMPIRAN I DONE'!$F$21="Tenaga Pengajar",0.5,IF(OR('LAMPIRAN I DONE'!$F$21="Asisten Ahli",'LAMPIRAN I DONE'!$F$21="Lektor",'LAMPIRAN I DONE'!$F$21="Lektor Kepala",'LAMPIRAN I DONE'!$F$21="Guru Besar"),1,""))))),"rumus")</f>
        <v>rumus</v>
      </c>
      <c r="L142" s="401" t="str">
        <f t="shared" si="54"/>
        <v>rumus</v>
      </c>
      <c r="M142" s="4"/>
      <c r="N142" s="4"/>
      <c r="O142" s="4"/>
      <c r="P142" s="4"/>
      <c r="Q142" s="4"/>
      <c r="R142" s="4"/>
      <c r="S142" s="4"/>
      <c r="T142" s="4"/>
      <c r="U142" s="4"/>
      <c r="V142" s="4"/>
      <c r="W142" s="4"/>
      <c r="X142" s="4"/>
      <c r="Y142" s="4"/>
      <c r="Z142" s="4"/>
    </row>
    <row r="143" spans="1:26" ht="15" customHeight="1" x14ac:dyDescent="0.25">
      <c r="A143" s="109"/>
      <c r="B143" s="406" t="str">
        <f>"b. Semester Genap "&amp;IF(C144&lt;&gt;"",C144,"")&amp;" :"</f>
        <v>b. Semester Genap 2014/2015 :</v>
      </c>
      <c r="C143" s="410"/>
      <c r="D143" s="410"/>
      <c r="E143" s="410"/>
      <c r="F143" s="410"/>
      <c r="G143" s="410"/>
      <c r="H143" s="411"/>
      <c r="I143" s="110"/>
      <c r="J143" s="110"/>
      <c r="K143" s="112"/>
      <c r="L143" s="112"/>
      <c r="M143" s="111">
        <f>IF((AND(N143="Max 5,5",SUM(K137:K142)&lt;=5.5)),SUM(K137:K142),IF((AND(N143="Max 5,5",SUM(K137:K142)&gt;5.5)),5.5,IF((AND(N143="Max 11",SUM(K137:K142)&lt;=11)),SUM(K137:K142),IF((AND(N143="Max 11",SUM(K137:K142)&gt;11)),11,""))))</f>
        <v>8</v>
      </c>
      <c r="N143" s="103" t="str">
        <f>IF('LAMPIRAN I DONE'!$F$21="Tenaga Pengajar","Max 5,5",IF(OR('LAMPIRAN I DONE'!$F$21="Asisten Ahli",'LAMPIRAN I DONE'!$F$21="Lektor",'LAMPIRAN I DONE'!$F$21="Lektor Kepala",'LAMPIRAN I DONE'!$F$21="Guru Besar"),"Max 11",""))</f>
        <v>Max 11</v>
      </c>
      <c r="O143" s="4"/>
      <c r="P143" s="4"/>
      <c r="Q143" s="4"/>
      <c r="R143" s="4"/>
      <c r="S143" s="4"/>
      <c r="T143" s="4"/>
      <c r="U143" s="4"/>
      <c r="V143" s="4"/>
      <c r="W143" s="4"/>
      <c r="X143" s="4"/>
      <c r="Y143" s="4"/>
      <c r="Z143" s="4"/>
    </row>
    <row r="144" spans="1:26" ht="25.5" customHeight="1" x14ac:dyDescent="0.25">
      <c r="A144" s="109">
        <v>1</v>
      </c>
      <c r="B144" s="570" t="s">
        <v>357</v>
      </c>
      <c r="C144" s="106" t="s">
        <v>319</v>
      </c>
      <c r="D144" s="106" t="str">
        <f t="shared" ref="D144:D149" si="55">IF(G144&lt;&gt;"rumus","SKS","")</f>
        <v>SKS</v>
      </c>
      <c r="E144" s="398" t="str">
        <f t="shared" ref="E144:E149" si="56">IF(K144&lt;&gt;"rumus",(IF(OR(AND(L144="sks&gt;10",L143="sks&lt;=10",IFERROR(SUMPRODUCT($I$143:I143,$J$143:J143)&lt;10,FALSE)),AND(L144="sks&gt;10",L143="")),(((10-SUMPRODUCT($I$143:I143,$J$143:J143))&amp;" x "&amp;1)&amp;"
"&amp;(((I144*J144)-(10-SUMPRODUCT($I$143:I143,$J$143:J143)))&amp;" x "&amp;1)),(I144&amp;" x "&amp;J144))),"")</f>
        <v>4 x 2</v>
      </c>
      <c r="F144" s="398">
        <f>IF(K144&lt;&gt;"rumus",(IF(OR(AND(L144="sks&gt;10",L143="sks&lt;=10",IFERROR(SUMPRODUCT($I$143:I143,$J$143:J143)&lt;10,FALSE)),AND(L144="sks&gt;10",L143="")),((IF('LAMPIRAN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Besar"),0.5,"")))),((IF(OR(AND(L144="sks&gt;10",L143="sks&gt;10"),AND(L144="sks&gt;10",L143="sks&lt;=10")),IF('LAMPIRAN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44" s="398" t="str">
        <f>IF(K144&lt;&gt;"rumus",(IF(OR(AND(L144="sks&gt;10",L143="sks&lt;=10",IFERROR(SUMPRODUCT($I$143:I143,$J$143:J143)&lt;10,FALSE)),AND(L144="sks&gt;10",L143="")),(((10-SUMPRODUCT($I$143:I143,$J$143:J143))&amp;" x "&amp;1&amp;" x "&amp;IF('LAMPIRAN I DONE'!$F$21="Tenaga Pengajar",0.5,IF(OR('LAMPIRAN I DONE'!$F$21="Asisten Ahli",'LAMPIRAN I DONE'!$F$21="Lektor",'LAMPIRAN I DONE'!$F$21="Lektor Kepala",'LAMPIRAN I DONE'!$F$21="Guru Besar"),1,""))&amp;" = "&amp;((10-SUMPRODUCT($I$143:I143,$J$143:J143))*IF('LAMPIRAN I DONE'!$F$21="Tenaga Pengajar",0.5,IF(OR('LAMPIRAN I DONE'!$F$21="Asisten Ahli",'LAMPIRAN I DONE'!$F$21="Lektor",'LAMPIRAN I DONE'!$F$21="Lektor Kepala",'LAMPIRAN I DONE'!$F$21="Guru Besar"),1,""))))&amp;"
"&amp;(((I144*J144)-(10-SUMPRODUCT($I$143:I143,$J$143:J143)))&amp;" x "&amp;1&amp;" x "&amp;IF('LAMPIRAN I DONE'!$F$21="Tenaga Pengajar",0.25,IF(OR('LAMPIRAN I DONE'!$F$21="Asisten Ahli",'LAMPIRAN I DONE'!$F$21="Lektor",'LAMPIRAN I DONE'!$F$21="Lektor Kepala",'LAMPIRAN I DONE'!$F$21="Guru Besar"),0.5,""))&amp;" = "&amp;(((I144*J144)-(10-SUMPRODUCT($I$143:I143,$J$143:J143)))*IF('LAMPIRAN I DONE'!$F$21="Tenaga Pengajar",0.25,IF(OR('LAMPIRAN I DONE'!$F$21="Asisten Ahli",'LAMPIRAN I DONE'!$F$21="Lektor",'LAMPIRAN I DONE'!$F$21="Lektor Kepala",'LAMPIRAN I DONE'!$F$21="Guru Besar"),0.5,""))))),(I144&amp;" x "&amp;J144&amp;" x "&amp;(IF(OR(AND(L144="sks&gt;10",L143="sks&gt;10"),AND(L144="sks&gt;10",L143="sks&lt;=10")),IF('LAMPIRAN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"&amp;K144))),"rumus")</f>
        <v>4 x 2 x 1 = 8</v>
      </c>
      <c r="H144" s="106" t="s">
        <v>360</v>
      </c>
      <c r="I144" s="409">
        <v>4</v>
      </c>
      <c r="J144" s="409">
        <v>2</v>
      </c>
      <c r="K144" s="401">
        <f>IF(AND(I144&lt;&gt;"",J144&lt;&gt;""),(IF(OR(AND(L144="sks&gt;10",L143="sks&lt;=10",IFERROR(SUMPRODUCT($I$143:I143,$J$143:J143)&lt;10,FALSE)),AND(L144="sks&gt;10",L143="")),(((10-SUMPRODUCT($I$143:I143,$J$143:J143))*IF('LAMPIRAN I DONE'!$F$21="Tenaga Pengajar",0.5,IF(OR('LAMPIRAN I DONE'!$F$21="Asisten Ahli",'LAMPIRAN I DONE'!$F$21="Lektor",'LAMPIRAN I DONE'!$F$21="Lektor Kepala",'LAMPIRAN I DONE'!$F$21="Guru Besar"),1,"")))+(((I144*J144)-(10-SUMPRODUCT($I$143:I143,$J$143:J143)))*IF('LAMPIRAN I DONE'!$F$21="Tenaga Pengajar",0.25,IF(OR('LAMPIRAN I DONE'!$F$21="Asisten Ahli",'LAMPIRAN I DONE'!$F$21="Lektor",'LAMPIRAN I DONE'!$F$21="Lektor Kepala",'LAMPIRAN I DONE'!$F$21="Guru Besar"),0.5,"")))),IF(OR(AND(L144="sks&gt;10",L143="sks&gt;10"),AND(L144="sks&gt;10",L143="sks&lt;=10")),I144*J144*IF('LAMPIRAN I DONE'!$F$21="Tenaga Pengajar",0.25,IF(OR('LAMPIRAN I DONE'!$F$21="Asisten Ahli",'LAMPIRAN I DONE'!$F$21="Lektor",'LAMPIRAN I DONE'!$F$21="Lektor Kepala",'LAMPIRAN I DONE'!$F$21="Guru Besar"),0.5,"")),I144*J144*IF('LAMPIRAN I DONE'!$F$21="Tenaga Pengajar",0.5,IF(OR('LAMPIRAN I DONE'!$F$21="Asisten Ahli",'LAMPIRAN I DONE'!$F$21="Lektor",'LAMPIRAN I DONE'!$F$21="Lektor Kepala",'LAMPIRAN I DONE'!$F$21="Guru Besar"),1,""))))),"rumus")</f>
        <v>8</v>
      </c>
      <c r="L144" s="401" t="str">
        <f t="shared" ref="L144:L149" si="57">IF(AND(I144&lt;&gt;"",J144&lt;&gt;""),(IF(SUMPRODUCT($I$144:I144,$J$144:J144)&lt;=10,"SKS&lt;=10",IF(SUMPRODUCT($I$144:I144,$J$144:J144)&gt;10,"SKS&gt;10",""))),"rumus")</f>
        <v>SKS&lt;=10</v>
      </c>
      <c r="M144" s="4"/>
      <c r="N144" s="4"/>
      <c r="O144" s="4"/>
      <c r="P144" s="4"/>
      <c r="Q144" s="4"/>
      <c r="R144" s="4"/>
      <c r="S144" s="4"/>
      <c r="T144" s="4"/>
      <c r="U144" s="4"/>
      <c r="V144" s="4"/>
      <c r="W144" s="4"/>
      <c r="X144" s="4"/>
      <c r="Y144" s="4"/>
      <c r="Z144" s="4"/>
    </row>
    <row r="145" spans="1:26" ht="25.5" customHeight="1" x14ac:dyDescent="0.25">
      <c r="A145" s="109">
        <v>2</v>
      </c>
      <c r="B145" s="397" t="s">
        <v>314</v>
      </c>
      <c r="C145" s="106" t="s">
        <v>319</v>
      </c>
      <c r="D145" s="106" t="str">
        <f t="shared" si="55"/>
        <v/>
      </c>
      <c r="E145" s="398" t="str">
        <f t="shared" si="56"/>
        <v/>
      </c>
      <c r="F145" s="398" t="str">
        <f>IF(K145&lt;&gt;"rumus",(IF(OR(AND(L145="sks&gt;10",L144="sks&lt;=10",IFERROR(SUMPRODUCT($I$143:I144,$J$143:J144)&lt;10,FALSE)),AND(L145="sks&gt;10",L144="")),((IF('LAMPIRAN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Besar"),0.5,"")))),((IF(OR(AND(L145="sks&gt;10",L144="sks&gt;10"),AND(L145="sks&gt;10",L144="sks&lt;=10")),IF('LAMPIRAN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5" s="398" t="str">
        <f>IF(K145&lt;&gt;"rumus",(IF(OR(AND(L145="sks&gt;10",L144="sks&lt;=10",IFERROR(SUMPRODUCT($I$143:I144,$J$143:J144)&lt;10,FALSE)),AND(L145="sks&gt;10",L144="")),(((10-SUMPRODUCT($I$143:I144,$J$143:J144))&amp;" x "&amp;1&amp;" x "&amp;IF('LAMPIRAN I DONE'!$F$21="Tenaga Pengajar",0.5,IF(OR('LAMPIRAN I DONE'!$F$21="Asisten Ahli",'LAMPIRAN I DONE'!$F$21="Lektor",'LAMPIRAN I DONE'!$F$21="Lektor Kepala",'LAMPIRAN I DONE'!$F$21="Guru Besar"),1,""))&amp;" = "&amp;((10-SUMPRODUCT($I$143:I144,$J$143:J144))*IF('LAMPIRAN I DONE'!$F$21="Tenaga Pengajar",0.5,IF(OR('LAMPIRAN I DONE'!$F$21="Asisten Ahli",'LAMPIRAN I DONE'!$F$21="Lektor",'LAMPIRAN I DONE'!$F$21="Lektor Kepala",'LAMPIRAN I DONE'!$F$21="Guru Besar"),1,""))))&amp;"
"&amp;(((I145*J145)-(10-SUMPRODUCT($I$143:I144,$J$143:J144)))&amp;" x "&amp;1&amp;" x "&amp;IF('LAMPIRAN I DONE'!$F$21="Tenaga Pengajar",0.25,IF(OR('LAMPIRAN I DONE'!$F$21="Asisten Ahli",'LAMPIRAN I DONE'!$F$21="Lektor",'LAMPIRAN I DONE'!$F$21="Lektor Kepala",'LAMPIRAN I DONE'!$F$21="Guru Besar"),0.5,""))&amp;" = "&amp;(((I145*J145)-(10-SUMPRODUCT($I$143:I144,$J$143:J144)))*IF('LAMPIRAN I DONE'!$F$21="Tenaga Pengajar",0.25,IF(OR('LAMPIRAN I DONE'!$F$21="Asisten Ahli",'LAMPIRAN I DONE'!$F$21="Lektor",'LAMPIRAN I DONE'!$F$21="Lektor Kepala",'LAMPIRAN I DONE'!$F$21="Guru Besar"),0.5,""))))),(I145&amp;" x "&amp;J145&amp;" x "&amp;(IF(OR(AND(L145="sks&gt;10",L144="sks&gt;10"),AND(L145="sks&gt;10",L144="sks&lt;=10")),IF('LAMPIRAN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"&amp;K145))),"rumus")</f>
        <v>rumus</v>
      </c>
      <c r="H145" s="106" t="s">
        <v>315</v>
      </c>
      <c r="I145" s="409"/>
      <c r="J145" s="409"/>
      <c r="K145" s="401" t="str">
        <f>IF(AND(I145&lt;&gt;"",J145&lt;&gt;""),(IF(OR(AND(L145="sks&gt;10",L144="sks&lt;=10",IFERROR(SUMPRODUCT($I$143:I144,$J$143:J144)&lt;10,FALSE)),AND(L145="sks&gt;10",L144="")),(((10-SUMPRODUCT($I$143:I144,$J$143:J144))*IF('LAMPIRAN I DONE'!$F$21="Tenaga Pengajar",0.5,IF(OR('LAMPIRAN I DONE'!$F$21="Asisten Ahli",'LAMPIRAN I DONE'!$F$21="Lektor",'LAMPIRAN I DONE'!$F$21="Lektor Kepala",'LAMPIRAN I DONE'!$F$21="Guru Besar"),1,"")))+(((I145*J145)-(10-SUMPRODUCT($I$143:I144,$J$143:J144)))*IF('LAMPIRAN I DONE'!$F$21="Tenaga Pengajar",0.25,IF(OR('LAMPIRAN I DONE'!$F$21="Asisten Ahli",'LAMPIRAN I DONE'!$F$21="Lektor",'LAMPIRAN I DONE'!$F$21="Lektor Kepala",'LAMPIRAN I DONE'!$F$21="Guru Besar"),0.5,"")))),IF(OR(AND(L145="sks&gt;10",L144="sks&gt;10"),AND(L145="sks&gt;10",L144="sks&lt;=10")),I145*J145*IF('LAMPIRAN I DONE'!$F$21="Tenaga Pengajar",0.25,IF(OR('LAMPIRAN I DONE'!$F$21="Asisten Ahli",'LAMPIRAN I DONE'!$F$21="Lektor",'LAMPIRAN I DONE'!$F$21="Lektor Kepala",'LAMPIRAN I DONE'!$F$21="Guru Besar"),0.5,"")),I145*J145*IF('LAMPIRAN I DONE'!$F$21="Tenaga Pengajar",0.5,IF(OR('LAMPIRAN I DONE'!$F$21="Asisten Ahli",'LAMPIRAN I DONE'!$F$21="Lektor",'LAMPIRAN I DONE'!$F$21="Lektor Kepala",'LAMPIRAN I DONE'!$F$21="Guru Besar"),1,""))))),"rumus")</f>
        <v>rumus</v>
      </c>
      <c r="L145" s="401" t="str">
        <f t="shared" si="57"/>
        <v>rumus</v>
      </c>
      <c r="M145" s="4"/>
      <c r="N145" s="4"/>
      <c r="O145" s="4"/>
      <c r="P145" s="4"/>
      <c r="Q145" s="4"/>
      <c r="R145" s="4"/>
      <c r="S145" s="4"/>
      <c r="T145" s="4"/>
      <c r="U145" s="4"/>
      <c r="V145" s="4"/>
      <c r="W145" s="4"/>
      <c r="X145" s="4"/>
      <c r="Y145" s="4"/>
      <c r="Z145" s="4"/>
    </row>
    <row r="146" spans="1:26" ht="25.5" customHeight="1" x14ac:dyDescent="0.25">
      <c r="A146" s="109">
        <v>3</v>
      </c>
      <c r="B146" s="397" t="s">
        <v>314</v>
      </c>
      <c r="C146" s="106" t="s">
        <v>319</v>
      </c>
      <c r="D146" s="106" t="str">
        <f t="shared" si="55"/>
        <v/>
      </c>
      <c r="E146" s="398" t="str">
        <f t="shared" si="56"/>
        <v/>
      </c>
      <c r="F146" s="398" t="str">
        <f>IF(K146&lt;&gt;"rumus",(IF(OR(AND(L146="sks&gt;10",L145="sks&lt;=10",IFERROR(SUMPRODUCT($I$143:I145,$J$143:J145)&lt;10,FALSE)),AND(L146="sks&gt;10",L145="")),((IF('LAMPIRAN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Besar"),0.5,"")))),((IF(OR(AND(L146="sks&gt;10",L145="sks&gt;10"),AND(L146="sks&gt;10",L145="sks&lt;=10")),IF('LAMPIRAN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6" s="398" t="str">
        <f>IF(K146&lt;&gt;"rumus",(IF(OR(AND(L146="sks&gt;10",L145="sks&lt;=10",IFERROR(SUMPRODUCT($I$143:I145,$J$143:J145)&lt;10,FALSE)),AND(L146="sks&gt;10",L145="")),(((10-SUMPRODUCT($I$143:I145,$J$143:J145))&amp;" x "&amp;1&amp;" x "&amp;IF('LAMPIRAN I DONE'!$F$21="Tenaga Pengajar",0.5,IF(OR('LAMPIRAN I DONE'!$F$21="Asisten Ahli",'LAMPIRAN I DONE'!$F$21="Lektor",'LAMPIRAN I DONE'!$F$21="Lektor Kepala",'LAMPIRAN I DONE'!$F$21="Guru Besar"),1,""))&amp;" = "&amp;((10-SUMPRODUCT($I$143:I145,$J$143:J145))*IF('LAMPIRAN I DONE'!$F$21="Tenaga Pengajar",0.5,IF(OR('LAMPIRAN I DONE'!$F$21="Asisten Ahli",'LAMPIRAN I DONE'!$F$21="Lektor",'LAMPIRAN I DONE'!$F$21="Lektor Kepala",'LAMPIRAN I DONE'!$F$21="Guru Besar"),1,""))))&amp;"
"&amp;(((I146*J146)-(10-SUMPRODUCT($I$143:I145,$J$143:J145)))&amp;" x "&amp;1&amp;" x "&amp;IF('LAMPIRAN I DONE'!$F$21="Tenaga Pengajar",0.25,IF(OR('LAMPIRAN I DONE'!$F$21="Asisten Ahli",'LAMPIRAN I DONE'!$F$21="Lektor",'LAMPIRAN I DONE'!$F$21="Lektor Kepala",'LAMPIRAN I DONE'!$F$21="Guru Besar"),0.5,""))&amp;" = "&amp;(((I146*J146)-(10-SUMPRODUCT($I$143:I145,$J$143:J145)))*IF('LAMPIRAN I DONE'!$F$21="Tenaga Pengajar",0.25,IF(OR('LAMPIRAN I DONE'!$F$21="Asisten Ahli",'LAMPIRAN I DONE'!$F$21="Lektor",'LAMPIRAN I DONE'!$F$21="Lektor Kepala",'LAMPIRAN I DONE'!$F$21="Guru Besar"),0.5,""))))),(I146&amp;" x "&amp;J146&amp;" x "&amp;(IF(OR(AND(L146="sks&gt;10",L145="sks&gt;10"),AND(L146="sks&gt;10",L145="sks&lt;=10")),IF('LAMPIRAN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"&amp;K146))),"rumus")</f>
        <v>rumus</v>
      </c>
      <c r="H146" s="106" t="s">
        <v>315</v>
      </c>
      <c r="I146" s="409"/>
      <c r="J146" s="409"/>
      <c r="K146" s="401" t="str">
        <f>IF(AND(I146&lt;&gt;"",J146&lt;&gt;""),(IF(OR(AND(L146="sks&gt;10",L145="sks&lt;=10",IFERROR(SUMPRODUCT($I$143:I145,$J$143:J145)&lt;10,FALSE)),AND(L146="sks&gt;10",L145="")),(((10-SUMPRODUCT($I$143:I145,$J$143:J145))*IF('LAMPIRAN I DONE'!$F$21="Tenaga Pengajar",0.5,IF(OR('LAMPIRAN I DONE'!$F$21="Asisten Ahli",'LAMPIRAN I DONE'!$F$21="Lektor",'LAMPIRAN I DONE'!$F$21="Lektor Kepala",'LAMPIRAN I DONE'!$F$21="Guru Besar"),1,"")))+(((I146*J146)-(10-SUMPRODUCT($I$143:I145,$J$143:J145)))*IF('LAMPIRAN I DONE'!$F$21="Tenaga Pengajar",0.25,IF(OR('LAMPIRAN I DONE'!$F$21="Asisten Ahli",'LAMPIRAN I DONE'!$F$21="Lektor",'LAMPIRAN I DONE'!$F$21="Lektor Kepala",'LAMPIRAN I DONE'!$F$21="Guru Besar"),0.5,"")))),IF(OR(AND(L146="sks&gt;10",L145="sks&gt;10"),AND(L146="sks&gt;10",L145="sks&lt;=10")),I146*J146*IF('LAMPIRAN I DONE'!$F$21="Tenaga Pengajar",0.25,IF(OR('LAMPIRAN I DONE'!$F$21="Asisten Ahli",'LAMPIRAN I DONE'!$F$21="Lektor",'LAMPIRAN I DONE'!$F$21="Lektor Kepala",'LAMPIRAN I DONE'!$F$21="Guru Besar"),0.5,"")),I146*J146*IF('LAMPIRAN I DONE'!$F$21="Tenaga Pengajar",0.5,IF(OR('LAMPIRAN I DONE'!$F$21="Asisten Ahli",'LAMPIRAN I DONE'!$F$21="Lektor",'LAMPIRAN I DONE'!$F$21="Lektor Kepala",'LAMPIRAN I DONE'!$F$21="Guru Besar"),1,""))))),"rumus")</f>
        <v>rumus</v>
      </c>
      <c r="L146" s="401" t="str">
        <f t="shared" si="57"/>
        <v>rumus</v>
      </c>
      <c r="M146" s="4"/>
      <c r="N146" s="4"/>
      <c r="O146" s="4"/>
      <c r="P146" s="4"/>
      <c r="Q146" s="4"/>
      <c r="R146" s="4"/>
      <c r="S146" s="4"/>
      <c r="T146" s="4"/>
      <c r="U146" s="4"/>
      <c r="V146" s="4"/>
      <c r="W146" s="4"/>
      <c r="X146" s="4"/>
      <c r="Y146" s="4"/>
      <c r="Z146" s="4"/>
    </row>
    <row r="147" spans="1:26" ht="25.5" customHeight="1" x14ac:dyDescent="0.25">
      <c r="A147" s="109">
        <v>4</v>
      </c>
      <c r="B147" s="397" t="s">
        <v>314</v>
      </c>
      <c r="C147" s="106" t="s">
        <v>319</v>
      </c>
      <c r="D147" s="106" t="str">
        <f t="shared" si="55"/>
        <v/>
      </c>
      <c r="E147" s="398" t="str">
        <f t="shared" si="56"/>
        <v/>
      </c>
      <c r="F147" s="398" t="str">
        <f>IF(K147&lt;&gt;"rumus",(IF(OR(AND(L147="sks&gt;10",L146="sks&lt;=10",IFERROR(SUMPRODUCT($I$143:I146,$J$143:J146)&lt;10,FALSE)),AND(L147="sks&gt;10",L146="")),((IF('LAMPIRAN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Besar"),0.5,"")))),((IF(OR(AND(L147="sks&gt;10",L146="sks&gt;10"),AND(L147="sks&gt;10",L146="sks&lt;=10")),IF('LAMPIRAN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7" s="398" t="str">
        <f>IF(K147&lt;&gt;"rumus",(IF(OR(AND(L147="sks&gt;10",L146="sks&lt;=10",IFERROR(SUMPRODUCT($I$143:I146,$J$143:J146)&lt;10,FALSE)),AND(L147="sks&gt;10",L146="")),(((10-SUMPRODUCT($I$143:I146,$J$143:J146))&amp;" x "&amp;1&amp;" x "&amp;IF('LAMPIRAN I DONE'!$F$21="Tenaga Pengajar",0.5,IF(OR('LAMPIRAN I DONE'!$F$21="Asisten Ahli",'LAMPIRAN I DONE'!$F$21="Lektor",'LAMPIRAN I DONE'!$F$21="Lektor Kepala",'LAMPIRAN I DONE'!$F$21="Guru Besar"),1,""))&amp;" = "&amp;((10-SUMPRODUCT($I$143:I146,$J$143:J146))*IF('LAMPIRAN I DONE'!$F$21="Tenaga Pengajar",0.5,IF(OR('LAMPIRAN I DONE'!$F$21="Asisten Ahli",'LAMPIRAN I DONE'!$F$21="Lektor",'LAMPIRAN I DONE'!$F$21="Lektor Kepala",'LAMPIRAN I DONE'!$F$21="Guru Besar"),1,""))))&amp;"
"&amp;(((I147*J147)-(10-SUMPRODUCT($I$143:I146,$J$143:J146)))&amp;" x "&amp;1&amp;" x "&amp;IF('LAMPIRAN I DONE'!$F$21="Tenaga Pengajar",0.25,IF(OR('LAMPIRAN I DONE'!$F$21="Asisten Ahli",'LAMPIRAN I DONE'!$F$21="Lektor",'LAMPIRAN I DONE'!$F$21="Lektor Kepala",'LAMPIRAN I DONE'!$F$21="Guru Besar"),0.5,""))&amp;" = "&amp;(((I147*J147)-(10-SUMPRODUCT($I$143:I146,$J$143:J146)))*IF('LAMPIRAN I DONE'!$F$21="Tenaga Pengajar",0.25,IF(OR('LAMPIRAN I DONE'!$F$21="Asisten Ahli",'LAMPIRAN I DONE'!$F$21="Lektor",'LAMPIRAN I DONE'!$F$21="Lektor Kepala",'LAMPIRAN I DONE'!$F$21="Guru Besar"),0.5,""))))),(I147&amp;" x "&amp;J147&amp;" x "&amp;(IF(OR(AND(L147="sks&gt;10",L146="sks&gt;10"),AND(L147="sks&gt;10",L146="sks&lt;=10")),IF('LAMPIRAN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"&amp;K147))),"rumus")</f>
        <v>rumus</v>
      </c>
      <c r="H147" s="106" t="s">
        <v>315</v>
      </c>
      <c r="I147" s="409"/>
      <c r="J147" s="409"/>
      <c r="K147" s="401" t="str">
        <f>IF(AND(I147&lt;&gt;"",J147&lt;&gt;""),(IF(OR(AND(L147="sks&gt;10",L146="sks&lt;=10",IFERROR(SUMPRODUCT($I$143:I146,$J$143:J146)&lt;10,FALSE)),AND(L147="sks&gt;10",L146="")),(((10-SUMPRODUCT($I$143:I146,$J$143:J146))*IF('LAMPIRAN I DONE'!$F$21="Tenaga Pengajar",0.5,IF(OR('LAMPIRAN I DONE'!$F$21="Asisten Ahli",'LAMPIRAN I DONE'!$F$21="Lektor",'LAMPIRAN I DONE'!$F$21="Lektor Kepala",'LAMPIRAN I DONE'!$F$21="Guru Besar"),1,"")))+(((I147*J147)-(10-SUMPRODUCT($I$143:I146,$J$143:J146)))*IF('LAMPIRAN I DONE'!$F$21="Tenaga Pengajar",0.25,IF(OR('LAMPIRAN I DONE'!$F$21="Asisten Ahli",'LAMPIRAN I DONE'!$F$21="Lektor",'LAMPIRAN I DONE'!$F$21="Lektor Kepala",'LAMPIRAN I DONE'!$F$21="Guru Besar"),0.5,"")))),IF(OR(AND(L147="sks&gt;10",L146="sks&gt;10"),AND(L147="sks&gt;10",L146="sks&lt;=10")),I147*J147*IF('LAMPIRAN I DONE'!$F$21="Tenaga Pengajar",0.25,IF(OR('LAMPIRAN I DONE'!$F$21="Asisten Ahli",'LAMPIRAN I DONE'!$F$21="Lektor",'LAMPIRAN I DONE'!$F$21="Lektor Kepala",'LAMPIRAN I DONE'!$F$21="Guru Besar"),0.5,"")),I147*J147*IF('LAMPIRAN I DONE'!$F$21="Tenaga Pengajar",0.5,IF(OR('LAMPIRAN I DONE'!$F$21="Asisten Ahli",'LAMPIRAN I DONE'!$F$21="Lektor",'LAMPIRAN I DONE'!$F$21="Lektor Kepala",'LAMPIRAN I DONE'!$F$21="Guru Besar"),1,""))))),"rumus")</f>
        <v>rumus</v>
      </c>
      <c r="L147" s="401" t="str">
        <f t="shared" si="57"/>
        <v>rumus</v>
      </c>
      <c r="M147" s="4"/>
      <c r="N147" s="4"/>
      <c r="O147" s="4"/>
      <c r="P147" s="4"/>
      <c r="Q147" s="4"/>
      <c r="R147" s="4"/>
      <c r="S147" s="4"/>
      <c r="T147" s="4"/>
      <c r="U147" s="4"/>
      <c r="V147" s="4"/>
      <c r="W147" s="4"/>
      <c r="X147" s="4"/>
      <c r="Y147" s="4"/>
      <c r="Z147" s="4"/>
    </row>
    <row r="148" spans="1:26" ht="25.5" customHeight="1" x14ac:dyDescent="0.25">
      <c r="A148" s="109">
        <v>5</v>
      </c>
      <c r="B148" s="397" t="s">
        <v>314</v>
      </c>
      <c r="C148" s="106" t="s">
        <v>319</v>
      </c>
      <c r="D148" s="106" t="str">
        <f t="shared" si="55"/>
        <v/>
      </c>
      <c r="E148" s="398" t="str">
        <f t="shared" si="56"/>
        <v/>
      </c>
      <c r="F148" s="398" t="str">
        <f>IF(K148&lt;&gt;"rumus",(IF(OR(AND(L148="sks&gt;10",L147="sks&lt;=10",IFERROR(SUMPRODUCT($I$143:I147,$J$143:J147)&lt;10,FALSE)),AND(L148="sks&gt;10",L147="")),((IF('LAMPIRAN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Besar"),0.5,"")))),((IF(OR(AND(L148="sks&gt;10",L147="sks&gt;10"),AND(L148="sks&gt;10",L147="sks&lt;=10")),IF('LAMPIRAN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8" s="398" t="str">
        <f>IF(K148&lt;&gt;"rumus",(IF(OR(AND(L148="sks&gt;10",L147="sks&lt;=10",IFERROR(SUMPRODUCT($I$143:I147,$J$143:J147)&lt;10,FALSE)),AND(L148="sks&gt;10",L147="")),(((10-SUMPRODUCT($I$143:I147,$J$143:J147))&amp;" x "&amp;1&amp;" x "&amp;IF('LAMPIRAN I DONE'!$F$21="Tenaga Pengajar",0.5,IF(OR('LAMPIRAN I DONE'!$F$21="Asisten Ahli",'LAMPIRAN I DONE'!$F$21="Lektor",'LAMPIRAN I DONE'!$F$21="Lektor Kepala",'LAMPIRAN I DONE'!$F$21="Guru Besar"),1,""))&amp;" = "&amp;((10-SUMPRODUCT($I$143:I147,$J$143:J147))*IF('LAMPIRAN I DONE'!$F$21="Tenaga Pengajar",0.5,IF(OR('LAMPIRAN I DONE'!$F$21="Asisten Ahli",'LAMPIRAN I DONE'!$F$21="Lektor",'LAMPIRAN I DONE'!$F$21="Lektor Kepala",'LAMPIRAN I DONE'!$F$21="Guru Besar"),1,""))))&amp;"
"&amp;(((I148*J148)-(10-SUMPRODUCT($I$143:I147,$J$143:J147)))&amp;" x "&amp;1&amp;" x "&amp;IF('LAMPIRAN I DONE'!$F$21="Tenaga Pengajar",0.25,IF(OR('LAMPIRAN I DONE'!$F$21="Asisten Ahli",'LAMPIRAN I DONE'!$F$21="Lektor",'LAMPIRAN I DONE'!$F$21="Lektor Kepala",'LAMPIRAN I DONE'!$F$21="Guru Besar"),0.5,""))&amp;" = "&amp;(((I148*J148)-(10-SUMPRODUCT($I$143:I147,$J$143:J147)))*IF('LAMPIRAN I DONE'!$F$21="Tenaga Pengajar",0.25,IF(OR('LAMPIRAN I DONE'!$F$21="Asisten Ahli",'LAMPIRAN I DONE'!$F$21="Lektor",'LAMPIRAN I DONE'!$F$21="Lektor Kepala",'LAMPIRAN I DONE'!$F$21="Guru Besar"),0.5,""))))),(I148&amp;" x "&amp;J148&amp;" x "&amp;(IF(OR(AND(L148="sks&gt;10",L147="sks&gt;10"),AND(L148="sks&gt;10",L147="sks&lt;=10")),IF('LAMPIRAN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"&amp;K148))),"rumus")</f>
        <v>rumus</v>
      </c>
      <c r="H148" s="106" t="s">
        <v>315</v>
      </c>
      <c r="I148" s="409"/>
      <c r="J148" s="409"/>
      <c r="K148" s="401" t="str">
        <f>IF(AND(I148&lt;&gt;"",J148&lt;&gt;""),(IF(OR(AND(L148="sks&gt;10",L147="sks&lt;=10",IFERROR(SUMPRODUCT($I$143:I147,$J$143:J147)&lt;10,FALSE)),AND(L148="sks&gt;10",L147="")),(((10-SUMPRODUCT($I$143:I147,$J$143:J147))*IF('LAMPIRAN I DONE'!$F$21="Tenaga Pengajar",0.5,IF(OR('LAMPIRAN I DONE'!$F$21="Asisten Ahli",'LAMPIRAN I DONE'!$F$21="Lektor",'LAMPIRAN I DONE'!$F$21="Lektor Kepala",'LAMPIRAN I DONE'!$F$21="Guru Besar"),1,"")))+(((I148*J148)-(10-SUMPRODUCT($I$143:I147,$J$143:J147)))*IF('LAMPIRAN I DONE'!$F$21="Tenaga Pengajar",0.25,IF(OR('LAMPIRAN I DONE'!$F$21="Asisten Ahli",'LAMPIRAN I DONE'!$F$21="Lektor",'LAMPIRAN I DONE'!$F$21="Lektor Kepala",'LAMPIRAN I DONE'!$F$21="Guru Besar"),0.5,"")))),IF(OR(AND(L148="sks&gt;10",L147="sks&gt;10"),AND(L148="sks&gt;10",L147="sks&lt;=10")),I148*J148*IF('LAMPIRAN I DONE'!$F$21="Tenaga Pengajar",0.25,IF(OR('LAMPIRAN I DONE'!$F$21="Asisten Ahli",'LAMPIRAN I DONE'!$F$21="Lektor",'LAMPIRAN I DONE'!$F$21="Lektor Kepala",'LAMPIRAN I DONE'!$F$21="Guru Besar"),0.5,"")),I148*J148*IF('LAMPIRAN I DONE'!$F$21="Tenaga Pengajar",0.5,IF(OR('LAMPIRAN I DONE'!$F$21="Asisten Ahli",'LAMPIRAN I DONE'!$F$21="Lektor",'LAMPIRAN I DONE'!$F$21="Lektor Kepala",'LAMPIRAN I DONE'!$F$21="Guru Besar"),1,""))))),"rumus")</f>
        <v>rumus</v>
      </c>
      <c r="L148" s="401" t="str">
        <f t="shared" si="57"/>
        <v>rumus</v>
      </c>
      <c r="M148" s="4"/>
      <c r="N148" s="4"/>
      <c r="O148" s="4"/>
      <c r="P148" s="4"/>
      <c r="Q148" s="4"/>
      <c r="R148" s="4"/>
      <c r="S148" s="4"/>
      <c r="T148" s="4"/>
      <c r="U148" s="4"/>
      <c r="V148" s="4"/>
      <c r="W148" s="4"/>
      <c r="X148" s="4"/>
      <c r="Y148" s="4"/>
      <c r="Z148" s="4"/>
    </row>
    <row r="149" spans="1:26" ht="25.5" customHeight="1" x14ac:dyDescent="0.25">
      <c r="A149" s="109">
        <v>6</v>
      </c>
      <c r="B149" s="397" t="s">
        <v>314</v>
      </c>
      <c r="C149" s="106" t="s">
        <v>319</v>
      </c>
      <c r="D149" s="106" t="str">
        <f t="shared" si="55"/>
        <v/>
      </c>
      <c r="E149" s="398" t="str">
        <f t="shared" si="56"/>
        <v/>
      </c>
      <c r="F149" s="398" t="str">
        <f>IF(K149&lt;&gt;"rumus",(IF(OR(AND(L149="sks&gt;10",L148="sks&lt;=10",IFERROR(SUMPRODUCT($I$143:I148,$J$143:J148)&lt;10,FALSE)),AND(L149="sks&gt;10",L148="")),((IF('LAMPIRAN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Besar"),0.5,"")))),((IF(OR(AND(L149="sks&gt;10",L148="sks&gt;10"),AND(L149="sks&gt;10",L148="sks&lt;=10")),IF('LAMPIRAN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49" s="398" t="str">
        <f>IF(K149&lt;&gt;"rumus",(IF(OR(AND(L149="sks&gt;10",L148="sks&lt;=10",IFERROR(SUMPRODUCT($I$143:I148,$J$143:J148)&lt;10,FALSE)),AND(L149="sks&gt;10",L148="")),(((10-SUMPRODUCT($I$143:I148,$J$143:J148))&amp;" x "&amp;1&amp;" x "&amp;IF('LAMPIRAN I DONE'!$F$21="Tenaga Pengajar",0.5,IF(OR('LAMPIRAN I DONE'!$F$21="Asisten Ahli",'LAMPIRAN I DONE'!$F$21="Lektor",'LAMPIRAN I DONE'!$F$21="Lektor Kepala",'LAMPIRAN I DONE'!$F$21="Guru Besar"),1,""))&amp;" = "&amp;((10-SUMPRODUCT($I$143:I148,$J$143:J148))*IF('LAMPIRAN I DONE'!$F$21="Tenaga Pengajar",0.5,IF(OR('LAMPIRAN I DONE'!$F$21="Asisten Ahli",'LAMPIRAN I DONE'!$F$21="Lektor",'LAMPIRAN I DONE'!$F$21="Lektor Kepala",'LAMPIRAN I DONE'!$F$21="Guru Besar"),1,""))))&amp;"
"&amp;(((I149*J149)-(10-SUMPRODUCT($I$143:I148,$J$143:J148)))&amp;" x "&amp;1&amp;" x "&amp;IF('LAMPIRAN I DONE'!$F$21="Tenaga Pengajar",0.25,IF(OR('LAMPIRAN I DONE'!$F$21="Asisten Ahli",'LAMPIRAN I DONE'!$F$21="Lektor",'LAMPIRAN I DONE'!$F$21="Lektor Kepala",'LAMPIRAN I DONE'!$F$21="Guru Besar"),0.5,""))&amp;" = "&amp;(((I149*J149)-(10-SUMPRODUCT($I$143:I148,$J$143:J148)))*IF('LAMPIRAN I DONE'!$F$21="Tenaga Pengajar",0.25,IF(OR('LAMPIRAN I DONE'!$F$21="Asisten Ahli",'LAMPIRAN I DONE'!$F$21="Lektor",'LAMPIRAN I DONE'!$F$21="Lektor Kepala",'LAMPIRAN I DONE'!$F$21="Guru Besar"),0.5,""))))),(I149&amp;" x "&amp;J149&amp;" x "&amp;(IF(OR(AND(L149="sks&gt;10",L148="sks&gt;10"),AND(L149="sks&gt;10",L148="sks&lt;=10")),IF('LAMPIRAN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"&amp;K149))),"rumus")</f>
        <v>rumus</v>
      </c>
      <c r="H149" s="106" t="s">
        <v>315</v>
      </c>
      <c r="I149" s="409"/>
      <c r="J149" s="409"/>
      <c r="K149" s="401" t="str">
        <f>IF(AND(I149&lt;&gt;"",J149&lt;&gt;""),(IF(OR(AND(L149="sks&gt;10",L148="sks&lt;=10",IFERROR(SUMPRODUCT($I$143:I148,$J$143:J148)&lt;10,FALSE)),AND(L149="sks&gt;10",L148="")),(((10-SUMPRODUCT($I$143:I148,$J$143:J148))*IF('LAMPIRAN I DONE'!$F$21="Tenaga Pengajar",0.5,IF(OR('LAMPIRAN I DONE'!$F$21="Asisten Ahli",'LAMPIRAN I DONE'!$F$21="Lektor",'LAMPIRAN I DONE'!$F$21="Lektor Kepala",'LAMPIRAN I DONE'!$F$21="Guru Besar"),1,"")))+(((I149*J149)-(10-SUMPRODUCT($I$143:I148,$J$143:J148)))*IF('LAMPIRAN I DONE'!$F$21="Tenaga Pengajar",0.25,IF(OR('LAMPIRAN I DONE'!$F$21="Asisten Ahli",'LAMPIRAN I DONE'!$F$21="Lektor",'LAMPIRAN I DONE'!$F$21="Lektor Kepala",'LAMPIRAN I DONE'!$F$21="Guru Besar"),0.5,"")))),IF(OR(AND(L149="sks&gt;10",L148="sks&gt;10"),AND(L149="sks&gt;10",L148="sks&lt;=10")),I149*J149*IF('LAMPIRAN I DONE'!$F$21="Tenaga Pengajar",0.25,IF(OR('LAMPIRAN I DONE'!$F$21="Asisten Ahli",'LAMPIRAN I DONE'!$F$21="Lektor",'LAMPIRAN I DONE'!$F$21="Lektor Kepala",'LAMPIRAN I DONE'!$F$21="Guru Besar"),0.5,"")),I149*J149*IF('LAMPIRAN I DONE'!$F$21="Tenaga Pengajar",0.5,IF(OR('LAMPIRAN I DONE'!$F$21="Asisten Ahli",'LAMPIRAN I DONE'!$F$21="Lektor",'LAMPIRAN I DONE'!$F$21="Lektor Kepala",'LAMPIRAN I DONE'!$F$21="Guru Besar"),1,""))))),"rumus")</f>
        <v>rumus</v>
      </c>
      <c r="L149" s="401" t="str">
        <f t="shared" si="57"/>
        <v>rumus</v>
      </c>
      <c r="M149" s="4"/>
      <c r="N149" s="4"/>
      <c r="O149" s="4"/>
      <c r="P149" s="4"/>
      <c r="Q149" s="4"/>
      <c r="R149" s="4"/>
      <c r="S149" s="4"/>
      <c r="T149" s="4"/>
      <c r="U149" s="4"/>
      <c r="V149" s="4"/>
      <c r="W149" s="4"/>
      <c r="X149" s="4"/>
      <c r="Y149" s="4"/>
      <c r="Z149" s="4"/>
    </row>
    <row r="150" spans="1:26" ht="15" customHeight="1" x14ac:dyDescent="0.25">
      <c r="A150" s="109"/>
      <c r="B150" s="406" t="str">
        <f>"b. Semester Genap "&amp;IF(C151&lt;&gt;"",C151,"")&amp;" :"</f>
        <v>b. Semester Genap 2015/2016 :</v>
      </c>
      <c r="C150" s="410"/>
      <c r="D150" s="410"/>
      <c r="E150" s="410"/>
      <c r="F150" s="410"/>
      <c r="G150" s="410"/>
      <c r="H150" s="411"/>
      <c r="I150" s="110"/>
      <c r="J150" s="110"/>
      <c r="K150" s="112"/>
      <c r="L150" s="112"/>
      <c r="M150" s="111">
        <f>IF((AND(N150="Max 5,5",SUM(K144:K149)&lt;=5.5)),SUM(K144:K149),IF((AND(N150="Max 5,5",SUM(K144:K149)&gt;5.5)),5.5,IF((AND(N150="Max 11",SUM(K144:K149)&lt;=11)),SUM(K144:K149),IF((AND(N150="Max 11",SUM(K144:K149)&gt;11)),11,""))))</f>
        <v>8</v>
      </c>
      <c r="N150" s="103" t="str">
        <f>IF('LAMPIRAN I DONE'!$F$21="Tenaga Pengajar","Max 5,5",IF(OR('LAMPIRAN I DONE'!$F$21="Asisten Ahli",'LAMPIRAN I DONE'!$F$21="Lektor",'LAMPIRAN I DONE'!$F$21="Lektor Kepala",'LAMPIRAN I DONE'!$F$21="Guru Besar"),"Max 11",""))</f>
        <v>Max 11</v>
      </c>
      <c r="O150" s="4"/>
      <c r="P150" s="4"/>
      <c r="Q150" s="4"/>
      <c r="R150" s="4"/>
      <c r="S150" s="4"/>
      <c r="T150" s="4"/>
      <c r="U150" s="4"/>
      <c r="V150" s="4"/>
      <c r="W150" s="4"/>
      <c r="X150" s="4"/>
      <c r="Y150" s="4"/>
      <c r="Z150" s="4"/>
    </row>
    <row r="151" spans="1:26" ht="25.5" customHeight="1" x14ac:dyDescent="0.25">
      <c r="A151" s="109">
        <v>1</v>
      </c>
      <c r="B151" s="570" t="s">
        <v>357</v>
      </c>
      <c r="C151" s="106" t="s">
        <v>321</v>
      </c>
      <c r="D151" s="106" t="str">
        <f t="shared" ref="D151:D156" si="58">IF(G151&lt;&gt;"rumus","SKS","")</f>
        <v>SKS</v>
      </c>
      <c r="E151" s="398" t="str">
        <f t="shared" ref="E151:E156" si="59">IF(K151&lt;&gt;"rumus",(IF(OR(AND(L151="sks&gt;10",L150="sks&lt;=10",IFERROR(SUMPRODUCT($I$150:I150,$J$150:J150)&lt;10,FALSE)),AND(L151="sks&gt;10",L150="")),(((10-SUMPRODUCT($I$150:I150,$J$150:J150))&amp;" x "&amp;1)&amp;"
"&amp;(((I151*J151)-(10-SUMPRODUCT($I$150:I150,$J$150:J150)))&amp;" x "&amp;1)),(I151&amp;" x "&amp;J151))),"")</f>
        <v>4 x 2</v>
      </c>
      <c r="F151" s="398">
        <f>IF(K151&lt;&gt;"rumus",(IF(OR(AND(L151="sks&gt;10",L150="sks&lt;=10",IFERROR(SUMPRODUCT($I$150:I150,$J$150:J150)&lt;10,FALSE)),AND(L151="sks&gt;10",L150="")),((IF('LAMPIRAN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Besar"),0.5,"")))),((IF(OR(AND(L151="sks&gt;10",L150="sks&gt;10"),AND(L151="sks&gt;10",L150="sks&lt;=10")),IF('LAMPIRAN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51" s="398" t="str">
        <f>IF(K151&lt;&gt;"rumus",(IF(OR(AND(L151="sks&gt;10",L150="sks&lt;=10",IFERROR(SUMPRODUCT($I$150:I150,$J$150:J150)&lt;10,FALSE)),AND(L151="sks&gt;10",L150="")),(((10-SUMPRODUCT($I$150:I150,$J$150:J150))&amp;" x "&amp;1&amp;" x "&amp;IF('LAMPIRAN I DONE'!$F$21="Tenaga Pengajar",0.5,IF(OR('LAMPIRAN I DONE'!$F$21="Asisten Ahli",'LAMPIRAN I DONE'!$F$21="Lektor",'LAMPIRAN I DONE'!$F$21="Lektor Kepala",'LAMPIRAN I DONE'!$F$21="Guru Besar"),1,""))&amp;" = "&amp;((10-SUMPRODUCT($I$150:I150,$J$150:J150))*IF('LAMPIRAN I DONE'!$F$21="Tenaga Pengajar",0.5,IF(OR('LAMPIRAN I DONE'!$F$21="Asisten Ahli",'LAMPIRAN I DONE'!$F$21="Lektor",'LAMPIRAN I DONE'!$F$21="Lektor Kepala",'LAMPIRAN I DONE'!$F$21="Guru Besar"),1,""))))&amp;"
"&amp;(((I151*J151)-(10-SUMPRODUCT($I$150:I150,$J$150:J150)))&amp;" x "&amp;1&amp;" x "&amp;IF('LAMPIRAN I DONE'!$F$21="Tenaga Pengajar",0.25,IF(OR('LAMPIRAN I DONE'!$F$21="Asisten Ahli",'LAMPIRAN I DONE'!$F$21="Lektor",'LAMPIRAN I DONE'!$F$21="Lektor Kepala",'LAMPIRAN I DONE'!$F$21="Guru Besar"),0.5,""))&amp;" = "&amp;(((I151*J151)-(10-SUMPRODUCT($I$150:I150,$J$150:J150)))*IF('LAMPIRAN I DONE'!$F$21="Tenaga Pengajar",0.25,IF(OR('LAMPIRAN I DONE'!$F$21="Asisten Ahli",'LAMPIRAN I DONE'!$F$21="Lektor",'LAMPIRAN I DONE'!$F$21="Lektor Kepala",'LAMPIRAN I DONE'!$F$21="Guru Besar"),0.5,""))))),(I151&amp;" x "&amp;J151&amp;" x "&amp;(IF(OR(AND(L151="sks&gt;10",L150="sks&gt;10"),AND(L151="sks&gt;10",L150="sks&lt;=10")),IF('LAMPIRAN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"&amp;K151))),"rumus")</f>
        <v>4 x 2 x 1 = 8</v>
      </c>
      <c r="H151" s="106" t="s">
        <v>361</v>
      </c>
      <c r="I151" s="409">
        <v>4</v>
      </c>
      <c r="J151" s="409">
        <v>2</v>
      </c>
      <c r="K151" s="401">
        <f>IF(AND(I151&lt;&gt;"",J151&lt;&gt;""),(IF(OR(AND(L151="sks&gt;10",L150="sks&lt;=10",IFERROR(SUMPRODUCT($I$150:I150,$J$150:J150)&lt;10,FALSE)),AND(L151="sks&gt;10",L150="")),(((10-SUMPRODUCT($I$150:I150,$J$150:J150))*IF('LAMPIRAN I DONE'!$F$21="Tenaga Pengajar",0.5,IF(OR('LAMPIRAN I DONE'!$F$21="Asisten Ahli",'LAMPIRAN I DONE'!$F$21="Lektor",'LAMPIRAN I DONE'!$F$21="Lektor Kepala",'LAMPIRAN I DONE'!$F$21="Guru Besar"),1,"")))+(((I151*J151)-(10-SUMPRODUCT($I$150:I150,$J$150:J150)))*IF('LAMPIRAN I DONE'!$F$21="Tenaga Pengajar",0.25,IF(OR('LAMPIRAN I DONE'!$F$21="Asisten Ahli",'LAMPIRAN I DONE'!$F$21="Lektor",'LAMPIRAN I DONE'!$F$21="Lektor Kepala",'LAMPIRAN I DONE'!$F$21="Guru Besar"),0.5,"")))),IF(OR(AND(L151="sks&gt;10",L150="sks&gt;10"),AND(L151="sks&gt;10",L150="sks&lt;=10")),I151*J151*IF('LAMPIRAN I DONE'!$F$21="Tenaga Pengajar",0.25,IF(OR('LAMPIRAN I DONE'!$F$21="Asisten Ahli",'LAMPIRAN I DONE'!$F$21="Lektor",'LAMPIRAN I DONE'!$F$21="Lektor Kepala",'LAMPIRAN I DONE'!$F$21="Guru Besar"),0.5,"")),I151*J151*IF('LAMPIRAN I DONE'!$F$21="Tenaga Pengajar",0.5,IF(OR('LAMPIRAN I DONE'!$F$21="Asisten Ahli",'LAMPIRAN I DONE'!$F$21="Lektor",'LAMPIRAN I DONE'!$F$21="Lektor Kepala",'LAMPIRAN I DONE'!$F$21="Guru Besar"),1,""))))),"rumus")</f>
        <v>8</v>
      </c>
      <c r="L151" s="401" t="str">
        <f t="shared" ref="L151:L156" si="60">IF(AND(I151&lt;&gt;"",J151&lt;&gt;""),(IF(SUMPRODUCT($I$151:I151,$J$151:J151)&lt;=10,"SKS&lt;=10",IF(SUMPRODUCT($I$151:I151,$J$151:J151)&gt;10,"SKS&gt;10",""))),"rumus")</f>
        <v>SKS&lt;=10</v>
      </c>
      <c r="M151" s="4"/>
      <c r="N151" s="4"/>
      <c r="O151" s="4"/>
      <c r="P151" s="4"/>
      <c r="Q151" s="4"/>
      <c r="R151" s="4"/>
      <c r="S151" s="4"/>
      <c r="T151" s="4"/>
      <c r="U151" s="4"/>
      <c r="V151" s="4"/>
      <c r="W151" s="4"/>
      <c r="X151" s="4"/>
      <c r="Y151" s="4"/>
      <c r="Z151" s="4"/>
    </row>
    <row r="152" spans="1:26" ht="25.5" customHeight="1" x14ac:dyDescent="0.25">
      <c r="A152" s="109">
        <v>2</v>
      </c>
      <c r="B152" s="397" t="s">
        <v>314</v>
      </c>
      <c r="C152" s="106" t="s">
        <v>321</v>
      </c>
      <c r="D152" s="106" t="str">
        <f t="shared" si="58"/>
        <v/>
      </c>
      <c r="E152" s="398" t="str">
        <f t="shared" si="59"/>
        <v/>
      </c>
      <c r="F152" s="398" t="str">
        <f>IF(K152&lt;&gt;"rumus",(IF(OR(AND(L152="sks&gt;10",L151="sks&lt;=10",IFERROR(SUMPRODUCT($I$150:I151,$J$150:J151)&lt;10,FALSE)),AND(L152="sks&gt;10",L151="")),((IF('LAMPIRAN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Besar"),0.5,"")))),((IF(OR(AND(L152="sks&gt;10",L151="sks&gt;10"),AND(L152="sks&gt;10",L151="sks&lt;=10")),IF('LAMPIRAN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52" s="398" t="str">
        <f>IF(K152&lt;&gt;"rumus",(IF(OR(AND(L152="sks&gt;10",L151="sks&lt;=10",IFERROR(SUMPRODUCT($I$150:I151,$J$150:J151)&lt;10,FALSE)),AND(L152="sks&gt;10",L151="")),(((10-SUMPRODUCT($I$150:I151,$J$150:J151))&amp;" x "&amp;1&amp;" x "&amp;IF('LAMPIRAN I DONE'!$F$21="Tenaga Pengajar",0.5,IF(OR('LAMPIRAN I DONE'!$F$21="Asisten Ahli",'LAMPIRAN I DONE'!$F$21="Lektor",'LAMPIRAN I DONE'!$F$21="Lektor Kepala",'LAMPIRAN I DONE'!$F$21="Guru Besar"),1,""))&amp;" = "&amp;((10-SUMPRODUCT($I$150:I151,$J$150:J151))*IF('LAMPIRAN I DONE'!$F$21="Tenaga Pengajar",0.5,IF(OR('LAMPIRAN I DONE'!$F$21="Asisten Ahli",'LAMPIRAN I DONE'!$F$21="Lektor",'LAMPIRAN I DONE'!$F$21="Lektor Kepala",'LAMPIRAN I DONE'!$F$21="Guru Besar"),1,""))))&amp;"
"&amp;(((I152*J152)-(10-SUMPRODUCT($I$150:I151,$J$150:J151)))&amp;" x "&amp;1&amp;" x "&amp;IF('LAMPIRAN I DONE'!$F$21="Tenaga Pengajar",0.25,IF(OR('LAMPIRAN I DONE'!$F$21="Asisten Ahli",'LAMPIRAN I DONE'!$F$21="Lektor",'LAMPIRAN I DONE'!$F$21="Lektor Kepala",'LAMPIRAN I DONE'!$F$21="Guru Besar"),0.5,""))&amp;" = "&amp;(((I152*J152)-(10-SUMPRODUCT($I$150:I151,$J$150:J151)))*IF('LAMPIRAN I DONE'!$F$21="Tenaga Pengajar",0.25,IF(OR('LAMPIRAN I DONE'!$F$21="Asisten Ahli",'LAMPIRAN I DONE'!$F$21="Lektor",'LAMPIRAN I DONE'!$F$21="Lektor Kepala",'LAMPIRAN I DONE'!$F$21="Guru Besar"),0.5,""))))),(I152&amp;" x "&amp;J152&amp;" x "&amp;(IF(OR(AND(L152="sks&gt;10",L151="sks&gt;10"),AND(L152="sks&gt;10",L151="sks&lt;=10")),IF('LAMPIRAN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"&amp;K152))),"rumus")</f>
        <v>rumus</v>
      </c>
      <c r="H152" s="106" t="s">
        <v>315</v>
      </c>
      <c r="I152" s="409"/>
      <c r="J152" s="409"/>
      <c r="K152" s="401" t="str">
        <f>IF(AND(I152&lt;&gt;"",J152&lt;&gt;""),(IF(OR(AND(L152="sks&gt;10",L151="sks&lt;=10",IFERROR(SUMPRODUCT($I$150:I151,$J$150:J151)&lt;10,FALSE)),AND(L152="sks&gt;10",L151="")),(((10-SUMPRODUCT($I$150:I151,$J$150:J151))*IF('LAMPIRAN I DONE'!$F$21="Tenaga Pengajar",0.5,IF(OR('LAMPIRAN I DONE'!$F$21="Asisten Ahli",'LAMPIRAN I DONE'!$F$21="Lektor",'LAMPIRAN I DONE'!$F$21="Lektor Kepala",'LAMPIRAN I DONE'!$F$21="Guru Besar"),1,"")))+(((I152*J152)-(10-SUMPRODUCT($I$150:I151,$J$150:J151)))*IF('LAMPIRAN I DONE'!$F$21="Tenaga Pengajar",0.25,IF(OR('LAMPIRAN I DONE'!$F$21="Asisten Ahli",'LAMPIRAN I DONE'!$F$21="Lektor",'LAMPIRAN I DONE'!$F$21="Lektor Kepala",'LAMPIRAN I DONE'!$F$21="Guru Besar"),0.5,"")))),IF(OR(AND(L152="sks&gt;10",L151="sks&gt;10"),AND(L152="sks&gt;10",L151="sks&lt;=10")),I152*J152*IF('LAMPIRAN I DONE'!$F$21="Tenaga Pengajar",0.25,IF(OR('LAMPIRAN I DONE'!$F$21="Asisten Ahli",'LAMPIRAN I DONE'!$F$21="Lektor",'LAMPIRAN I DONE'!$F$21="Lektor Kepala",'LAMPIRAN I DONE'!$F$21="Guru Besar"),0.5,"")),I152*J152*IF('LAMPIRAN I DONE'!$F$21="Tenaga Pengajar",0.5,IF(OR('LAMPIRAN I DONE'!$F$21="Asisten Ahli",'LAMPIRAN I DONE'!$F$21="Lektor",'LAMPIRAN I DONE'!$F$21="Lektor Kepala",'LAMPIRAN I DONE'!$F$21="Guru Besar"),1,""))))),"rumus")</f>
        <v>rumus</v>
      </c>
      <c r="L152" s="401" t="str">
        <f t="shared" si="60"/>
        <v>rumus</v>
      </c>
      <c r="M152" s="4"/>
      <c r="N152" s="4"/>
      <c r="O152" s="4"/>
      <c r="P152" s="4"/>
      <c r="Q152" s="4"/>
      <c r="R152" s="4"/>
      <c r="S152" s="4"/>
      <c r="T152" s="4"/>
      <c r="U152" s="4"/>
      <c r="V152" s="4"/>
      <c r="W152" s="4"/>
      <c r="X152" s="4"/>
      <c r="Y152" s="4"/>
      <c r="Z152" s="4"/>
    </row>
    <row r="153" spans="1:26" ht="25.5" customHeight="1" x14ac:dyDescent="0.25">
      <c r="A153" s="109">
        <v>3</v>
      </c>
      <c r="B153" s="397" t="s">
        <v>314</v>
      </c>
      <c r="C153" s="106" t="s">
        <v>321</v>
      </c>
      <c r="D153" s="106" t="str">
        <f t="shared" si="58"/>
        <v/>
      </c>
      <c r="E153" s="398" t="str">
        <f t="shared" si="59"/>
        <v/>
      </c>
      <c r="F153" s="398" t="str">
        <f>IF(K153&lt;&gt;"rumus",(IF(OR(AND(L153="sks&gt;10",L152="sks&lt;=10",IFERROR(SUMPRODUCT($I$150:I152,$J$150:J152)&lt;10,FALSE)),AND(L153="sks&gt;10",L152="")),((IF('LAMPIRAN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Besar"),0.5,"")))),((IF(OR(AND(L153="sks&gt;10",L152="sks&gt;10"),AND(L153="sks&gt;10",L152="sks&lt;=10")),IF('LAMPIRAN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53" s="398" t="str">
        <f>IF(K153&lt;&gt;"rumus",(IF(OR(AND(L153="sks&gt;10",L152="sks&lt;=10",IFERROR(SUMPRODUCT($I$150:I152,$J$150:J152)&lt;10,FALSE)),AND(L153="sks&gt;10",L152="")),(((10-SUMPRODUCT($I$150:I152,$J$150:J152))&amp;" x "&amp;1&amp;" x "&amp;IF('LAMPIRAN I DONE'!$F$21="Tenaga Pengajar",0.5,IF(OR('LAMPIRAN I DONE'!$F$21="Asisten Ahli",'LAMPIRAN I DONE'!$F$21="Lektor",'LAMPIRAN I DONE'!$F$21="Lektor Kepala",'LAMPIRAN I DONE'!$F$21="Guru Besar"),1,""))&amp;" = "&amp;((10-SUMPRODUCT($I$150:I152,$J$150:J152))*IF('LAMPIRAN I DONE'!$F$21="Tenaga Pengajar",0.5,IF(OR('LAMPIRAN I DONE'!$F$21="Asisten Ahli",'LAMPIRAN I DONE'!$F$21="Lektor",'LAMPIRAN I DONE'!$F$21="Lektor Kepala",'LAMPIRAN I DONE'!$F$21="Guru Besar"),1,""))))&amp;"
"&amp;(((I153*J153)-(10-SUMPRODUCT($I$150:I152,$J$150:J152)))&amp;" x "&amp;1&amp;" x "&amp;IF('LAMPIRAN I DONE'!$F$21="Tenaga Pengajar",0.25,IF(OR('LAMPIRAN I DONE'!$F$21="Asisten Ahli",'LAMPIRAN I DONE'!$F$21="Lektor",'LAMPIRAN I DONE'!$F$21="Lektor Kepala",'LAMPIRAN I DONE'!$F$21="Guru Besar"),0.5,""))&amp;" = "&amp;(((I153*J153)-(10-SUMPRODUCT($I$150:I152,$J$150:J152)))*IF('LAMPIRAN I DONE'!$F$21="Tenaga Pengajar",0.25,IF(OR('LAMPIRAN I DONE'!$F$21="Asisten Ahli",'LAMPIRAN I DONE'!$F$21="Lektor",'LAMPIRAN I DONE'!$F$21="Lektor Kepala",'LAMPIRAN I DONE'!$F$21="Guru Besar"),0.5,""))))),(I153&amp;" x "&amp;J153&amp;" x "&amp;(IF(OR(AND(L153="sks&gt;10",L152="sks&gt;10"),AND(L153="sks&gt;10",L152="sks&lt;=10")),IF('LAMPIRAN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"&amp;K153))),"rumus")</f>
        <v>rumus</v>
      </c>
      <c r="H153" s="106" t="s">
        <v>315</v>
      </c>
      <c r="I153" s="409"/>
      <c r="J153" s="409"/>
      <c r="K153" s="401" t="str">
        <f>IF(AND(I153&lt;&gt;"",J153&lt;&gt;""),(IF(OR(AND(L153="sks&gt;10",L152="sks&lt;=10",IFERROR(SUMPRODUCT($I$150:I152,$J$150:J152)&lt;10,FALSE)),AND(L153="sks&gt;10",L152="")),(((10-SUMPRODUCT($I$150:I152,$J$150:J152))*IF('LAMPIRAN I DONE'!$F$21="Tenaga Pengajar",0.5,IF(OR('LAMPIRAN I DONE'!$F$21="Asisten Ahli",'LAMPIRAN I DONE'!$F$21="Lektor",'LAMPIRAN I DONE'!$F$21="Lektor Kepala",'LAMPIRAN I DONE'!$F$21="Guru Besar"),1,"")))+(((I153*J153)-(10-SUMPRODUCT($I$150:I152,$J$150:J152)))*IF('LAMPIRAN I DONE'!$F$21="Tenaga Pengajar",0.25,IF(OR('LAMPIRAN I DONE'!$F$21="Asisten Ahli",'LAMPIRAN I DONE'!$F$21="Lektor",'LAMPIRAN I DONE'!$F$21="Lektor Kepala",'LAMPIRAN I DONE'!$F$21="Guru Besar"),0.5,"")))),IF(OR(AND(L153="sks&gt;10",L152="sks&gt;10"),AND(L153="sks&gt;10",L152="sks&lt;=10")),I153*J153*IF('LAMPIRAN I DONE'!$F$21="Tenaga Pengajar",0.25,IF(OR('LAMPIRAN I DONE'!$F$21="Asisten Ahli",'LAMPIRAN I DONE'!$F$21="Lektor",'LAMPIRAN I DONE'!$F$21="Lektor Kepala",'LAMPIRAN I DONE'!$F$21="Guru Besar"),0.5,"")),I153*J153*IF('LAMPIRAN I DONE'!$F$21="Tenaga Pengajar",0.5,IF(OR('LAMPIRAN I DONE'!$F$21="Asisten Ahli",'LAMPIRAN I DONE'!$F$21="Lektor",'LAMPIRAN I DONE'!$F$21="Lektor Kepala",'LAMPIRAN I DONE'!$F$21="Guru Besar"),1,""))))),"rumus")</f>
        <v>rumus</v>
      </c>
      <c r="L153" s="401" t="str">
        <f t="shared" si="60"/>
        <v>rumus</v>
      </c>
      <c r="M153" s="4"/>
      <c r="N153" s="4"/>
      <c r="O153" s="4"/>
      <c r="P153" s="4"/>
      <c r="Q153" s="4"/>
      <c r="R153" s="4"/>
      <c r="S153" s="4"/>
      <c r="T153" s="4"/>
      <c r="U153" s="4"/>
      <c r="V153" s="4"/>
      <c r="W153" s="4"/>
      <c r="X153" s="4"/>
      <c r="Y153" s="4"/>
      <c r="Z153" s="4"/>
    </row>
    <row r="154" spans="1:26" ht="25.5" customHeight="1" x14ac:dyDescent="0.25">
      <c r="A154" s="109">
        <v>4</v>
      </c>
      <c r="B154" s="397" t="s">
        <v>314</v>
      </c>
      <c r="C154" s="106" t="s">
        <v>321</v>
      </c>
      <c r="D154" s="106" t="str">
        <f t="shared" si="58"/>
        <v/>
      </c>
      <c r="E154" s="398" t="str">
        <f t="shared" si="59"/>
        <v/>
      </c>
      <c r="F154" s="398" t="str">
        <f>IF(K154&lt;&gt;"rumus",(IF(OR(AND(L154="sks&gt;10",L153="sks&lt;=10",IFERROR(SUMPRODUCT($I$150:I153,$J$150:J153)&lt;10,FALSE)),AND(L154="sks&gt;10",L153="")),((IF('LAMPIRAN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Besar"),0.5,"")))),((IF(OR(AND(L154="sks&gt;10",L153="sks&gt;10"),AND(L154="sks&gt;10",L153="sks&lt;=10")),IF('LAMPIRAN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54" s="398" t="str">
        <f>IF(K154&lt;&gt;"rumus",(IF(OR(AND(L154="sks&gt;10",L153="sks&lt;=10",IFERROR(SUMPRODUCT($I$150:I153,$J$150:J153)&lt;10,FALSE)),AND(L154="sks&gt;10",L153="")),(((10-SUMPRODUCT($I$150:I153,$J$150:J153))&amp;" x "&amp;1&amp;" x "&amp;IF('LAMPIRAN I DONE'!$F$21="Tenaga Pengajar",0.5,IF(OR('LAMPIRAN I DONE'!$F$21="Asisten Ahli",'LAMPIRAN I DONE'!$F$21="Lektor",'LAMPIRAN I DONE'!$F$21="Lektor Kepala",'LAMPIRAN I DONE'!$F$21="Guru Besar"),1,""))&amp;" = "&amp;((10-SUMPRODUCT($I$150:I153,$J$150:J153))*IF('LAMPIRAN I DONE'!$F$21="Tenaga Pengajar",0.5,IF(OR('LAMPIRAN I DONE'!$F$21="Asisten Ahli",'LAMPIRAN I DONE'!$F$21="Lektor",'LAMPIRAN I DONE'!$F$21="Lektor Kepala",'LAMPIRAN I DONE'!$F$21="Guru Besar"),1,""))))&amp;"
"&amp;(((I154*J154)-(10-SUMPRODUCT($I$150:I153,$J$150:J153)))&amp;" x "&amp;1&amp;" x "&amp;IF('LAMPIRAN I DONE'!$F$21="Tenaga Pengajar",0.25,IF(OR('LAMPIRAN I DONE'!$F$21="Asisten Ahli",'LAMPIRAN I DONE'!$F$21="Lektor",'LAMPIRAN I DONE'!$F$21="Lektor Kepala",'LAMPIRAN I DONE'!$F$21="Guru Besar"),0.5,""))&amp;" = "&amp;(((I154*J154)-(10-SUMPRODUCT($I$150:I153,$J$150:J153)))*IF('LAMPIRAN I DONE'!$F$21="Tenaga Pengajar",0.25,IF(OR('LAMPIRAN I DONE'!$F$21="Asisten Ahli",'LAMPIRAN I DONE'!$F$21="Lektor",'LAMPIRAN I DONE'!$F$21="Lektor Kepala",'LAMPIRAN I DONE'!$F$21="Guru Besar"),0.5,""))))),(I154&amp;" x "&amp;J154&amp;" x "&amp;(IF(OR(AND(L154="sks&gt;10",L153="sks&gt;10"),AND(L154="sks&gt;10",L153="sks&lt;=10")),IF('LAMPIRAN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"&amp;K154))),"rumus")</f>
        <v>rumus</v>
      </c>
      <c r="H154" s="106" t="s">
        <v>315</v>
      </c>
      <c r="I154" s="409"/>
      <c r="J154" s="409"/>
      <c r="K154" s="401" t="str">
        <f>IF(AND(I154&lt;&gt;"",J154&lt;&gt;""),(IF(OR(AND(L154="sks&gt;10",L153="sks&lt;=10",IFERROR(SUMPRODUCT($I$150:I153,$J$150:J153)&lt;10,FALSE)),AND(L154="sks&gt;10",L153="")),(((10-SUMPRODUCT($I$150:I153,$J$150:J153))*IF('LAMPIRAN I DONE'!$F$21="Tenaga Pengajar",0.5,IF(OR('LAMPIRAN I DONE'!$F$21="Asisten Ahli",'LAMPIRAN I DONE'!$F$21="Lektor",'LAMPIRAN I DONE'!$F$21="Lektor Kepala",'LAMPIRAN I DONE'!$F$21="Guru Besar"),1,"")))+(((I154*J154)-(10-SUMPRODUCT($I$150:I153,$J$150:J153)))*IF('LAMPIRAN I DONE'!$F$21="Tenaga Pengajar",0.25,IF(OR('LAMPIRAN I DONE'!$F$21="Asisten Ahli",'LAMPIRAN I DONE'!$F$21="Lektor",'LAMPIRAN I DONE'!$F$21="Lektor Kepala",'LAMPIRAN I DONE'!$F$21="Guru Besar"),0.5,"")))),IF(OR(AND(L154="sks&gt;10",L153="sks&gt;10"),AND(L154="sks&gt;10",L153="sks&lt;=10")),I154*J154*IF('LAMPIRAN I DONE'!$F$21="Tenaga Pengajar",0.25,IF(OR('LAMPIRAN I DONE'!$F$21="Asisten Ahli",'LAMPIRAN I DONE'!$F$21="Lektor",'LAMPIRAN I DONE'!$F$21="Lektor Kepala",'LAMPIRAN I DONE'!$F$21="Guru Besar"),0.5,"")),I154*J154*IF('LAMPIRAN I DONE'!$F$21="Tenaga Pengajar",0.5,IF(OR('LAMPIRAN I DONE'!$F$21="Asisten Ahli",'LAMPIRAN I DONE'!$F$21="Lektor",'LAMPIRAN I DONE'!$F$21="Lektor Kepala",'LAMPIRAN I DONE'!$F$21="Guru Besar"),1,""))))),"rumus")</f>
        <v>rumus</v>
      </c>
      <c r="L154" s="401" t="str">
        <f t="shared" si="60"/>
        <v>rumus</v>
      </c>
      <c r="M154" s="4"/>
      <c r="N154" s="4"/>
      <c r="O154" s="4"/>
      <c r="P154" s="4"/>
      <c r="Q154" s="4"/>
      <c r="R154" s="4"/>
      <c r="S154" s="4"/>
      <c r="T154" s="4"/>
      <c r="U154" s="4"/>
      <c r="V154" s="4"/>
      <c r="W154" s="4"/>
      <c r="X154" s="4"/>
      <c r="Y154" s="4"/>
      <c r="Z154" s="4"/>
    </row>
    <row r="155" spans="1:26" ht="25.5" customHeight="1" x14ac:dyDescent="0.25">
      <c r="A155" s="109">
        <v>5</v>
      </c>
      <c r="B155" s="397" t="s">
        <v>314</v>
      </c>
      <c r="C155" s="106" t="s">
        <v>321</v>
      </c>
      <c r="D155" s="106" t="str">
        <f t="shared" si="58"/>
        <v/>
      </c>
      <c r="E155" s="398" t="str">
        <f t="shared" si="59"/>
        <v/>
      </c>
      <c r="F155" s="398" t="str">
        <f>IF(K155&lt;&gt;"rumus",(IF(OR(AND(L155="sks&gt;10",L154="sks&lt;=10",IFERROR(SUMPRODUCT($I$150:I154,$J$150:J154)&lt;10,FALSE)),AND(L155="sks&gt;10",L154="")),((IF('LAMPIRAN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Besar"),0.5,"")))),((IF(OR(AND(L155="sks&gt;10",L154="sks&gt;10"),AND(L155="sks&gt;10",L154="sks&lt;=10")),IF('LAMPIRAN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55" s="398" t="str">
        <f>IF(K155&lt;&gt;"rumus",(IF(OR(AND(L155="sks&gt;10",L154="sks&lt;=10",IFERROR(SUMPRODUCT($I$150:I154,$J$150:J154)&lt;10,FALSE)),AND(L155="sks&gt;10",L154="")),(((10-SUMPRODUCT($I$150:I154,$J$150:J154))&amp;" x "&amp;1&amp;" x "&amp;IF('LAMPIRAN I DONE'!$F$21="Tenaga Pengajar",0.5,IF(OR('LAMPIRAN I DONE'!$F$21="Asisten Ahli",'LAMPIRAN I DONE'!$F$21="Lektor",'LAMPIRAN I DONE'!$F$21="Lektor Kepala",'LAMPIRAN I DONE'!$F$21="Guru Besar"),1,""))&amp;" = "&amp;((10-SUMPRODUCT($I$150:I154,$J$150:J154))*IF('LAMPIRAN I DONE'!$F$21="Tenaga Pengajar",0.5,IF(OR('LAMPIRAN I DONE'!$F$21="Asisten Ahli",'LAMPIRAN I DONE'!$F$21="Lektor",'LAMPIRAN I DONE'!$F$21="Lektor Kepala",'LAMPIRAN I DONE'!$F$21="Guru Besar"),1,""))))&amp;"
"&amp;(((I155*J155)-(10-SUMPRODUCT($I$150:I154,$J$150:J154)))&amp;" x "&amp;1&amp;" x "&amp;IF('LAMPIRAN I DONE'!$F$21="Tenaga Pengajar",0.25,IF(OR('LAMPIRAN I DONE'!$F$21="Asisten Ahli",'LAMPIRAN I DONE'!$F$21="Lektor",'LAMPIRAN I DONE'!$F$21="Lektor Kepala",'LAMPIRAN I DONE'!$F$21="Guru Besar"),0.5,""))&amp;" = "&amp;(((I155*J155)-(10-SUMPRODUCT($I$150:I154,$J$150:J154)))*IF('LAMPIRAN I DONE'!$F$21="Tenaga Pengajar",0.25,IF(OR('LAMPIRAN I DONE'!$F$21="Asisten Ahli",'LAMPIRAN I DONE'!$F$21="Lektor",'LAMPIRAN I DONE'!$F$21="Lektor Kepala",'LAMPIRAN I DONE'!$F$21="Guru Besar"),0.5,""))))),(I155&amp;" x "&amp;J155&amp;" x "&amp;(IF(OR(AND(L155="sks&gt;10",L154="sks&gt;10"),AND(L155="sks&gt;10",L154="sks&lt;=10")),IF('LAMPIRAN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"&amp;K155))),"rumus")</f>
        <v>rumus</v>
      </c>
      <c r="H155" s="106" t="s">
        <v>315</v>
      </c>
      <c r="I155" s="409"/>
      <c r="J155" s="409"/>
      <c r="K155" s="401" t="str">
        <f>IF(AND(I155&lt;&gt;"",J155&lt;&gt;""),(IF(OR(AND(L155="sks&gt;10",L154="sks&lt;=10",IFERROR(SUMPRODUCT($I$150:I154,$J$150:J154)&lt;10,FALSE)),AND(L155="sks&gt;10",L154="")),(((10-SUMPRODUCT($I$150:I154,$J$150:J154))*IF('LAMPIRAN I DONE'!$F$21="Tenaga Pengajar",0.5,IF(OR('LAMPIRAN I DONE'!$F$21="Asisten Ahli",'LAMPIRAN I DONE'!$F$21="Lektor",'LAMPIRAN I DONE'!$F$21="Lektor Kepala",'LAMPIRAN I DONE'!$F$21="Guru Besar"),1,"")))+(((I155*J155)-(10-SUMPRODUCT($I$150:I154,$J$150:J154)))*IF('LAMPIRAN I DONE'!$F$21="Tenaga Pengajar",0.25,IF(OR('LAMPIRAN I DONE'!$F$21="Asisten Ahli",'LAMPIRAN I DONE'!$F$21="Lektor",'LAMPIRAN I DONE'!$F$21="Lektor Kepala",'LAMPIRAN I DONE'!$F$21="Guru Besar"),0.5,"")))),IF(OR(AND(L155="sks&gt;10",L154="sks&gt;10"),AND(L155="sks&gt;10",L154="sks&lt;=10")),I155*J155*IF('LAMPIRAN I DONE'!$F$21="Tenaga Pengajar",0.25,IF(OR('LAMPIRAN I DONE'!$F$21="Asisten Ahli",'LAMPIRAN I DONE'!$F$21="Lektor",'LAMPIRAN I DONE'!$F$21="Lektor Kepala",'LAMPIRAN I DONE'!$F$21="Guru Besar"),0.5,"")),I155*J155*IF('LAMPIRAN I DONE'!$F$21="Tenaga Pengajar",0.5,IF(OR('LAMPIRAN I DONE'!$F$21="Asisten Ahli",'LAMPIRAN I DONE'!$F$21="Lektor",'LAMPIRAN I DONE'!$F$21="Lektor Kepala",'LAMPIRAN I DONE'!$F$21="Guru Besar"),1,""))))),"rumus")</f>
        <v>rumus</v>
      </c>
      <c r="L155" s="401" t="str">
        <f t="shared" si="60"/>
        <v>rumus</v>
      </c>
      <c r="M155" s="4"/>
      <c r="N155" s="4"/>
      <c r="O155" s="4"/>
      <c r="P155" s="4"/>
      <c r="Q155" s="4"/>
      <c r="R155" s="4"/>
      <c r="S155" s="4"/>
      <c r="T155" s="4"/>
      <c r="U155" s="4"/>
      <c r="V155" s="4"/>
      <c r="W155" s="4"/>
      <c r="X155" s="4"/>
      <c r="Y155" s="4"/>
      <c r="Z155" s="4"/>
    </row>
    <row r="156" spans="1:26" ht="25.5" customHeight="1" x14ac:dyDescent="0.25">
      <c r="A156" s="109">
        <v>6</v>
      </c>
      <c r="B156" s="397" t="s">
        <v>314</v>
      </c>
      <c r="C156" s="106" t="s">
        <v>321</v>
      </c>
      <c r="D156" s="106" t="str">
        <f t="shared" si="58"/>
        <v/>
      </c>
      <c r="E156" s="398" t="str">
        <f t="shared" si="59"/>
        <v/>
      </c>
      <c r="F156" s="398" t="str">
        <f>IF(K156&lt;&gt;"rumus",(IF(OR(AND(L156="sks&gt;10",L155="sks&lt;=10",IFERROR(SUMPRODUCT($I$150:I155,$J$150:J155)&lt;10,FALSE)),AND(L156="sks&gt;10",L155="")),((IF('LAMPIRAN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Besar"),0.5,"")))),((IF(OR(AND(L156="sks&gt;10",L155="sks&gt;10"),AND(L156="sks&gt;10",L155="sks&lt;=10")),IF('LAMPIRAN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56" s="398" t="str">
        <f>IF(K156&lt;&gt;"rumus",(IF(OR(AND(L156="sks&gt;10",L155="sks&lt;=10",IFERROR(SUMPRODUCT($I$150:I155,$J$150:J155)&lt;10,FALSE)),AND(L156="sks&gt;10",L155="")),(((10-SUMPRODUCT($I$150:I155,$J$150:J155))&amp;" x "&amp;1&amp;" x "&amp;IF('LAMPIRAN I DONE'!$F$21="Tenaga Pengajar",0.5,IF(OR('LAMPIRAN I DONE'!$F$21="Asisten Ahli",'LAMPIRAN I DONE'!$F$21="Lektor",'LAMPIRAN I DONE'!$F$21="Lektor Kepala",'LAMPIRAN I DONE'!$F$21="Guru Besar"),1,""))&amp;" = "&amp;((10-SUMPRODUCT($I$150:I155,$J$150:J155))*IF('LAMPIRAN I DONE'!$F$21="Tenaga Pengajar",0.5,IF(OR('LAMPIRAN I DONE'!$F$21="Asisten Ahli",'LAMPIRAN I DONE'!$F$21="Lektor",'LAMPIRAN I DONE'!$F$21="Lektor Kepala",'LAMPIRAN I DONE'!$F$21="Guru Besar"),1,""))))&amp;"
"&amp;(((I156*J156)-(10-SUMPRODUCT($I$150:I155,$J$150:J155)))&amp;" x "&amp;1&amp;" x "&amp;IF('LAMPIRAN I DONE'!$F$21="Tenaga Pengajar",0.25,IF(OR('LAMPIRAN I DONE'!$F$21="Asisten Ahli",'LAMPIRAN I DONE'!$F$21="Lektor",'LAMPIRAN I DONE'!$F$21="Lektor Kepala",'LAMPIRAN I DONE'!$F$21="Guru Besar"),0.5,""))&amp;" = "&amp;(((I156*J156)-(10-SUMPRODUCT($I$150:I155,$J$150:J155)))*IF('LAMPIRAN I DONE'!$F$21="Tenaga Pengajar",0.25,IF(OR('LAMPIRAN I DONE'!$F$21="Asisten Ahli",'LAMPIRAN I DONE'!$F$21="Lektor",'LAMPIRAN I DONE'!$F$21="Lektor Kepala",'LAMPIRAN I DONE'!$F$21="Guru Besar"),0.5,""))))),(I156&amp;" x "&amp;J156&amp;" x "&amp;(IF(OR(AND(L156="sks&gt;10",L155="sks&gt;10"),AND(L156="sks&gt;10",L155="sks&lt;=10")),IF('LAMPIRAN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"&amp;K156))),"rumus")</f>
        <v>rumus</v>
      </c>
      <c r="H156" s="106" t="s">
        <v>315</v>
      </c>
      <c r="I156" s="409"/>
      <c r="J156" s="409"/>
      <c r="K156" s="401" t="str">
        <f>IF(AND(I156&lt;&gt;"",J156&lt;&gt;""),(IF(OR(AND(L156="sks&gt;10",L155="sks&lt;=10",IFERROR(SUMPRODUCT($I$150:I155,$J$150:J155)&lt;10,FALSE)),AND(L156="sks&gt;10",L155="")),(((10-SUMPRODUCT($I$150:I155,$J$150:J155))*IF('LAMPIRAN I DONE'!$F$21="Tenaga Pengajar",0.5,IF(OR('LAMPIRAN I DONE'!$F$21="Asisten Ahli",'LAMPIRAN I DONE'!$F$21="Lektor",'LAMPIRAN I DONE'!$F$21="Lektor Kepala",'LAMPIRAN I DONE'!$F$21="Guru Besar"),1,"")))+(((I156*J156)-(10-SUMPRODUCT($I$150:I155,$J$150:J155)))*IF('LAMPIRAN I DONE'!$F$21="Tenaga Pengajar",0.25,IF(OR('LAMPIRAN I DONE'!$F$21="Asisten Ahli",'LAMPIRAN I DONE'!$F$21="Lektor",'LAMPIRAN I DONE'!$F$21="Lektor Kepala",'LAMPIRAN I DONE'!$F$21="Guru Besar"),0.5,"")))),IF(OR(AND(L156="sks&gt;10",L155="sks&gt;10"),AND(L156="sks&gt;10",L155="sks&lt;=10")),I156*J156*IF('LAMPIRAN I DONE'!$F$21="Tenaga Pengajar",0.25,IF(OR('LAMPIRAN I DONE'!$F$21="Asisten Ahli",'LAMPIRAN I DONE'!$F$21="Lektor",'LAMPIRAN I DONE'!$F$21="Lektor Kepala",'LAMPIRAN I DONE'!$F$21="Guru Besar"),0.5,"")),I156*J156*IF('LAMPIRAN I DONE'!$F$21="Tenaga Pengajar",0.5,IF(OR('LAMPIRAN I DONE'!$F$21="Asisten Ahli",'LAMPIRAN I DONE'!$F$21="Lektor",'LAMPIRAN I DONE'!$F$21="Lektor Kepala",'LAMPIRAN I DONE'!$F$21="Guru Besar"),1,""))))),"rumus")</f>
        <v>rumus</v>
      </c>
      <c r="L156" s="401" t="str">
        <f t="shared" si="60"/>
        <v>rumus</v>
      </c>
      <c r="M156" s="4"/>
      <c r="N156" s="4"/>
      <c r="O156" s="4"/>
      <c r="P156" s="4"/>
      <c r="Q156" s="4"/>
      <c r="R156" s="4"/>
      <c r="S156" s="4"/>
      <c r="T156" s="4"/>
      <c r="U156" s="4"/>
      <c r="V156" s="4"/>
      <c r="W156" s="4"/>
      <c r="X156" s="4"/>
      <c r="Y156" s="4"/>
      <c r="Z156" s="4"/>
    </row>
    <row r="157" spans="1:26" ht="15" customHeight="1" x14ac:dyDescent="0.25">
      <c r="A157" s="109"/>
      <c r="B157" s="406" t="str">
        <f>"b. Semester Genap "&amp;IF(C158&lt;&gt;"",C158,"")&amp;" :"</f>
        <v>b. Semester Genap 2016/2017 :</v>
      </c>
      <c r="C157" s="407"/>
      <c r="D157" s="407"/>
      <c r="E157" s="407"/>
      <c r="F157" s="407"/>
      <c r="G157" s="407"/>
      <c r="H157" s="408"/>
      <c r="I157" s="110"/>
      <c r="J157" s="110"/>
      <c r="K157" s="4"/>
      <c r="L157" s="4"/>
      <c r="M157" s="111">
        <f>IF((AND(N157="Max 5,5",SUM(K151:K156)&lt;=5.5)),SUM(K151:K156),IF((AND(N157="Max 5,5",SUM(K151:K156)&gt;5.5)),5.5,IF((AND(N157="Max 11",SUM(K151:K156)&lt;=11)),SUM(K151:K156),IF((AND(N157="Max 11",SUM(K151:K156)&gt;11)),11,""))))</f>
        <v>8</v>
      </c>
      <c r="N157" s="103" t="str">
        <f>IF('LAMPIRAN I DONE'!$F$21="Tenaga Pengajar","Max 5,5",IF(OR('LAMPIRAN I DONE'!$F$21="Asisten Ahli",'LAMPIRAN I DONE'!$F$21="Lektor",'LAMPIRAN I DONE'!$F$21="Lektor Kepala",'LAMPIRAN I DONE'!$F$21="Guru Besar"),"Max 11",""))</f>
        <v>Max 11</v>
      </c>
      <c r="O157" s="4"/>
      <c r="P157" s="4"/>
      <c r="Q157" s="4"/>
      <c r="R157" s="4"/>
      <c r="S157" s="4"/>
      <c r="T157" s="4"/>
      <c r="U157" s="4"/>
      <c r="V157" s="4"/>
      <c r="W157" s="4"/>
      <c r="X157" s="4"/>
      <c r="Y157" s="4"/>
      <c r="Z157" s="4"/>
    </row>
    <row r="158" spans="1:26" ht="25.5" customHeight="1" x14ac:dyDescent="0.25">
      <c r="A158" s="109">
        <v>1</v>
      </c>
      <c r="B158" s="570" t="s">
        <v>362</v>
      </c>
      <c r="C158" s="106" t="s">
        <v>324</v>
      </c>
      <c r="D158" s="106" t="str">
        <f t="shared" ref="D158:D163" si="61">IF(G158&lt;&gt;"rumus","SKS","")</f>
        <v>SKS</v>
      </c>
      <c r="E158" s="398" t="str">
        <f t="shared" ref="E158:E163" si="62">IF(K158&lt;&gt;"rumus",(IF(OR(AND(L158="sks&gt;10",L157="sks&lt;=10",IFERROR(SUMPRODUCT($I$157:I157,$J$157:J157)&lt;10,FALSE)),AND(L158="sks&gt;10",L157="")),(((10-SUMPRODUCT($I$157:I157,$J$157:J157))&amp;" x "&amp;1)&amp;"
"&amp;(((I158*J158)-(10-SUMPRODUCT($I$157:I157,$J$157:J157)))&amp;" x "&amp;1)),(I158&amp;" x "&amp;J158))),"")</f>
        <v>4 x 1</v>
      </c>
      <c r="F158" s="398">
        <f>IF(K158&lt;&gt;"rumus",(IF(OR(AND(L158="sks&gt;10",L157="sks&lt;=10",IFERROR(SUMPRODUCT($I$157:I157,$J$157:J157)&lt;10,FALSE)),AND(L158="sks&gt;10",L157="")),((IF('LAMPIRAN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Besar"),0.5,"")))),((IF(OR(AND(L158="sks&gt;10",L157="sks&gt;10"),AND(L158="sks&gt;10",L157="sks&lt;=10")),IF('LAMPIRAN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58" s="398" t="str">
        <f>IF(K158&lt;&gt;"rumus",(IF(OR(AND(L158="sks&gt;10",L157="sks&lt;=10",IFERROR(SUMPRODUCT($I$157:I157,$J$157:J157)&lt;10,FALSE)),AND(L158="sks&gt;10",L157="")),(((10-SUMPRODUCT($I$157:I157,$J$157:J157))&amp;" x "&amp;1&amp;" x "&amp;IF('LAMPIRAN I DONE'!$F$21="Tenaga Pengajar",0.5,IF(OR('LAMPIRAN I DONE'!$F$21="Asisten Ahli",'LAMPIRAN I DONE'!$F$21="Lektor",'LAMPIRAN I DONE'!$F$21="Lektor Kepala",'LAMPIRAN I DONE'!$F$21="Guru Besar"),1,""))&amp;" = "&amp;((10-SUMPRODUCT($I$157:I157,$J$157:J157))*IF('LAMPIRAN I DONE'!$F$21="Tenaga Pengajar",0.5,IF(OR('LAMPIRAN I DONE'!$F$21="Asisten Ahli",'LAMPIRAN I DONE'!$F$21="Lektor",'LAMPIRAN I DONE'!$F$21="Lektor Kepala",'LAMPIRAN I DONE'!$F$21="Guru Besar"),1,""))))&amp;"
"&amp;(((I158*J158)-(10-SUMPRODUCT($I$157:I157,$J$157:J157)))&amp;" x "&amp;1&amp;" x "&amp;IF('LAMPIRAN I DONE'!$F$21="Tenaga Pengajar",0.25,IF(OR('LAMPIRAN I DONE'!$F$21="Asisten Ahli",'LAMPIRAN I DONE'!$F$21="Lektor",'LAMPIRAN I DONE'!$F$21="Lektor Kepala",'LAMPIRAN I DONE'!$F$21="Guru Besar"),0.5,""))&amp;" = "&amp;(((I158*J158)-(10-SUMPRODUCT($I$157:I157,$J$157:J157)))*IF('LAMPIRAN I DONE'!$F$21="Tenaga Pengajar",0.25,IF(OR('LAMPIRAN I DONE'!$F$21="Asisten Ahli",'LAMPIRAN I DONE'!$F$21="Lektor",'LAMPIRAN I DONE'!$F$21="Lektor Kepala",'LAMPIRAN I DONE'!$F$21="Guru Besar"),0.5,""))))),(I158&amp;" x "&amp;J158&amp;" x "&amp;(IF(OR(AND(L158="sks&gt;10",L157="sks&gt;10"),AND(L158="sks&gt;10",L157="sks&lt;=10")),IF('LAMPIRAN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"&amp;K158))),"rumus")</f>
        <v>4 x 1 x 1 = 4</v>
      </c>
      <c r="H158" s="106" t="s">
        <v>363</v>
      </c>
      <c r="I158" s="409">
        <v>4</v>
      </c>
      <c r="J158" s="409">
        <v>1</v>
      </c>
      <c r="K158" s="401">
        <f>IF(AND(I158&lt;&gt;"",J158&lt;&gt;""),(IF(OR(AND(L158="sks&gt;10",L157="sks&lt;=10",IFERROR(SUMPRODUCT($I$157:I157,$J$157:J157)&lt;10,FALSE)),AND(L158="sks&gt;10",L157="")),(((10-SUMPRODUCT($I$157:I157,$J$157:J157))*IF('LAMPIRAN I DONE'!$F$21="Tenaga Pengajar",0.5,IF(OR('LAMPIRAN I DONE'!$F$21="Asisten Ahli",'LAMPIRAN I DONE'!$F$21="Lektor",'LAMPIRAN I DONE'!$F$21="Lektor Kepala",'LAMPIRAN I DONE'!$F$21="Guru Besar"),1,"")))+(((I158*J158)-(10-SUMPRODUCT($I$157:I157,$J$157:J157)))*IF('LAMPIRAN I DONE'!$F$21="Tenaga Pengajar",0.25,IF(OR('LAMPIRAN I DONE'!$F$21="Asisten Ahli",'LAMPIRAN I DONE'!$F$21="Lektor",'LAMPIRAN I DONE'!$F$21="Lektor Kepala",'LAMPIRAN I DONE'!$F$21="Guru Besar"),0.5,"")))),IF(OR(AND(L158="sks&gt;10",L157="sks&gt;10"),AND(L158="sks&gt;10",L157="sks&lt;=10")),I158*J158*IF('LAMPIRAN I DONE'!$F$21="Tenaga Pengajar",0.25,IF(OR('LAMPIRAN I DONE'!$F$21="Asisten Ahli",'LAMPIRAN I DONE'!$F$21="Lektor",'LAMPIRAN I DONE'!$F$21="Lektor Kepala",'LAMPIRAN I DONE'!$F$21="Guru Besar"),0.5,"")),I158*J158*IF('LAMPIRAN I DONE'!$F$21="Tenaga Pengajar",0.5,IF(OR('LAMPIRAN I DONE'!$F$21="Asisten Ahli",'LAMPIRAN I DONE'!$F$21="Lektor",'LAMPIRAN I DONE'!$F$21="Lektor Kepala",'LAMPIRAN I DONE'!$F$21="Guru Besar"),1,""))))),"rumus")</f>
        <v>4</v>
      </c>
      <c r="L158" s="401" t="str">
        <f t="shared" ref="L158:L163" si="63">IF(AND(I158&lt;&gt;"",J158&lt;&gt;""),(IF(SUMPRODUCT($I$158:I158,$J$158:J158)&lt;=10,"SKS&lt;=10",IF(SUMPRODUCT($I$158:I158,$J$158:J158)&gt;10,"SKS&gt;10",""))),"rumus")</f>
        <v>SKS&lt;=10</v>
      </c>
      <c r="M158" s="4"/>
      <c r="N158" s="4"/>
      <c r="O158" s="4"/>
      <c r="P158" s="4"/>
      <c r="Q158" s="4"/>
      <c r="R158" s="4"/>
      <c r="S158" s="4"/>
      <c r="T158" s="4"/>
      <c r="U158" s="4"/>
      <c r="V158" s="4"/>
      <c r="W158" s="4"/>
      <c r="X158" s="4"/>
      <c r="Y158" s="4"/>
      <c r="Z158" s="4"/>
    </row>
    <row r="159" spans="1:26" ht="25.5" customHeight="1" x14ac:dyDescent="0.25">
      <c r="A159" s="109">
        <v>2</v>
      </c>
      <c r="B159" s="571" t="s">
        <v>364</v>
      </c>
      <c r="C159" s="106" t="s">
        <v>324</v>
      </c>
      <c r="D159" s="106" t="str">
        <f t="shared" si="61"/>
        <v>SKS</v>
      </c>
      <c r="E159" s="398" t="str">
        <f t="shared" si="62"/>
        <v>2 x 1</v>
      </c>
      <c r="F159" s="398">
        <f>IF(K159&lt;&gt;"rumus",(IF(OR(AND(L159="sks&gt;10",L158="sks&lt;=10",IFERROR(SUMPRODUCT($I$157:I158,$J$157:J158)&lt;10,FALSE)),AND(L159="sks&gt;10",L158="")),((IF('LAMPIRAN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Besar"),0.5,"")))),((IF(OR(AND(L159="sks&gt;10",L158="sks&gt;10"),AND(L159="sks&gt;10",L158="sks&lt;=10")),IF('LAMPIRAN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59" s="398" t="str">
        <f>IF(K159&lt;&gt;"rumus",(IF(OR(AND(L159="sks&gt;10",L158="sks&lt;=10",IFERROR(SUMPRODUCT($I$157:I158,$J$157:J158)&lt;10,FALSE)),AND(L159="sks&gt;10",L158="")),(((10-SUMPRODUCT($I$157:I158,$J$157:J158))&amp;" x "&amp;1&amp;" x "&amp;IF('LAMPIRAN I DONE'!$F$21="Tenaga Pengajar",0.5,IF(OR('LAMPIRAN I DONE'!$F$21="Asisten Ahli",'LAMPIRAN I DONE'!$F$21="Lektor",'LAMPIRAN I DONE'!$F$21="Lektor Kepala",'LAMPIRAN I DONE'!$F$21="Guru Besar"),1,""))&amp;" = "&amp;((10-SUMPRODUCT($I$157:I158,$J$157:J158))*IF('LAMPIRAN I DONE'!$F$21="Tenaga Pengajar",0.5,IF(OR('LAMPIRAN I DONE'!$F$21="Asisten Ahli",'LAMPIRAN I DONE'!$F$21="Lektor",'LAMPIRAN I DONE'!$F$21="Lektor Kepala",'LAMPIRAN I DONE'!$F$21="Guru Besar"),1,""))))&amp;"
"&amp;(((I159*J159)-(10-SUMPRODUCT($I$157:I158,$J$157:J158)))&amp;" x "&amp;1&amp;" x "&amp;IF('LAMPIRAN I DONE'!$F$21="Tenaga Pengajar",0.25,IF(OR('LAMPIRAN I DONE'!$F$21="Asisten Ahli",'LAMPIRAN I DONE'!$F$21="Lektor",'LAMPIRAN I DONE'!$F$21="Lektor Kepala",'LAMPIRAN I DONE'!$F$21="Guru Besar"),0.5,""))&amp;" = "&amp;(((I159*J159)-(10-SUMPRODUCT($I$157:I158,$J$157:J158)))*IF('LAMPIRAN I DONE'!$F$21="Tenaga Pengajar",0.25,IF(OR('LAMPIRAN I DONE'!$F$21="Asisten Ahli",'LAMPIRAN I DONE'!$F$21="Lektor",'LAMPIRAN I DONE'!$F$21="Lektor Kepala",'LAMPIRAN I DONE'!$F$21="Guru Besar"),0.5,""))))),(I159&amp;" x "&amp;J159&amp;" x "&amp;(IF(OR(AND(L159="sks&gt;10",L158="sks&gt;10"),AND(L159="sks&gt;10",L158="sks&lt;=10")),IF('LAMPIRAN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"&amp;K159))),"rumus")</f>
        <v>2 x 1 x 1 = 2</v>
      </c>
      <c r="H159" s="106" t="s">
        <v>363</v>
      </c>
      <c r="I159" s="409">
        <v>2</v>
      </c>
      <c r="J159" s="409">
        <v>1</v>
      </c>
      <c r="K159" s="401">
        <f>IF(AND(I159&lt;&gt;"",J159&lt;&gt;""),(IF(OR(AND(L159="sks&gt;10",L158="sks&lt;=10",IFERROR(SUMPRODUCT($I$157:I158,$J$157:J158)&lt;10,FALSE)),AND(L159="sks&gt;10",L158="")),(((10-SUMPRODUCT($I$157:I158,$J$157:J158))*IF('LAMPIRAN I DONE'!$F$21="Tenaga Pengajar",0.5,IF(OR('LAMPIRAN I DONE'!$F$21="Asisten Ahli",'LAMPIRAN I DONE'!$F$21="Lektor",'LAMPIRAN I DONE'!$F$21="Lektor Kepala",'LAMPIRAN I DONE'!$F$21="Guru Besar"),1,"")))+(((I159*J159)-(10-SUMPRODUCT($I$157:I158,$J$157:J158)))*IF('LAMPIRAN I DONE'!$F$21="Tenaga Pengajar",0.25,IF(OR('LAMPIRAN I DONE'!$F$21="Asisten Ahli",'LAMPIRAN I DONE'!$F$21="Lektor",'LAMPIRAN I DONE'!$F$21="Lektor Kepala",'LAMPIRAN I DONE'!$F$21="Guru Besar"),0.5,"")))),IF(OR(AND(L159="sks&gt;10",L158="sks&gt;10"),AND(L159="sks&gt;10",L158="sks&lt;=10")),I159*J159*IF('LAMPIRAN I DONE'!$F$21="Tenaga Pengajar",0.25,IF(OR('LAMPIRAN I DONE'!$F$21="Asisten Ahli",'LAMPIRAN I DONE'!$F$21="Lektor",'LAMPIRAN I DONE'!$F$21="Lektor Kepala",'LAMPIRAN I DONE'!$F$21="Guru Besar"),0.5,"")),I159*J159*IF('LAMPIRAN I DONE'!$F$21="Tenaga Pengajar",0.5,IF(OR('LAMPIRAN I DONE'!$F$21="Asisten Ahli",'LAMPIRAN I DONE'!$F$21="Lektor",'LAMPIRAN I DONE'!$F$21="Lektor Kepala",'LAMPIRAN I DONE'!$F$21="Guru Besar"),1,""))))),"rumus")</f>
        <v>2</v>
      </c>
      <c r="L159" s="401" t="str">
        <f t="shared" si="63"/>
        <v>SKS&lt;=10</v>
      </c>
      <c r="M159" s="4"/>
      <c r="N159" s="4"/>
      <c r="O159" s="4"/>
      <c r="P159" s="4"/>
      <c r="Q159" s="4"/>
      <c r="R159" s="4"/>
      <c r="S159" s="4"/>
      <c r="T159" s="4"/>
      <c r="U159" s="4"/>
      <c r="V159" s="4"/>
      <c r="W159" s="4"/>
      <c r="X159" s="4"/>
      <c r="Y159" s="4"/>
      <c r="Z159" s="4"/>
    </row>
    <row r="160" spans="1:26" ht="25.5" customHeight="1" x14ac:dyDescent="0.25">
      <c r="A160" s="109">
        <v>3</v>
      </c>
      <c r="B160" s="397" t="s">
        <v>314</v>
      </c>
      <c r="C160" s="106" t="s">
        <v>324</v>
      </c>
      <c r="D160" s="106" t="str">
        <f t="shared" si="61"/>
        <v/>
      </c>
      <c r="E160" s="398" t="str">
        <f t="shared" si="62"/>
        <v/>
      </c>
      <c r="F160" s="398" t="str">
        <f>IF(K160&lt;&gt;"rumus",(IF(OR(AND(L160="sks&gt;10",L159="sks&lt;=10",IFERROR(SUMPRODUCT($I$157:I159,$J$157:J159)&lt;10,FALSE)),AND(L160="sks&gt;10",L159="")),((IF('LAMPIRAN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Besar"),0.5,"")))),((IF(OR(AND(L160="sks&gt;10",L159="sks&gt;10"),AND(L160="sks&gt;10",L159="sks&lt;=10")),IF('LAMPIRAN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60" s="398" t="str">
        <f>IF(K160&lt;&gt;"rumus",(IF(OR(AND(L160="sks&gt;10",L159="sks&lt;=10",IFERROR(SUMPRODUCT($I$157:I159,$J$157:J159)&lt;10,FALSE)),AND(L160="sks&gt;10",L159="")),(((10-SUMPRODUCT($I$157:I159,$J$157:J159))&amp;" x "&amp;1&amp;" x "&amp;IF('LAMPIRAN I DONE'!$F$21="Tenaga Pengajar",0.5,IF(OR('LAMPIRAN I DONE'!$F$21="Asisten Ahli",'LAMPIRAN I DONE'!$F$21="Lektor",'LAMPIRAN I DONE'!$F$21="Lektor Kepala",'LAMPIRAN I DONE'!$F$21="Guru Besar"),1,""))&amp;" = "&amp;((10-SUMPRODUCT($I$157:I159,$J$157:J159))*IF('LAMPIRAN I DONE'!$F$21="Tenaga Pengajar",0.5,IF(OR('LAMPIRAN I DONE'!$F$21="Asisten Ahli",'LAMPIRAN I DONE'!$F$21="Lektor",'LAMPIRAN I DONE'!$F$21="Lektor Kepala",'LAMPIRAN I DONE'!$F$21="Guru Besar"),1,""))))&amp;"
"&amp;(((I160*J160)-(10-SUMPRODUCT($I$157:I159,$J$157:J159)))&amp;" x "&amp;1&amp;" x "&amp;IF('LAMPIRAN I DONE'!$F$21="Tenaga Pengajar",0.25,IF(OR('LAMPIRAN I DONE'!$F$21="Asisten Ahli",'LAMPIRAN I DONE'!$F$21="Lektor",'LAMPIRAN I DONE'!$F$21="Lektor Kepala",'LAMPIRAN I DONE'!$F$21="Guru Besar"),0.5,""))&amp;" = "&amp;(((I160*J160)-(10-SUMPRODUCT($I$157:I159,$J$157:J159)))*IF('LAMPIRAN I DONE'!$F$21="Tenaga Pengajar",0.25,IF(OR('LAMPIRAN I DONE'!$F$21="Asisten Ahli",'LAMPIRAN I DONE'!$F$21="Lektor",'LAMPIRAN I DONE'!$F$21="Lektor Kepala",'LAMPIRAN I DONE'!$F$21="Guru Besar"),0.5,""))))),(I160&amp;" x "&amp;J160&amp;" x "&amp;(IF(OR(AND(L160="sks&gt;10",L159="sks&gt;10"),AND(L160="sks&gt;10",L159="sks&lt;=10")),IF('LAMPIRAN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"&amp;K160))),"rumus")</f>
        <v>rumus</v>
      </c>
      <c r="H160" s="106" t="s">
        <v>315</v>
      </c>
      <c r="I160" s="409"/>
      <c r="J160" s="409"/>
      <c r="K160" s="401" t="str">
        <f>IF(AND(I160&lt;&gt;"",J160&lt;&gt;""),(IF(OR(AND(L160="sks&gt;10",L159="sks&lt;=10",IFERROR(SUMPRODUCT($I$157:I159,$J$157:J159)&lt;10,FALSE)),AND(L160="sks&gt;10",L159="")),(((10-SUMPRODUCT($I$157:I159,$J$157:J159))*IF('LAMPIRAN I DONE'!$F$21="Tenaga Pengajar",0.5,IF(OR('LAMPIRAN I DONE'!$F$21="Asisten Ahli",'LAMPIRAN I DONE'!$F$21="Lektor",'LAMPIRAN I DONE'!$F$21="Lektor Kepala",'LAMPIRAN I DONE'!$F$21="Guru Besar"),1,"")))+(((I160*J160)-(10-SUMPRODUCT($I$157:I159,$J$157:J159)))*IF('LAMPIRAN I DONE'!$F$21="Tenaga Pengajar",0.25,IF(OR('LAMPIRAN I DONE'!$F$21="Asisten Ahli",'LAMPIRAN I DONE'!$F$21="Lektor",'LAMPIRAN I DONE'!$F$21="Lektor Kepala",'LAMPIRAN I DONE'!$F$21="Guru Besar"),0.5,"")))),IF(OR(AND(L160="sks&gt;10",L159="sks&gt;10"),AND(L160="sks&gt;10",L159="sks&lt;=10")),I160*J160*IF('LAMPIRAN I DONE'!$F$21="Tenaga Pengajar",0.25,IF(OR('LAMPIRAN I DONE'!$F$21="Asisten Ahli",'LAMPIRAN I DONE'!$F$21="Lektor",'LAMPIRAN I DONE'!$F$21="Lektor Kepala",'LAMPIRAN I DONE'!$F$21="Guru Besar"),0.5,"")),I160*J160*IF('LAMPIRAN I DONE'!$F$21="Tenaga Pengajar",0.5,IF(OR('LAMPIRAN I DONE'!$F$21="Asisten Ahli",'LAMPIRAN I DONE'!$F$21="Lektor",'LAMPIRAN I DONE'!$F$21="Lektor Kepala",'LAMPIRAN I DONE'!$F$21="Guru Besar"),1,""))))),"rumus")</f>
        <v>rumus</v>
      </c>
      <c r="L160" s="401" t="str">
        <f t="shared" si="63"/>
        <v>rumus</v>
      </c>
      <c r="M160" s="4"/>
      <c r="N160" s="4"/>
      <c r="O160" s="4"/>
      <c r="P160" s="4"/>
      <c r="Q160" s="4"/>
      <c r="R160" s="4"/>
      <c r="S160" s="4"/>
      <c r="T160" s="4"/>
      <c r="U160" s="4"/>
      <c r="V160" s="4"/>
      <c r="W160" s="4"/>
      <c r="X160" s="4"/>
      <c r="Y160" s="4"/>
      <c r="Z160" s="4"/>
    </row>
    <row r="161" spans="1:26" ht="25.5" customHeight="1" x14ac:dyDescent="0.25">
      <c r="A161" s="109">
        <v>4</v>
      </c>
      <c r="B161" s="397" t="s">
        <v>314</v>
      </c>
      <c r="C161" s="106" t="s">
        <v>324</v>
      </c>
      <c r="D161" s="106" t="str">
        <f t="shared" si="61"/>
        <v/>
      </c>
      <c r="E161" s="398" t="str">
        <f t="shared" si="62"/>
        <v/>
      </c>
      <c r="F161" s="398" t="str">
        <f>IF(K161&lt;&gt;"rumus",(IF(OR(AND(L161="sks&gt;10",L160="sks&lt;=10",IFERROR(SUMPRODUCT($I$157:I160,$J$157:J160)&lt;10,FALSE)),AND(L161="sks&gt;10",L160="")),((IF('LAMPIRAN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Besar"),0.5,"")))),((IF(OR(AND(L161="sks&gt;10",L160="sks&gt;10"),AND(L161="sks&gt;10",L160="sks&lt;=10")),IF('LAMPIRAN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61" s="398" t="str">
        <f>IF(K161&lt;&gt;"rumus",(IF(OR(AND(L161="sks&gt;10",L160="sks&lt;=10",IFERROR(SUMPRODUCT($I$157:I160,$J$157:J160)&lt;10,FALSE)),AND(L161="sks&gt;10",L160="")),(((10-SUMPRODUCT($I$157:I160,$J$157:J160))&amp;" x "&amp;1&amp;" x "&amp;IF('LAMPIRAN I DONE'!$F$21="Tenaga Pengajar",0.5,IF(OR('LAMPIRAN I DONE'!$F$21="Asisten Ahli",'LAMPIRAN I DONE'!$F$21="Lektor",'LAMPIRAN I DONE'!$F$21="Lektor Kepala",'LAMPIRAN I DONE'!$F$21="Guru Besar"),1,""))&amp;" = "&amp;((10-SUMPRODUCT($I$157:I160,$J$157:J160))*IF('LAMPIRAN I DONE'!$F$21="Tenaga Pengajar",0.5,IF(OR('LAMPIRAN I DONE'!$F$21="Asisten Ahli",'LAMPIRAN I DONE'!$F$21="Lektor",'LAMPIRAN I DONE'!$F$21="Lektor Kepala",'LAMPIRAN I DONE'!$F$21="Guru Besar"),1,""))))&amp;"
"&amp;(((I161*J161)-(10-SUMPRODUCT($I$157:I160,$J$157:J160)))&amp;" x "&amp;1&amp;" x "&amp;IF('LAMPIRAN I DONE'!$F$21="Tenaga Pengajar",0.25,IF(OR('LAMPIRAN I DONE'!$F$21="Asisten Ahli",'LAMPIRAN I DONE'!$F$21="Lektor",'LAMPIRAN I DONE'!$F$21="Lektor Kepala",'LAMPIRAN I DONE'!$F$21="Guru Besar"),0.5,""))&amp;" = "&amp;(((I161*J161)-(10-SUMPRODUCT($I$157:I160,$J$157:J160)))*IF('LAMPIRAN I DONE'!$F$21="Tenaga Pengajar",0.25,IF(OR('LAMPIRAN I DONE'!$F$21="Asisten Ahli",'LAMPIRAN I DONE'!$F$21="Lektor",'LAMPIRAN I DONE'!$F$21="Lektor Kepala",'LAMPIRAN I DONE'!$F$21="Guru Besar"),0.5,""))))),(I161&amp;" x "&amp;J161&amp;" x "&amp;(IF(OR(AND(L161="sks&gt;10",L160="sks&gt;10"),AND(L161="sks&gt;10",L160="sks&lt;=10")),IF('LAMPIRAN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"&amp;K161))),"rumus")</f>
        <v>rumus</v>
      </c>
      <c r="H161" s="106" t="s">
        <v>315</v>
      </c>
      <c r="I161" s="409"/>
      <c r="J161" s="409"/>
      <c r="K161" s="401" t="str">
        <f>IF(AND(I161&lt;&gt;"",J161&lt;&gt;""),(IF(OR(AND(L161="sks&gt;10",L160="sks&lt;=10",IFERROR(SUMPRODUCT($I$157:I160,$J$157:J160)&lt;10,FALSE)),AND(L161="sks&gt;10",L160="")),(((10-SUMPRODUCT($I$157:I160,$J$157:J160))*IF('LAMPIRAN I DONE'!$F$21="Tenaga Pengajar",0.5,IF(OR('LAMPIRAN I DONE'!$F$21="Asisten Ahli",'LAMPIRAN I DONE'!$F$21="Lektor",'LAMPIRAN I DONE'!$F$21="Lektor Kepala",'LAMPIRAN I DONE'!$F$21="Guru Besar"),1,"")))+(((I161*J161)-(10-SUMPRODUCT($I$157:I160,$J$157:J160)))*IF('LAMPIRAN I DONE'!$F$21="Tenaga Pengajar",0.25,IF(OR('LAMPIRAN I DONE'!$F$21="Asisten Ahli",'LAMPIRAN I DONE'!$F$21="Lektor",'LAMPIRAN I DONE'!$F$21="Lektor Kepala",'LAMPIRAN I DONE'!$F$21="Guru Besar"),0.5,"")))),IF(OR(AND(L161="sks&gt;10",L160="sks&gt;10"),AND(L161="sks&gt;10",L160="sks&lt;=10")),I161*J161*IF('LAMPIRAN I DONE'!$F$21="Tenaga Pengajar",0.25,IF(OR('LAMPIRAN I DONE'!$F$21="Asisten Ahli",'LAMPIRAN I DONE'!$F$21="Lektor",'LAMPIRAN I DONE'!$F$21="Lektor Kepala",'LAMPIRAN I DONE'!$F$21="Guru Besar"),0.5,"")),I161*J161*IF('LAMPIRAN I DONE'!$F$21="Tenaga Pengajar",0.5,IF(OR('LAMPIRAN I DONE'!$F$21="Asisten Ahli",'LAMPIRAN I DONE'!$F$21="Lektor",'LAMPIRAN I DONE'!$F$21="Lektor Kepala",'LAMPIRAN I DONE'!$F$21="Guru Besar"),1,""))))),"rumus")</f>
        <v>rumus</v>
      </c>
      <c r="L161" s="401" t="str">
        <f t="shared" si="63"/>
        <v>rumus</v>
      </c>
      <c r="M161" s="4"/>
      <c r="N161" s="4"/>
      <c r="O161" s="4"/>
      <c r="P161" s="4"/>
      <c r="Q161" s="4"/>
      <c r="R161" s="4"/>
      <c r="S161" s="4"/>
      <c r="T161" s="4"/>
      <c r="U161" s="4"/>
      <c r="V161" s="4"/>
      <c r="W161" s="4"/>
      <c r="X161" s="4"/>
      <c r="Y161" s="4"/>
      <c r="Z161" s="4"/>
    </row>
    <row r="162" spans="1:26" ht="25.5" customHeight="1" x14ac:dyDescent="0.25">
      <c r="A162" s="109">
        <v>5</v>
      </c>
      <c r="B162" s="397" t="s">
        <v>314</v>
      </c>
      <c r="C162" s="106" t="s">
        <v>324</v>
      </c>
      <c r="D162" s="106" t="str">
        <f t="shared" si="61"/>
        <v/>
      </c>
      <c r="E162" s="398" t="str">
        <f t="shared" si="62"/>
        <v/>
      </c>
      <c r="F162" s="398" t="str">
        <f>IF(K162&lt;&gt;"rumus",(IF(OR(AND(L162="sks&gt;10",L161="sks&lt;=10",IFERROR(SUMPRODUCT($I$157:I161,$J$157:J161)&lt;10,FALSE)),AND(L162="sks&gt;10",L161="")),((IF('LAMPIRAN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Besar"),0.5,"")))),((IF(OR(AND(L162="sks&gt;10",L161="sks&gt;10"),AND(L162="sks&gt;10",L161="sks&lt;=10")),IF('LAMPIRAN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62" s="398" t="str">
        <f>IF(K162&lt;&gt;"rumus",(IF(OR(AND(L162="sks&gt;10",L161="sks&lt;=10",IFERROR(SUMPRODUCT($I$157:I161,$J$157:J161)&lt;10,FALSE)),AND(L162="sks&gt;10",L161="")),(((10-SUMPRODUCT($I$157:I161,$J$157:J161))&amp;" x "&amp;1&amp;" x "&amp;IF('LAMPIRAN I DONE'!$F$21="Tenaga Pengajar",0.5,IF(OR('LAMPIRAN I DONE'!$F$21="Asisten Ahli",'LAMPIRAN I DONE'!$F$21="Lektor",'LAMPIRAN I DONE'!$F$21="Lektor Kepala",'LAMPIRAN I DONE'!$F$21="Guru Besar"),1,""))&amp;" = "&amp;((10-SUMPRODUCT($I$157:I161,$J$157:J161))*IF('LAMPIRAN I DONE'!$F$21="Tenaga Pengajar",0.5,IF(OR('LAMPIRAN I DONE'!$F$21="Asisten Ahli",'LAMPIRAN I DONE'!$F$21="Lektor",'LAMPIRAN I DONE'!$F$21="Lektor Kepala",'LAMPIRAN I DONE'!$F$21="Guru Besar"),1,""))))&amp;"
"&amp;(((I162*J162)-(10-SUMPRODUCT($I$157:I161,$J$157:J161)))&amp;" x "&amp;1&amp;" x "&amp;IF('LAMPIRAN I DONE'!$F$21="Tenaga Pengajar",0.25,IF(OR('LAMPIRAN I DONE'!$F$21="Asisten Ahli",'LAMPIRAN I DONE'!$F$21="Lektor",'LAMPIRAN I DONE'!$F$21="Lektor Kepala",'LAMPIRAN I DONE'!$F$21="Guru Besar"),0.5,""))&amp;" = "&amp;(((I162*J162)-(10-SUMPRODUCT($I$157:I161,$J$157:J161)))*IF('LAMPIRAN I DONE'!$F$21="Tenaga Pengajar",0.25,IF(OR('LAMPIRAN I DONE'!$F$21="Asisten Ahli",'LAMPIRAN I DONE'!$F$21="Lektor",'LAMPIRAN I DONE'!$F$21="Lektor Kepala",'LAMPIRAN I DONE'!$F$21="Guru Besar"),0.5,""))))),(I162&amp;" x "&amp;J162&amp;" x "&amp;(IF(OR(AND(L162="sks&gt;10",L161="sks&gt;10"),AND(L162="sks&gt;10",L161="sks&lt;=10")),IF('LAMPIRAN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"&amp;K162))),"rumus")</f>
        <v>rumus</v>
      </c>
      <c r="H162" s="106" t="s">
        <v>315</v>
      </c>
      <c r="I162" s="409"/>
      <c r="J162" s="409"/>
      <c r="K162" s="401" t="str">
        <f>IF(AND(I162&lt;&gt;"",J162&lt;&gt;""),(IF(OR(AND(L162="sks&gt;10",L161="sks&lt;=10",IFERROR(SUMPRODUCT($I$157:I161,$J$157:J161)&lt;10,FALSE)),AND(L162="sks&gt;10",L161="")),(((10-SUMPRODUCT($I$157:I161,$J$157:J161))*IF('LAMPIRAN I DONE'!$F$21="Tenaga Pengajar",0.5,IF(OR('LAMPIRAN I DONE'!$F$21="Asisten Ahli",'LAMPIRAN I DONE'!$F$21="Lektor",'LAMPIRAN I DONE'!$F$21="Lektor Kepala",'LAMPIRAN I DONE'!$F$21="Guru Besar"),1,"")))+(((I162*J162)-(10-SUMPRODUCT($I$157:I161,$J$157:J161)))*IF('LAMPIRAN I DONE'!$F$21="Tenaga Pengajar",0.25,IF(OR('LAMPIRAN I DONE'!$F$21="Asisten Ahli",'LAMPIRAN I DONE'!$F$21="Lektor",'LAMPIRAN I DONE'!$F$21="Lektor Kepala",'LAMPIRAN I DONE'!$F$21="Guru Besar"),0.5,"")))),IF(OR(AND(L162="sks&gt;10",L161="sks&gt;10"),AND(L162="sks&gt;10",L161="sks&lt;=10")),I162*J162*IF('LAMPIRAN I DONE'!$F$21="Tenaga Pengajar",0.25,IF(OR('LAMPIRAN I DONE'!$F$21="Asisten Ahli",'LAMPIRAN I DONE'!$F$21="Lektor",'LAMPIRAN I DONE'!$F$21="Lektor Kepala",'LAMPIRAN I DONE'!$F$21="Guru Besar"),0.5,"")),I162*J162*IF('LAMPIRAN I DONE'!$F$21="Tenaga Pengajar",0.5,IF(OR('LAMPIRAN I DONE'!$F$21="Asisten Ahli",'LAMPIRAN I DONE'!$F$21="Lektor",'LAMPIRAN I DONE'!$F$21="Lektor Kepala",'LAMPIRAN I DONE'!$F$21="Guru Besar"),1,""))))),"rumus")</f>
        <v>rumus</v>
      </c>
      <c r="L162" s="401" t="str">
        <f t="shared" si="63"/>
        <v>rumus</v>
      </c>
      <c r="M162" s="4"/>
      <c r="N162" s="4"/>
      <c r="O162" s="4"/>
      <c r="P162" s="4"/>
      <c r="Q162" s="4"/>
      <c r="R162" s="4"/>
      <c r="S162" s="4"/>
      <c r="T162" s="4"/>
      <c r="U162" s="4"/>
      <c r="V162" s="4"/>
      <c r="W162" s="4"/>
      <c r="X162" s="4"/>
      <c r="Y162" s="4"/>
      <c r="Z162" s="4"/>
    </row>
    <row r="163" spans="1:26" ht="25.5" customHeight="1" x14ac:dyDescent="0.25">
      <c r="A163" s="109">
        <v>6</v>
      </c>
      <c r="B163" s="397" t="s">
        <v>314</v>
      </c>
      <c r="C163" s="106" t="s">
        <v>324</v>
      </c>
      <c r="D163" s="106" t="str">
        <f t="shared" si="61"/>
        <v/>
      </c>
      <c r="E163" s="398" t="str">
        <f t="shared" si="62"/>
        <v/>
      </c>
      <c r="F163" s="398" t="str">
        <f>IF(K163&lt;&gt;"rumus",(IF(OR(AND(L163="sks&gt;10",L162="sks&lt;=10",IFERROR(SUMPRODUCT($I$157:I162,$J$157:J162)&lt;10,FALSE)),AND(L163="sks&gt;10",L162="")),((IF('LAMPIRAN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Besar"),0.5,"")))),((IF(OR(AND(L163="sks&gt;10",L162="sks&gt;10"),AND(L163="sks&gt;10",L162="sks&lt;=10")),IF('LAMPIRAN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63" s="398" t="str">
        <f>IF(K163&lt;&gt;"rumus",(IF(OR(AND(L163="sks&gt;10",L162="sks&lt;=10",IFERROR(SUMPRODUCT($I$157:I162,$J$157:J162)&lt;10,FALSE)),AND(L163="sks&gt;10",L162="")),(((10-SUMPRODUCT($I$157:I162,$J$157:J162))&amp;" x "&amp;1&amp;" x "&amp;IF('LAMPIRAN I DONE'!$F$21="Tenaga Pengajar",0.5,IF(OR('LAMPIRAN I DONE'!$F$21="Asisten Ahli",'LAMPIRAN I DONE'!$F$21="Lektor",'LAMPIRAN I DONE'!$F$21="Lektor Kepala",'LAMPIRAN I DONE'!$F$21="Guru Besar"),1,""))&amp;" = "&amp;((10-SUMPRODUCT($I$157:I162,$J$157:J162))*IF('LAMPIRAN I DONE'!$F$21="Tenaga Pengajar",0.5,IF(OR('LAMPIRAN I DONE'!$F$21="Asisten Ahli",'LAMPIRAN I DONE'!$F$21="Lektor",'LAMPIRAN I DONE'!$F$21="Lektor Kepala",'LAMPIRAN I DONE'!$F$21="Guru Besar"),1,""))))&amp;"
"&amp;(((I163*J163)-(10-SUMPRODUCT($I$157:I162,$J$157:J162)))&amp;" x "&amp;1&amp;" x "&amp;IF('LAMPIRAN I DONE'!$F$21="Tenaga Pengajar",0.25,IF(OR('LAMPIRAN I DONE'!$F$21="Asisten Ahli",'LAMPIRAN I DONE'!$F$21="Lektor",'LAMPIRAN I DONE'!$F$21="Lektor Kepala",'LAMPIRAN I DONE'!$F$21="Guru Besar"),0.5,""))&amp;" = "&amp;(((I163*J163)-(10-SUMPRODUCT($I$157:I162,$J$157:J162)))*IF('LAMPIRAN I DONE'!$F$21="Tenaga Pengajar",0.25,IF(OR('LAMPIRAN I DONE'!$F$21="Asisten Ahli",'LAMPIRAN I DONE'!$F$21="Lektor",'LAMPIRAN I DONE'!$F$21="Lektor Kepala",'LAMPIRAN I DONE'!$F$21="Guru Besar"),0.5,""))))),(I163&amp;" x "&amp;J163&amp;" x "&amp;(IF(OR(AND(L163="sks&gt;10",L162="sks&gt;10"),AND(L163="sks&gt;10",L162="sks&lt;=10")),IF('LAMPIRAN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"&amp;K163))),"rumus")</f>
        <v>rumus</v>
      </c>
      <c r="H163" s="106" t="s">
        <v>315</v>
      </c>
      <c r="I163" s="409"/>
      <c r="J163" s="409"/>
      <c r="K163" s="401" t="str">
        <f>IF(AND(I163&lt;&gt;"",J163&lt;&gt;""),(IF(OR(AND(L163="sks&gt;10",L162="sks&lt;=10",IFERROR(SUMPRODUCT($I$157:I162,$J$157:J162)&lt;10,FALSE)),AND(L163="sks&gt;10",L162="")),(((10-SUMPRODUCT($I$157:I162,$J$157:J162))*IF('LAMPIRAN I DONE'!$F$21="Tenaga Pengajar",0.5,IF(OR('LAMPIRAN I DONE'!$F$21="Asisten Ahli",'LAMPIRAN I DONE'!$F$21="Lektor",'LAMPIRAN I DONE'!$F$21="Lektor Kepala",'LAMPIRAN I DONE'!$F$21="Guru Besar"),1,"")))+(((I163*J163)-(10-SUMPRODUCT($I$157:I162,$J$157:J162)))*IF('LAMPIRAN I DONE'!$F$21="Tenaga Pengajar",0.25,IF(OR('LAMPIRAN I DONE'!$F$21="Asisten Ahli",'LAMPIRAN I DONE'!$F$21="Lektor",'LAMPIRAN I DONE'!$F$21="Lektor Kepala",'LAMPIRAN I DONE'!$F$21="Guru Besar"),0.5,"")))),IF(OR(AND(L163="sks&gt;10",L162="sks&gt;10"),AND(L163="sks&gt;10",L162="sks&lt;=10")),I163*J163*IF('LAMPIRAN I DONE'!$F$21="Tenaga Pengajar",0.25,IF(OR('LAMPIRAN I DONE'!$F$21="Asisten Ahli",'LAMPIRAN I DONE'!$F$21="Lektor",'LAMPIRAN I DONE'!$F$21="Lektor Kepala",'LAMPIRAN I DONE'!$F$21="Guru Besar"),0.5,"")),I163*J163*IF('LAMPIRAN I DONE'!$F$21="Tenaga Pengajar",0.5,IF(OR('LAMPIRAN I DONE'!$F$21="Asisten Ahli",'LAMPIRAN I DONE'!$F$21="Lektor",'LAMPIRAN I DONE'!$F$21="Lektor Kepala",'LAMPIRAN I DONE'!$F$21="Guru Besar"),1,""))))),"rumus")</f>
        <v>rumus</v>
      </c>
      <c r="L163" s="401" t="str">
        <f t="shared" si="63"/>
        <v>rumus</v>
      </c>
      <c r="M163" s="4"/>
      <c r="N163" s="4"/>
      <c r="O163" s="4"/>
      <c r="P163" s="4"/>
      <c r="Q163" s="4"/>
      <c r="R163" s="4"/>
      <c r="S163" s="4"/>
      <c r="T163" s="4"/>
      <c r="U163" s="4"/>
      <c r="V163" s="4"/>
      <c r="W163" s="4"/>
      <c r="X163" s="4"/>
      <c r="Y163" s="4"/>
      <c r="Z163" s="4"/>
    </row>
    <row r="164" spans="1:26" ht="15" customHeight="1" x14ac:dyDescent="0.25">
      <c r="A164" s="109"/>
      <c r="B164" s="406" t="str">
        <f>"b. Semester Genap "&amp;IF(C165&lt;&gt;"",C165,"")&amp;" :"</f>
        <v>b. Semester Genap 2017/2018 :</v>
      </c>
      <c r="C164" s="410"/>
      <c r="D164" s="410"/>
      <c r="E164" s="410"/>
      <c r="F164" s="410"/>
      <c r="G164" s="410"/>
      <c r="H164" s="411"/>
      <c r="I164" s="110"/>
      <c r="J164" s="110"/>
      <c r="K164" s="112"/>
      <c r="L164" s="112"/>
      <c r="M164" s="111">
        <f>IF((AND(N164="Max 5,5",SUM(K158:K163)&lt;=5.5)),SUM(K158:K163),IF((AND(N164="Max 5,5",SUM(K158:K163)&gt;5.5)),5.5,IF((AND(N164="Max 11",SUM(K158:K163)&lt;=11)),SUM(K158:K163),IF((AND(N164="Max 11",SUM(K158:K163)&gt;11)),11,""))))</f>
        <v>6</v>
      </c>
      <c r="N164" s="103" t="str">
        <f>IF('LAMPIRAN I DONE'!$F$21="Tenaga Pengajar","Max 5,5",IF(OR('LAMPIRAN I DONE'!$F$21="Asisten Ahli",'LAMPIRAN I DONE'!$F$21="Lektor",'LAMPIRAN I DONE'!$F$21="Lektor Kepala",'LAMPIRAN I DONE'!$F$21="Guru Besar"),"Max 11",""))</f>
        <v>Max 11</v>
      </c>
      <c r="O164" s="4"/>
      <c r="P164" s="4"/>
      <c r="Q164" s="4"/>
      <c r="R164" s="4"/>
      <c r="S164" s="4"/>
      <c r="T164" s="4"/>
      <c r="U164" s="4"/>
      <c r="V164" s="4"/>
      <c r="W164" s="4"/>
      <c r="X164" s="4"/>
      <c r="Y164" s="4"/>
      <c r="Z164" s="4"/>
    </row>
    <row r="165" spans="1:26" ht="25.5" customHeight="1" x14ac:dyDescent="0.25">
      <c r="A165" s="109">
        <v>1</v>
      </c>
      <c r="B165" s="570" t="s">
        <v>362</v>
      </c>
      <c r="C165" s="106" t="s">
        <v>327</v>
      </c>
      <c r="D165" s="106" t="str">
        <f t="shared" ref="D165:D170" si="64">IF(G165&lt;&gt;"rumus","SKS","")</f>
        <v>SKS</v>
      </c>
      <c r="E165" s="398" t="str">
        <f t="shared" ref="E165:E170" si="65">IF(K165&lt;&gt;"rumus",(IF(OR(AND(L165="sks&gt;10",L164="sks&lt;=10",IFERROR(SUMPRODUCT($I$164:I164,$J$164:J164)&lt;10,FALSE)),AND(L165="sks&gt;10",L164="")),(((10-SUMPRODUCT($I$164:I164,$J$164:J164))&amp;" x "&amp;1)&amp;"
"&amp;(((I165*J165)-(10-SUMPRODUCT($I$164:I164,$J$164:J164)))&amp;" x "&amp;1)),(I165&amp;" x "&amp;J165))),"")</f>
        <v>4 x 1</v>
      </c>
      <c r="F165" s="398">
        <f>IF(K165&lt;&gt;"rumus",(IF(OR(AND(L165="sks&gt;10",L164="sks&lt;=10",IFERROR(SUMPRODUCT($I$164:I164,$J$164:J164)&lt;10,FALSE)),AND(L165="sks&gt;10",L164="")),((IF('LAMPIRAN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Besar"),0.5,"")))),((IF(OR(AND(L165="sks&gt;10",L164="sks&gt;10"),AND(L165="sks&gt;10",L164="sks&lt;=10")),IF('LAMPIRAN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65" s="398" t="str">
        <f>IF(K165&lt;&gt;"rumus",(IF(OR(AND(L165="sks&gt;10",L164="sks&lt;=10",IFERROR(SUMPRODUCT($I$164:I164,$J$164:J164)&lt;10,FALSE)),AND(L165="sks&gt;10",L164="")),(((10-SUMPRODUCT($I$164:I164,$J$164:J164))&amp;" x "&amp;1&amp;" x "&amp;IF('LAMPIRAN I DONE'!$F$21="Tenaga Pengajar",0.5,IF(OR('LAMPIRAN I DONE'!$F$21="Asisten Ahli",'LAMPIRAN I DONE'!$F$21="Lektor",'LAMPIRAN I DONE'!$F$21="Lektor Kepala",'LAMPIRAN I DONE'!$F$21="Guru Besar"),1,""))&amp;" = "&amp;((10-SUMPRODUCT($I$164:I164,$J$164:J164))*IF('LAMPIRAN I DONE'!$F$21="Tenaga Pengajar",0.5,IF(OR('LAMPIRAN I DONE'!$F$21="Asisten Ahli",'LAMPIRAN I DONE'!$F$21="Lektor",'LAMPIRAN I DONE'!$F$21="Lektor Kepala",'LAMPIRAN I DONE'!$F$21="Guru Besar"),1,""))))&amp;"
"&amp;(((I165*J165)-(10-SUMPRODUCT($I$164:I164,$J$164:J164)))&amp;" x "&amp;1&amp;" x "&amp;IF('LAMPIRAN I DONE'!$F$21="Tenaga Pengajar",0.25,IF(OR('LAMPIRAN I DONE'!$F$21="Asisten Ahli",'LAMPIRAN I DONE'!$F$21="Lektor",'LAMPIRAN I DONE'!$F$21="Lektor Kepala",'LAMPIRAN I DONE'!$F$21="Guru Besar"),0.5,""))&amp;" = "&amp;(((I165*J165)-(10-SUMPRODUCT($I$164:I164,$J$164:J164)))*IF('LAMPIRAN I DONE'!$F$21="Tenaga Pengajar",0.25,IF(OR('LAMPIRAN I DONE'!$F$21="Asisten Ahli",'LAMPIRAN I DONE'!$F$21="Lektor",'LAMPIRAN I DONE'!$F$21="Lektor Kepala",'LAMPIRAN I DONE'!$F$21="Guru Besar"),0.5,""))))),(I165&amp;" x "&amp;J165&amp;" x "&amp;(IF(OR(AND(L165="sks&gt;10",L164="sks&gt;10"),AND(L165="sks&gt;10",L164="sks&lt;=10")),IF('LAMPIRAN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"&amp;K165))),"rumus")</f>
        <v>4 x 1 x 1 = 4</v>
      </c>
      <c r="H165" s="106" t="s">
        <v>365</v>
      </c>
      <c r="I165" s="409">
        <v>4</v>
      </c>
      <c r="J165" s="409">
        <v>1</v>
      </c>
      <c r="K165" s="401">
        <f>IF(AND(I165&lt;&gt;"",J165&lt;&gt;""),(IF(OR(AND(L165="sks&gt;10",L164="sks&lt;=10",IFERROR(SUMPRODUCT($I$164:I164,$J$164:J164)&lt;10,FALSE)),AND(L165="sks&gt;10",L164="")),(((10-SUMPRODUCT($I$164:I164,$J$164:J164))*IF('LAMPIRAN I DONE'!$F$21="Tenaga Pengajar",0.5,IF(OR('LAMPIRAN I DONE'!$F$21="Asisten Ahli",'LAMPIRAN I DONE'!$F$21="Lektor",'LAMPIRAN I DONE'!$F$21="Lektor Kepala",'LAMPIRAN I DONE'!$F$21="Guru Besar"),1,"")))+(((I165*J165)-(10-SUMPRODUCT($I$164:I164,$J$164:J164)))*IF('LAMPIRAN I DONE'!$F$21="Tenaga Pengajar",0.25,IF(OR('LAMPIRAN I DONE'!$F$21="Asisten Ahli",'LAMPIRAN I DONE'!$F$21="Lektor",'LAMPIRAN I DONE'!$F$21="Lektor Kepala",'LAMPIRAN I DONE'!$F$21="Guru Besar"),0.5,"")))),IF(OR(AND(L165="sks&gt;10",L164="sks&gt;10"),AND(L165="sks&gt;10",L164="sks&lt;=10")),I165*J165*IF('LAMPIRAN I DONE'!$F$21="Tenaga Pengajar",0.25,IF(OR('LAMPIRAN I DONE'!$F$21="Asisten Ahli",'LAMPIRAN I DONE'!$F$21="Lektor",'LAMPIRAN I DONE'!$F$21="Lektor Kepala",'LAMPIRAN I DONE'!$F$21="Guru Besar"),0.5,"")),I165*J165*IF('LAMPIRAN I DONE'!$F$21="Tenaga Pengajar",0.5,IF(OR('LAMPIRAN I DONE'!$F$21="Asisten Ahli",'LAMPIRAN I DONE'!$F$21="Lektor",'LAMPIRAN I DONE'!$F$21="Lektor Kepala",'LAMPIRAN I DONE'!$F$21="Guru Besar"),1,""))))),"rumus")</f>
        <v>4</v>
      </c>
      <c r="L165" s="401" t="str">
        <f t="shared" ref="L165:L170" si="66">IF(AND(I165&lt;&gt;"",J165&lt;&gt;""),(IF(SUMPRODUCT($I$165:I165,$J$165:J165)&lt;=10,"SKS&lt;=10",IF(SUMPRODUCT($I$165:I165,$J$165:J165)&gt;10,"SKS&gt;10",""))),"rumus")</f>
        <v>SKS&lt;=10</v>
      </c>
      <c r="M165" s="4"/>
      <c r="N165" s="4"/>
      <c r="O165" s="4"/>
      <c r="P165" s="4"/>
      <c r="Q165" s="4"/>
      <c r="R165" s="4"/>
      <c r="S165" s="4"/>
      <c r="T165" s="4"/>
      <c r="U165" s="4"/>
      <c r="V165" s="4"/>
      <c r="W165" s="4"/>
      <c r="X165" s="4"/>
      <c r="Y165" s="4"/>
      <c r="Z165" s="4"/>
    </row>
    <row r="166" spans="1:26" ht="25.5" customHeight="1" x14ac:dyDescent="0.25">
      <c r="A166" s="109">
        <v>2</v>
      </c>
      <c r="B166" s="571" t="s">
        <v>366</v>
      </c>
      <c r="C166" s="106" t="s">
        <v>327</v>
      </c>
      <c r="D166" s="106" t="str">
        <f t="shared" si="64"/>
        <v>SKS</v>
      </c>
      <c r="E166" s="398" t="str">
        <f t="shared" si="65"/>
        <v>2 x 1</v>
      </c>
      <c r="F166" s="398">
        <f>IF(K166&lt;&gt;"rumus",(IF(OR(AND(L166="sks&gt;10",L165="sks&lt;=10",IFERROR(SUMPRODUCT($I$164:I165,$J$164:J165)&lt;10,FALSE)),AND(L166="sks&gt;10",L165="")),((IF('LAMPIRAN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Besar"),0.5,"")))),((IF(OR(AND(L166="sks&gt;10",L165="sks&gt;10"),AND(L166="sks&gt;10",L165="sks&lt;=10")),IF('LAMPIRAN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66" s="398" t="str">
        <f>IF(K166&lt;&gt;"rumus",(IF(OR(AND(L166="sks&gt;10",L165="sks&lt;=10",IFERROR(SUMPRODUCT($I$164:I165,$J$164:J165)&lt;10,FALSE)),AND(L166="sks&gt;10",L165="")),(((10-SUMPRODUCT($I$164:I165,$J$164:J165))&amp;" x "&amp;1&amp;" x "&amp;IF('LAMPIRAN I DONE'!$F$21="Tenaga Pengajar",0.5,IF(OR('LAMPIRAN I DONE'!$F$21="Asisten Ahli",'LAMPIRAN I DONE'!$F$21="Lektor",'LAMPIRAN I DONE'!$F$21="Lektor Kepala",'LAMPIRAN I DONE'!$F$21="Guru Besar"),1,""))&amp;" = "&amp;((10-SUMPRODUCT($I$164:I165,$J$164:J165))*IF('LAMPIRAN I DONE'!$F$21="Tenaga Pengajar",0.5,IF(OR('LAMPIRAN I DONE'!$F$21="Asisten Ahli",'LAMPIRAN I DONE'!$F$21="Lektor",'LAMPIRAN I DONE'!$F$21="Lektor Kepala",'LAMPIRAN I DONE'!$F$21="Guru Besar"),1,""))))&amp;"
"&amp;(((I166*J166)-(10-SUMPRODUCT($I$164:I165,$J$164:J165)))&amp;" x "&amp;1&amp;" x "&amp;IF('LAMPIRAN I DONE'!$F$21="Tenaga Pengajar",0.25,IF(OR('LAMPIRAN I DONE'!$F$21="Asisten Ahli",'LAMPIRAN I DONE'!$F$21="Lektor",'LAMPIRAN I DONE'!$F$21="Lektor Kepala",'LAMPIRAN I DONE'!$F$21="Guru Besar"),0.5,""))&amp;" = "&amp;(((I166*J166)-(10-SUMPRODUCT($I$164:I165,$J$164:J165)))*IF('LAMPIRAN I DONE'!$F$21="Tenaga Pengajar",0.25,IF(OR('LAMPIRAN I DONE'!$F$21="Asisten Ahli",'LAMPIRAN I DONE'!$F$21="Lektor",'LAMPIRAN I DONE'!$F$21="Lektor Kepala",'LAMPIRAN I DONE'!$F$21="Guru Besar"),0.5,""))))),(I166&amp;" x "&amp;J166&amp;" x "&amp;(IF(OR(AND(L166="sks&gt;10",L165="sks&gt;10"),AND(L166="sks&gt;10",L165="sks&lt;=10")),IF('LAMPIRAN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"&amp;K166))),"rumus")</f>
        <v>2 x 1 x 1 = 2</v>
      </c>
      <c r="H166" s="106" t="s">
        <v>365</v>
      </c>
      <c r="I166" s="409">
        <v>2</v>
      </c>
      <c r="J166" s="409">
        <v>1</v>
      </c>
      <c r="K166" s="401">
        <f>IF(AND(I166&lt;&gt;"",J166&lt;&gt;""),(IF(OR(AND(L166="sks&gt;10",L165="sks&lt;=10",IFERROR(SUMPRODUCT($I$164:I165,$J$164:J165)&lt;10,FALSE)),AND(L166="sks&gt;10",L165="")),(((10-SUMPRODUCT($I$164:I165,$J$164:J165))*IF('LAMPIRAN I DONE'!$F$21="Tenaga Pengajar",0.5,IF(OR('LAMPIRAN I DONE'!$F$21="Asisten Ahli",'LAMPIRAN I DONE'!$F$21="Lektor",'LAMPIRAN I DONE'!$F$21="Lektor Kepala",'LAMPIRAN I DONE'!$F$21="Guru Besar"),1,"")))+(((I166*J166)-(10-SUMPRODUCT($I$164:I165,$J$164:J165)))*IF('LAMPIRAN I DONE'!$F$21="Tenaga Pengajar",0.25,IF(OR('LAMPIRAN I DONE'!$F$21="Asisten Ahli",'LAMPIRAN I DONE'!$F$21="Lektor",'LAMPIRAN I DONE'!$F$21="Lektor Kepala",'LAMPIRAN I DONE'!$F$21="Guru Besar"),0.5,"")))),IF(OR(AND(L166="sks&gt;10",L165="sks&gt;10"),AND(L166="sks&gt;10",L165="sks&lt;=10")),I166*J166*IF('LAMPIRAN I DONE'!$F$21="Tenaga Pengajar",0.25,IF(OR('LAMPIRAN I DONE'!$F$21="Asisten Ahli",'LAMPIRAN I DONE'!$F$21="Lektor",'LAMPIRAN I DONE'!$F$21="Lektor Kepala",'LAMPIRAN I DONE'!$F$21="Guru Besar"),0.5,"")),I166*J166*IF('LAMPIRAN I DONE'!$F$21="Tenaga Pengajar",0.5,IF(OR('LAMPIRAN I DONE'!$F$21="Asisten Ahli",'LAMPIRAN I DONE'!$F$21="Lektor",'LAMPIRAN I DONE'!$F$21="Lektor Kepala",'LAMPIRAN I DONE'!$F$21="Guru Besar"),1,""))))),"rumus")</f>
        <v>2</v>
      </c>
      <c r="L166" s="401" t="str">
        <f t="shared" si="66"/>
        <v>SKS&lt;=10</v>
      </c>
      <c r="M166" s="4"/>
      <c r="N166" s="4"/>
      <c r="O166" s="4"/>
      <c r="P166" s="4"/>
      <c r="Q166" s="4"/>
      <c r="R166" s="4"/>
      <c r="S166" s="4"/>
      <c r="T166" s="4"/>
      <c r="U166" s="4"/>
      <c r="V166" s="4"/>
      <c r="W166" s="4"/>
      <c r="X166" s="4"/>
      <c r="Y166" s="4"/>
      <c r="Z166" s="4"/>
    </row>
    <row r="167" spans="1:26" ht="25.5" customHeight="1" x14ac:dyDescent="0.25">
      <c r="A167" s="109">
        <v>3</v>
      </c>
      <c r="B167" s="397" t="s">
        <v>314</v>
      </c>
      <c r="C167" s="106" t="s">
        <v>327</v>
      </c>
      <c r="D167" s="106" t="str">
        <f t="shared" si="64"/>
        <v/>
      </c>
      <c r="E167" s="398" t="str">
        <f t="shared" si="65"/>
        <v/>
      </c>
      <c r="F167" s="398" t="str">
        <f>IF(K167&lt;&gt;"rumus",(IF(OR(AND(L167="sks&gt;10",L166="sks&lt;=10",IFERROR(SUMPRODUCT($I$164:I166,$J$164:J166)&lt;10,FALSE)),AND(L167="sks&gt;10",L166="")),((IF('LAMPIRAN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Besar"),0.5,"")))),((IF(OR(AND(L167="sks&gt;10",L166="sks&gt;10"),AND(L167="sks&gt;10",L166="sks&lt;=10")),IF('LAMPIRAN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67" s="398" t="str">
        <f>IF(K167&lt;&gt;"rumus",(IF(OR(AND(L167="sks&gt;10",L166="sks&lt;=10",IFERROR(SUMPRODUCT($I$164:I166,$J$164:J166)&lt;10,FALSE)),AND(L167="sks&gt;10",L166="")),(((10-SUMPRODUCT($I$164:I166,$J$164:J166))&amp;" x "&amp;1&amp;" x "&amp;IF('LAMPIRAN I DONE'!$F$21="Tenaga Pengajar",0.5,IF(OR('LAMPIRAN I DONE'!$F$21="Asisten Ahli",'LAMPIRAN I DONE'!$F$21="Lektor",'LAMPIRAN I DONE'!$F$21="Lektor Kepala",'LAMPIRAN I DONE'!$F$21="Guru Besar"),1,""))&amp;" = "&amp;((10-SUMPRODUCT($I$164:I166,$J$164:J166))*IF('LAMPIRAN I DONE'!$F$21="Tenaga Pengajar",0.5,IF(OR('LAMPIRAN I DONE'!$F$21="Asisten Ahli",'LAMPIRAN I DONE'!$F$21="Lektor",'LAMPIRAN I DONE'!$F$21="Lektor Kepala",'LAMPIRAN I DONE'!$F$21="Guru Besar"),1,""))))&amp;"
"&amp;(((I167*J167)-(10-SUMPRODUCT($I$164:I166,$J$164:J166)))&amp;" x "&amp;1&amp;" x "&amp;IF('LAMPIRAN I DONE'!$F$21="Tenaga Pengajar",0.25,IF(OR('LAMPIRAN I DONE'!$F$21="Asisten Ahli",'LAMPIRAN I DONE'!$F$21="Lektor",'LAMPIRAN I DONE'!$F$21="Lektor Kepala",'LAMPIRAN I DONE'!$F$21="Guru Besar"),0.5,""))&amp;" = "&amp;(((I167*J167)-(10-SUMPRODUCT($I$164:I166,$J$164:J166)))*IF('LAMPIRAN I DONE'!$F$21="Tenaga Pengajar",0.25,IF(OR('LAMPIRAN I DONE'!$F$21="Asisten Ahli",'LAMPIRAN I DONE'!$F$21="Lektor",'LAMPIRAN I DONE'!$F$21="Lektor Kepala",'LAMPIRAN I DONE'!$F$21="Guru Besar"),0.5,""))))),(I167&amp;" x "&amp;J167&amp;" x "&amp;(IF(OR(AND(L167="sks&gt;10",L166="sks&gt;10"),AND(L167="sks&gt;10",L166="sks&lt;=10")),IF('LAMPIRAN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"&amp;K167))),"rumus")</f>
        <v>rumus</v>
      </c>
      <c r="H167" s="106" t="s">
        <v>315</v>
      </c>
      <c r="I167" s="409"/>
      <c r="J167" s="409"/>
      <c r="K167" s="401" t="str">
        <f>IF(AND(I167&lt;&gt;"",J167&lt;&gt;""),(IF(OR(AND(L167="sks&gt;10",L166="sks&lt;=10",IFERROR(SUMPRODUCT($I$164:I166,$J$164:J166)&lt;10,FALSE)),AND(L167="sks&gt;10",L166="")),(((10-SUMPRODUCT($I$164:I166,$J$164:J166))*IF('LAMPIRAN I DONE'!$F$21="Tenaga Pengajar",0.5,IF(OR('LAMPIRAN I DONE'!$F$21="Asisten Ahli",'LAMPIRAN I DONE'!$F$21="Lektor",'LAMPIRAN I DONE'!$F$21="Lektor Kepala",'LAMPIRAN I DONE'!$F$21="Guru Besar"),1,"")))+(((I167*J167)-(10-SUMPRODUCT($I$164:I166,$J$164:J166)))*IF('LAMPIRAN I DONE'!$F$21="Tenaga Pengajar",0.25,IF(OR('LAMPIRAN I DONE'!$F$21="Asisten Ahli",'LAMPIRAN I DONE'!$F$21="Lektor",'LAMPIRAN I DONE'!$F$21="Lektor Kepala",'LAMPIRAN I DONE'!$F$21="Guru Besar"),0.5,"")))),IF(OR(AND(L167="sks&gt;10",L166="sks&gt;10"),AND(L167="sks&gt;10",L166="sks&lt;=10")),I167*J167*IF('LAMPIRAN I DONE'!$F$21="Tenaga Pengajar",0.25,IF(OR('LAMPIRAN I DONE'!$F$21="Asisten Ahli",'LAMPIRAN I DONE'!$F$21="Lektor",'LAMPIRAN I DONE'!$F$21="Lektor Kepala",'LAMPIRAN I DONE'!$F$21="Guru Besar"),0.5,"")),I167*J167*IF('LAMPIRAN I DONE'!$F$21="Tenaga Pengajar",0.5,IF(OR('LAMPIRAN I DONE'!$F$21="Asisten Ahli",'LAMPIRAN I DONE'!$F$21="Lektor",'LAMPIRAN I DONE'!$F$21="Lektor Kepala",'LAMPIRAN I DONE'!$F$21="Guru Besar"),1,""))))),"rumus")</f>
        <v>rumus</v>
      </c>
      <c r="L167" s="401" t="str">
        <f t="shared" si="66"/>
        <v>rumus</v>
      </c>
      <c r="M167" s="4"/>
      <c r="N167" s="4"/>
      <c r="O167" s="4"/>
      <c r="P167" s="4"/>
      <c r="Q167" s="4"/>
      <c r="R167" s="4"/>
      <c r="S167" s="4"/>
      <c r="T167" s="4"/>
      <c r="U167" s="4"/>
      <c r="V167" s="4"/>
      <c r="W167" s="4"/>
      <c r="X167" s="4"/>
      <c r="Y167" s="4"/>
      <c r="Z167" s="4"/>
    </row>
    <row r="168" spans="1:26" ht="25.5" customHeight="1" x14ac:dyDescent="0.25">
      <c r="A168" s="109">
        <v>4</v>
      </c>
      <c r="B168" s="397" t="s">
        <v>314</v>
      </c>
      <c r="C168" s="106" t="s">
        <v>327</v>
      </c>
      <c r="D168" s="106" t="str">
        <f t="shared" si="64"/>
        <v/>
      </c>
      <c r="E168" s="398" t="str">
        <f t="shared" si="65"/>
        <v/>
      </c>
      <c r="F168" s="398" t="str">
        <f>IF(K168&lt;&gt;"rumus",(IF(OR(AND(L168="sks&gt;10",L167="sks&lt;=10",IFERROR(SUMPRODUCT($I$164:I167,$J$164:J167)&lt;10,FALSE)),AND(L168="sks&gt;10",L167="")),((IF('LAMPIRAN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Besar"),0.5,"")))),((IF(OR(AND(L168="sks&gt;10",L167="sks&gt;10"),AND(L168="sks&gt;10",L167="sks&lt;=10")),IF('LAMPIRAN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68" s="398" t="str">
        <f>IF(K168&lt;&gt;"rumus",(IF(OR(AND(L168="sks&gt;10",L167="sks&lt;=10",IFERROR(SUMPRODUCT($I$164:I167,$J$164:J167)&lt;10,FALSE)),AND(L168="sks&gt;10",L167="")),(((10-SUMPRODUCT($I$164:I167,$J$164:J167))&amp;" x "&amp;1&amp;" x "&amp;IF('LAMPIRAN I DONE'!$F$21="Tenaga Pengajar",0.5,IF(OR('LAMPIRAN I DONE'!$F$21="Asisten Ahli",'LAMPIRAN I DONE'!$F$21="Lektor",'LAMPIRAN I DONE'!$F$21="Lektor Kepala",'LAMPIRAN I DONE'!$F$21="Guru Besar"),1,""))&amp;" = "&amp;((10-SUMPRODUCT($I$164:I167,$J$164:J167))*IF('LAMPIRAN I DONE'!$F$21="Tenaga Pengajar",0.5,IF(OR('LAMPIRAN I DONE'!$F$21="Asisten Ahli",'LAMPIRAN I DONE'!$F$21="Lektor",'LAMPIRAN I DONE'!$F$21="Lektor Kepala",'LAMPIRAN I DONE'!$F$21="Guru Besar"),1,""))))&amp;"
"&amp;(((I168*J168)-(10-SUMPRODUCT($I$164:I167,$J$164:J167)))&amp;" x "&amp;1&amp;" x "&amp;IF('LAMPIRAN I DONE'!$F$21="Tenaga Pengajar",0.25,IF(OR('LAMPIRAN I DONE'!$F$21="Asisten Ahli",'LAMPIRAN I DONE'!$F$21="Lektor",'LAMPIRAN I DONE'!$F$21="Lektor Kepala",'LAMPIRAN I DONE'!$F$21="Guru Besar"),0.5,""))&amp;" = "&amp;(((I168*J168)-(10-SUMPRODUCT($I$164:I167,$J$164:J167)))*IF('LAMPIRAN I DONE'!$F$21="Tenaga Pengajar",0.25,IF(OR('LAMPIRAN I DONE'!$F$21="Asisten Ahli",'LAMPIRAN I DONE'!$F$21="Lektor",'LAMPIRAN I DONE'!$F$21="Lektor Kepala",'LAMPIRAN I DONE'!$F$21="Guru Besar"),0.5,""))))),(I168&amp;" x "&amp;J168&amp;" x "&amp;(IF(OR(AND(L168="sks&gt;10",L167="sks&gt;10"),AND(L168="sks&gt;10",L167="sks&lt;=10")),IF('LAMPIRAN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"&amp;K168))),"rumus")</f>
        <v>rumus</v>
      </c>
      <c r="H168" s="106" t="s">
        <v>315</v>
      </c>
      <c r="I168" s="409"/>
      <c r="J168" s="409"/>
      <c r="K168" s="401" t="str">
        <f>IF(AND(I168&lt;&gt;"",J168&lt;&gt;""),(IF(OR(AND(L168="sks&gt;10",L167="sks&lt;=10",IFERROR(SUMPRODUCT($I$164:I167,$J$164:J167)&lt;10,FALSE)),AND(L168="sks&gt;10",L167="")),(((10-SUMPRODUCT($I$164:I167,$J$164:J167))*IF('LAMPIRAN I DONE'!$F$21="Tenaga Pengajar",0.5,IF(OR('LAMPIRAN I DONE'!$F$21="Asisten Ahli",'LAMPIRAN I DONE'!$F$21="Lektor",'LAMPIRAN I DONE'!$F$21="Lektor Kepala",'LAMPIRAN I DONE'!$F$21="Guru Besar"),1,"")))+(((I168*J168)-(10-SUMPRODUCT($I$164:I167,$J$164:J167)))*IF('LAMPIRAN I DONE'!$F$21="Tenaga Pengajar",0.25,IF(OR('LAMPIRAN I DONE'!$F$21="Asisten Ahli",'LAMPIRAN I DONE'!$F$21="Lektor",'LAMPIRAN I DONE'!$F$21="Lektor Kepala",'LAMPIRAN I DONE'!$F$21="Guru Besar"),0.5,"")))),IF(OR(AND(L168="sks&gt;10",L167="sks&gt;10"),AND(L168="sks&gt;10",L167="sks&lt;=10")),I168*J168*IF('LAMPIRAN I DONE'!$F$21="Tenaga Pengajar",0.25,IF(OR('LAMPIRAN I DONE'!$F$21="Asisten Ahli",'LAMPIRAN I DONE'!$F$21="Lektor",'LAMPIRAN I DONE'!$F$21="Lektor Kepala",'LAMPIRAN I DONE'!$F$21="Guru Besar"),0.5,"")),I168*J168*IF('LAMPIRAN I DONE'!$F$21="Tenaga Pengajar",0.5,IF(OR('LAMPIRAN I DONE'!$F$21="Asisten Ahli",'LAMPIRAN I DONE'!$F$21="Lektor",'LAMPIRAN I DONE'!$F$21="Lektor Kepala",'LAMPIRAN I DONE'!$F$21="Guru Besar"),1,""))))),"rumus")</f>
        <v>rumus</v>
      </c>
      <c r="L168" s="401" t="str">
        <f t="shared" si="66"/>
        <v>rumus</v>
      </c>
      <c r="M168" s="4"/>
      <c r="N168" s="4"/>
      <c r="O168" s="4"/>
      <c r="P168" s="4"/>
      <c r="Q168" s="4"/>
      <c r="R168" s="4"/>
      <c r="S168" s="4"/>
      <c r="T168" s="4"/>
      <c r="U168" s="4"/>
      <c r="V168" s="4"/>
      <c r="W168" s="4"/>
      <c r="X168" s="4"/>
      <c r="Y168" s="4"/>
      <c r="Z168" s="4"/>
    </row>
    <row r="169" spans="1:26" ht="25.5" customHeight="1" x14ac:dyDescent="0.25">
      <c r="A169" s="109">
        <v>5</v>
      </c>
      <c r="B169" s="397" t="s">
        <v>314</v>
      </c>
      <c r="C169" s="106" t="s">
        <v>327</v>
      </c>
      <c r="D169" s="106" t="str">
        <f t="shared" si="64"/>
        <v/>
      </c>
      <c r="E169" s="398" t="str">
        <f t="shared" si="65"/>
        <v/>
      </c>
      <c r="F169" s="398" t="str">
        <f>IF(K169&lt;&gt;"rumus",(IF(OR(AND(L169="sks&gt;10",L168="sks&lt;=10",IFERROR(SUMPRODUCT($I$164:I168,$J$164:J168)&lt;10,FALSE)),AND(L169="sks&gt;10",L168="")),((IF('LAMPIRAN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Besar"),0.5,"")))),((IF(OR(AND(L169="sks&gt;10",L168="sks&gt;10"),AND(L169="sks&gt;10",L168="sks&lt;=10")),IF('LAMPIRAN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69" s="398" t="str">
        <f>IF(K169&lt;&gt;"rumus",(IF(OR(AND(L169="sks&gt;10",L168="sks&lt;=10",IFERROR(SUMPRODUCT($I$164:I168,$J$164:J168)&lt;10,FALSE)),AND(L169="sks&gt;10",L168="")),(((10-SUMPRODUCT($I$164:I168,$J$164:J168))&amp;" x "&amp;1&amp;" x "&amp;IF('LAMPIRAN I DONE'!$F$21="Tenaga Pengajar",0.5,IF(OR('LAMPIRAN I DONE'!$F$21="Asisten Ahli",'LAMPIRAN I DONE'!$F$21="Lektor",'LAMPIRAN I DONE'!$F$21="Lektor Kepala",'LAMPIRAN I DONE'!$F$21="Guru Besar"),1,""))&amp;" = "&amp;((10-SUMPRODUCT($I$164:I168,$J$164:J168))*IF('LAMPIRAN I DONE'!$F$21="Tenaga Pengajar",0.5,IF(OR('LAMPIRAN I DONE'!$F$21="Asisten Ahli",'LAMPIRAN I DONE'!$F$21="Lektor",'LAMPIRAN I DONE'!$F$21="Lektor Kepala",'LAMPIRAN I DONE'!$F$21="Guru Besar"),1,""))))&amp;"
"&amp;(((I169*J169)-(10-SUMPRODUCT($I$164:I168,$J$164:J168)))&amp;" x "&amp;1&amp;" x "&amp;IF('LAMPIRAN I DONE'!$F$21="Tenaga Pengajar",0.25,IF(OR('LAMPIRAN I DONE'!$F$21="Asisten Ahli",'LAMPIRAN I DONE'!$F$21="Lektor",'LAMPIRAN I DONE'!$F$21="Lektor Kepala",'LAMPIRAN I DONE'!$F$21="Guru Besar"),0.5,""))&amp;" = "&amp;(((I169*J169)-(10-SUMPRODUCT($I$164:I168,$J$164:J168)))*IF('LAMPIRAN I DONE'!$F$21="Tenaga Pengajar",0.25,IF(OR('LAMPIRAN I DONE'!$F$21="Asisten Ahli",'LAMPIRAN I DONE'!$F$21="Lektor",'LAMPIRAN I DONE'!$F$21="Lektor Kepala",'LAMPIRAN I DONE'!$F$21="Guru Besar"),0.5,""))))),(I169&amp;" x "&amp;J169&amp;" x "&amp;(IF(OR(AND(L169="sks&gt;10",L168="sks&gt;10"),AND(L169="sks&gt;10",L168="sks&lt;=10")),IF('LAMPIRAN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"&amp;K169))),"rumus")</f>
        <v>rumus</v>
      </c>
      <c r="H169" s="106" t="s">
        <v>315</v>
      </c>
      <c r="I169" s="409"/>
      <c r="J169" s="409"/>
      <c r="K169" s="401" t="str">
        <f>IF(AND(I169&lt;&gt;"",J169&lt;&gt;""),(IF(OR(AND(L169="sks&gt;10",L168="sks&lt;=10",IFERROR(SUMPRODUCT($I$164:I168,$J$164:J168)&lt;10,FALSE)),AND(L169="sks&gt;10",L168="")),(((10-SUMPRODUCT($I$164:I168,$J$164:J168))*IF('LAMPIRAN I DONE'!$F$21="Tenaga Pengajar",0.5,IF(OR('LAMPIRAN I DONE'!$F$21="Asisten Ahli",'LAMPIRAN I DONE'!$F$21="Lektor",'LAMPIRAN I DONE'!$F$21="Lektor Kepala",'LAMPIRAN I DONE'!$F$21="Guru Besar"),1,"")))+(((I169*J169)-(10-SUMPRODUCT($I$164:I168,$J$164:J168)))*IF('LAMPIRAN I DONE'!$F$21="Tenaga Pengajar",0.25,IF(OR('LAMPIRAN I DONE'!$F$21="Asisten Ahli",'LAMPIRAN I DONE'!$F$21="Lektor",'LAMPIRAN I DONE'!$F$21="Lektor Kepala",'LAMPIRAN I DONE'!$F$21="Guru Besar"),0.5,"")))),IF(OR(AND(L169="sks&gt;10",L168="sks&gt;10"),AND(L169="sks&gt;10",L168="sks&lt;=10")),I169*J169*IF('LAMPIRAN I DONE'!$F$21="Tenaga Pengajar",0.25,IF(OR('LAMPIRAN I DONE'!$F$21="Asisten Ahli",'LAMPIRAN I DONE'!$F$21="Lektor",'LAMPIRAN I DONE'!$F$21="Lektor Kepala",'LAMPIRAN I DONE'!$F$21="Guru Besar"),0.5,"")),I169*J169*IF('LAMPIRAN I DONE'!$F$21="Tenaga Pengajar",0.5,IF(OR('LAMPIRAN I DONE'!$F$21="Asisten Ahli",'LAMPIRAN I DONE'!$F$21="Lektor",'LAMPIRAN I DONE'!$F$21="Lektor Kepala",'LAMPIRAN I DONE'!$F$21="Guru Besar"),1,""))))),"rumus")</f>
        <v>rumus</v>
      </c>
      <c r="L169" s="401" t="str">
        <f t="shared" si="66"/>
        <v>rumus</v>
      </c>
      <c r="M169" s="4"/>
      <c r="N169" s="4"/>
      <c r="O169" s="4"/>
      <c r="P169" s="4"/>
      <c r="Q169" s="4"/>
      <c r="R169" s="4"/>
      <c r="S169" s="4"/>
      <c r="T169" s="4"/>
      <c r="U169" s="4"/>
      <c r="V169" s="4"/>
      <c r="W169" s="4"/>
      <c r="X169" s="4"/>
      <c r="Y169" s="4"/>
      <c r="Z169" s="4"/>
    </row>
    <row r="170" spans="1:26" ht="25.5" customHeight="1" x14ac:dyDescent="0.25">
      <c r="A170" s="109">
        <v>6</v>
      </c>
      <c r="B170" s="397" t="s">
        <v>314</v>
      </c>
      <c r="C170" s="106" t="s">
        <v>327</v>
      </c>
      <c r="D170" s="106" t="str">
        <f t="shared" si="64"/>
        <v/>
      </c>
      <c r="E170" s="398" t="str">
        <f t="shared" si="65"/>
        <v/>
      </c>
      <c r="F170" s="398" t="str">
        <f>IF(K170&lt;&gt;"rumus",(IF(OR(AND(L170="sks&gt;10",L169="sks&lt;=10",IFERROR(SUMPRODUCT($I$164:I169,$J$164:J169)&lt;10,FALSE)),AND(L170="sks&gt;10",L169="")),((IF('LAMPIRAN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Besar"),0.5,"")))),((IF(OR(AND(L170="sks&gt;10",L169="sks&gt;10"),AND(L170="sks&gt;10",L169="sks&lt;=10")),IF('LAMPIRAN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70" s="398" t="str">
        <f>IF(K170&lt;&gt;"rumus",(IF(OR(AND(L170="sks&gt;10",L169="sks&lt;=10",IFERROR(SUMPRODUCT($I$164:I169,$J$164:J169)&lt;10,FALSE)),AND(L170="sks&gt;10",L169="")),(((10-SUMPRODUCT($I$164:I169,$J$164:J169))&amp;" x "&amp;1&amp;" x "&amp;IF('LAMPIRAN I DONE'!$F$21="Tenaga Pengajar",0.5,IF(OR('LAMPIRAN I DONE'!$F$21="Asisten Ahli",'LAMPIRAN I DONE'!$F$21="Lektor",'LAMPIRAN I DONE'!$F$21="Lektor Kepala",'LAMPIRAN I DONE'!$F$21="Guru Besar"),1,""))&amp;" = "&amp;((10-SUMPRODUCT($I$164:I169,$J$164:J169))*IF('LAMPIRAN I DONE'!$F$21="Tenaga Pengajar",0.5,IF(OR('LAMPIRAN I DONE'!$F$21="Asisten Ahli",'LAMPIRAN I DONE'!$F$21="Lektor",'LAMPIRAN I DONE'!$F$21="Lektor Kepala",'LAMPIRAN I DONE'!$F$21="Guru Besar"),1,""))))&amp;"
"&amp;(((I170*J170)-(10-SUMPRODUCT($I$164:I169,$J$164:J169)))&amp;" x "&amp;1&amp;" x "&amp;IF('LAMPIRAN I DONE'!$F$21="Tenaga Pengajar",0.25,IF(OR('LAMPIRAN I DONE'!$F$21="Asisten Ahli",'LAMPIRAN I DONE'!$F$21="Lektor",'LAMPIRAN I DONE'!$F$21="Lektor Kepala",'LAMPIRAN I DONE'!$F$21="Guru Besar"),0.5,""))&amp;" = "&amp;(((I170*J170)-(10-SUMPRODUCT($I$164:I169,$J$164:J169)))*IF('LAMPIRAN I DONE'!$F$21="Tenaga Pengajar",0.25,IF(OR('LAMPIRAN I DONE'!$F$21="Asisten Ahli",'LAMPIRAN I DONE'!$F$21="Lektor",'LAMPIRAN I DONE'!$F$21="Lektor Kepala",'LAMPIRAN I DONE'!$F$21="Guru Besar"),0.5,""))))),(I170&amp;" x "&amp;J170&amp;" x "&amp;(IF(OR(AND(L170="sks&gt;10",L169="sks&gt;10"),AND(L170="sks&gt;10",L169="sks&lt;=10")),IF('LAMPIRAN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"&amp;K170))),"rumus")</f>
        <v>rumus</v>
      </c>
      <c r="H170" s="106" t="s">
        <v>315</v>
      </c>
      <c r="I170" s="409"/>
      <c r="J170" s="409"/>
      <c r="K170" s="401" t="str">
        <f>IF(AND(I170&lt;&gt;"",J170&lt;&gt;""),(IF(OR(AND(L170="sks&gt;10",L169="sks&lt;=10",IFERROR(SUMPRODUCT($I$164:I169,$J$164:J169)&lt;10,FALSE)),AND(L170="sks&gt;10",L169="")),(((10-SUMPRODUCT($I$164:I169,$J$164:J169))*IF('LAMPIRAN I DONE'!$F$21="Tenaga Pengajar",0.5,IF(OR('LAMPIRAN I DONE'!$F$21="Asisten Ahli",'LAMPIRAN I DONE'!$F$21="Lektor",'LAMPIRAN I DONE'!$F$21="Lektor Kepala",'LAMPIRAN I DONE'!$F$21="Guru Besar"),1,"")))+(((I170*J170)-(10-SUMPRODUCT($I$164:I169,$J$164:J169)))*IF('LAMPIRAN I DONE'!$F$21="Tenaga Pengajar",0.25,IF(OR('LAMPIRAN I DONE'!$F$21="Asisten Ahli",'LAMPIRAN I DONE'!$F$21="Lektor",'LAMPIRAN I DONE'!$F$21="Lektor Kepala",'LAMPIRAN I DONE'!$F$21="Guru Besar"),0.5,"")))),IF(OR(AND(L170="sks&gt;10",L169="sks&gt;10"),AND(L170="sks&gt;10",L169="sks&lt;=10")),I170*J170*IF('LAMPIRAN I DONE'!$F$21="Tenaga Pengajar",0.25,IF(OR('LAMPIRAN I DONE'!$F$21="Asisten Ahli",'LAMPIRAN I DONE'!$F$21="Lektor",'LAMPIRAN I DONE'!$F$21="Lektor Kepala",'LAMPIRAN I DONE'!$F$21="Guru Besar"),0.5,"")),I170*J170*IF('LAMPIRAN I DONE'!$F$21="Tenaga Pengajar",0.5,IF(OR('LAMPIRAN I DONE'!$F$21="Asisten Ahli",'LAMPIRAN I DONE'!$F$21="Lektor",'LAMPIRAN I DONE'!$F$21="Lektor Kepala",'LAMPIRAN I DONE'!$F$21="Guru Besar"),1,""))))),"rumus")</f>
        <v>rumus</v>
      </c>
      <c r="L170" s="401" t="str">
        <f t="shared" si="66"/>
        <v>rumus</v>
      </c>
      <c r="M170" s="4"/>
      <c r="N170" s="4"/>
      <c r="O170" s="4"/>
      <c r="P170" s="4"/>
      <c r="Q170" s="4"/>
      <c r="R170" s="4"/>
      <c r="S170" s="4"/>
      <c r="T170" s="4"/>
      <c r="U170" s="4"/>
      <c r="V170" s="4"/>
      <c r="W170" s="4"/>
      <c r="X170" s="4"/>
      <c r="Y170" s="4"/>
      <c r="Z170" s="4"/>
    </row>
    <row r="171" spans="1:26" ht="15" customHeight="1" x14ac:dyDescent="0.25">
      <c r="A171" s="109"/>
      <c r="B171" s="406" t="str">
        <f>"b. Semester Genap "&amp;IF(C172&lt;&gt;"",C172,"")&amp;" :"</f>
        <v>b. Semester Genap 2018/2019 :</v>
      </c>
      <c r="C171" s="407"/>
      <c r="D171" s="407"/>
      <c r="E171" s="407"/>
      <c r="F171" s="407"/>
      <c r="G171" s="407"/>
      <c r="H171" s="408"/>
      <c r="I171" s="110"/>
      <c r="J171" s="110"/>
      <c r="K171" s="4"/>
      <c r="L171" s="4"/>
      <c r="M171" s="111">
        <f>IF((AND(N171="Max 5,5",SUM(K165:K170)&lt;=5.5)),SUM(K165:K170),IF((AND(N171="Max 5,5",SUM(K165:K170)&gt;5.5)),5.5,IF((AND(N171="Max 11",SUM(K165:K170)&lt;=11)),SUM(K165:K170),IF((AND(N171="Max 11",SUM(K165:K170)&gt;11)),11,""))))</f>
        <v>6</v>
      </c>
      <c r="N171" s="103" t="str">
        <f>IF('LAMPIRAN I DONE'!$F$21="Tenaga Pengajar","Max 5,5",IF(OR('LAMPIRAN I DONE'!$F$21="Asisten Ahli",'LAMPIRAN I DONE'!$F$21="Lektor",'LAMPIRAN I DONE'!$F$21="Lektor Kepala",'LAMPIRAN I DONE'!$F$21="Guru Besar"),"Max 11",""))</f>
        <v>Max 11</v>
      </c>
      <c r="O171" s="4"/>
      <c r="P171" s="4"/>
      <c r="Q171" s="4"/>
      <c r="R171" s="4"/>
      <c r="S171" s="4"/>
      <c r="T171" s="4"/>
      <c r="U171" s="4"/>
      <c r="V171" s="4"/>
      <c r="W171" s="4"/>
      <c r="X171" s="4"/>
      <c r="Y171" s="4"/>
      <c r="Z171" s="4"/>
    </row>
    <row r="172" spans="1:26" ht="25.5" customHeight="1" x14ac:dyDescent="0.25">
      <c r="A172" s="109">
        <v>1</v>
      </c>
      <c r="B172" s="570" t="s">
        <v>367</v>
      </c>
      <c r="C172" s="106" t="s">
        <v>331</v>
      </c>
      <c r="D172" s="106" t="str">
        <f t="shared" ref="D172:D177" si="67">IF(G172&lt;&gt;"rumus","SKS","")</f>
        <v>SKS</v>
      </c>
      <c r="E172" s="398" t="str">
        <f t="shared" ref="E172:E177" si="68">IF(K172&lt;&gt;"rumus",(IF(OR(AND(L172="sks&gt;10",L171="sks&lt;=10",IFERROR(SUMPRODUCT($I$171:I171,$J$171:J171)&lt;10,FALSE)),AND(L172="sks&gt;10",L171="")),(((10-SUMPRODUCT($I$171:I171,$J$171:J171))&amp;" x "&amp;1)&amp;"
"&amp;(((I172*J172)-(10-SUMPRODUCT($I$171:I171,$J$171:J171)))&amp;" x "&amp;1)),(I172&amp;" x "&amp;J172))),"")</f>
        <v>4 x 2</v>
      </c>
      <c r="F172" s="398">
        <f>IF(K172&lt;&gt;"rumus",(IF(OR(AND(L172="sks&gt;10",L171="sks&lt;=10",IFERROR(SUMPRODUCT($I$171:I171,$J$171:J171)&lt;10,FALSE)),AND(L172="sks&gt;10",L171="")),((IF('LAMPIRAN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Besar"),0.5,"")))),((IF(OR(AND(L172="sks&gt;10",L171="sks&gt;10"),AND(L172="sks&gt;10",L171="sks&lt;=10")),IF('LAMPIRAN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72" s="398" t="str">
        <f>IF(K172&lt;&gt;"rumus",(IF(OR(AND(L172="sks&gt;10",L171="sks&lt;=10",IFERROR(SUMPRODUCT($I$171:I171,$J$171:J171)&lt;10,FALSE)),AND(L172="sks&gt;10",L171="")),(((10-SUMPRODUCT($I$171:I171,$J$171:J171))&amp;" x "&amp;1&amp;" x "&amp;IF('LAMPIRAN I DONE'!$F$21="Tenaga Pengajar",0.5,IF(OR('LAMPIRAN I DONE'!$F$21="Asisten Ahli",'LAMPIRAN I DONE'!$F$21="Lektor",'LAMPIRAN I DONE'!$F$21="Lektor Kepala",'LAMPIRAN I DONE'!$F$21="Guru Besar"),1,""))&amp;" = "&amp;((10-SUMPRODUCT($I$171:I171,$J$171:J171))*IF('LAMPIRAN I DONE'!$F$21="Tenaga Pengajar",0.5,IF(OR('LAMPIRAN I DONE'!$F$21="Asisten Ahli",'LAMPIRAN I DONE'!$F$21="Lektor",'LAMPIRAN I DONE'!$F$21="Lektor Kepala",'LAMPIRAN I DONE'!$F$21="Guru Besar"),1,""))))&amp;"
"&amp;(((I172*J172)-(10-SUMPRODUCT($I$171:I171,$J$171:J171)))&amp;" x "&amp;1&amp;" x "&amp;IF('LAMPIRAN I DONE'!$F$21="Tenaga Pengajar",0.25,IF(OR('LAMPIRAN I DONE'!$F$21="Asisten Ahli",'LAMPIRAN I DONE'!$F$21="Lektor",'LAMPIRAN I DONE'!$F$21="Lektor Kepala",'LAMPIRAN I DONE'!$F$21="Guru Besar"),0.5,""))&amp;" = "&amp;(((I172*J172)-(10-SUMPRODUCT($I$171:I171,$J$171:J171)))*IF('LAMPIRAN I DONE'!$F$21="Tenaga Pengajar",0.25,IF(OR('LAMPIRAN I DONE'!$F$21="Asisten Ahli",'LAMPIRAN I DONE'!$F$21="Lektor",'LAMPIRAN I DONE'!$F$21="Lektor Kepala",'LAMPIRAN I DONE'!$F$21="Guru Besar"),0.5,""))))),(I172&amp;" x "&amp;J172&amp;" x "&amp;(IF(OR(AND(L172="sks&gt;10",L171="sks&gt;10"),AND(L172="sks&gt;10",L171="sks&lt;=10")),IF('LAMPIRAN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"&amp;K172))),"rumus")</f>
        <v>4 x 2 x 1 = 8</v>
      </c>
      <c r="H172" s="106" t="s">
        <v>368</v>
      </c>
      <c r="I172" s="409">
        <v>4</v>
      </c>
      <c r="J172" s="409">
        <v>2</v>
      </c>
      <c r="K172" s="401">
        <f>IF(AND(I172&lt;&gt;"",J172&lt;&gt;""),(IF(OR(AND(L172="sks&gt;10",L171="sks&lt;=10",IFERROR(SUMPRODUCT($I$171:I171,$J$171:J171)&lt;10,FALSE)),AND(L172="sks&gt;10",L171="")),(((10-SUMPRODUCT($I$171:I171,$J$171:J171))*IF('LAMPIRAN I DONE'!$F$21="Tenaga Pengajar",0.5,IF(OR('LAMPIRAN I DONE'!$F$21="Asisten Ahli",'LAMPIRAN I DONE'!$F$21="Lektor",'LAMPIRAN I DONE'!$F$21="Lektor Kepala",'LAMPIRAN I DONE'!$F$21="Guru Besar"),1,"")))+(((I172*J172)-(10-SUMPRODUCT($I$171:I171,$J$171:J171)))*IF('LAMPIRAN I DONE'!$F$21="Tenaga Pengajar",0.25,IF(OR('LAMPIRAN I DONE'!$F$21="Asisten Ahli",'LAMPIRAN I DONE'!$F$21="Lektor",'LAMPIRAN I DONE'!$F$21="Lektor Kepala",'LAMPIRAN I DONE'!$F$21="Guru Besar"),0.5,"")))),IF(OR(AND(L172="sks&gt;10",L171="sks&gt;10"),AND(L172="sks&gt;10",L171="sks&lt;=10")),I172*J172*IF('LAMPIRAN I DONE'!$F$21="Tenaga Pengajar",0.25,IF(OR('LAMPIRAN I DONE'!$F$21="Asisten Ahli",'LAMPIRAN I DONE'!$F$21="Lektor",'LAMPIRAN I DONE'!$F$21="Lektor Kepala",'LAMPIRAN I DONE'!$F$21="Guru Besar"),0.5,"")),I172*J172*IF('LAMPIRAN I DONE'!$F$21="Tenaga Pengajar",0.5,IF(OR('LAMPIRAN I DONE'!$F$21="Asisten Ahli",'LAMPIRAN I DONE'!$F$21="Lektor",'LAMPIRAN I DONE'!$F$21="Lektor Kepala",'LAMPIRAN I DONE'!$F$21="Guru Besar"),1,""))))),"rumus")</f>
        <v>8</v>
      </c>
      <c r="L172" s="401" t="str">
        <f t="shared" ref="L172:L177" si="69">IF(AND(I172&lt;&gt;"",J172&lt;&gt;""),(IF(SUMPRODUCT($I$172:I172,$J$172:J172)&lt;=10,"SKS&lt;=10",IF(SUMPRODUCT($I$172:I172,$J$172:J172)&gt;10,"SKS&gt;10",""))),"rumus")</f>
        <v>SKS&lt;=10</v>
      </c>
      <c r="M172" s="4"/>
      <c r="N172" s="4"/>
      <c r="O172" s="4"/>
      <c r="P172" s="4"/>
      <c r="Q172" s="4"/>
      <c r="R172" s="4"/>
      <c r="S172" s="4"/>
      <c r="T172" s="4"/>
      <c r="U172" s="4"/>
      <c r="V172" s="4"/>
      <c r="W172" s="4"/>
      <c r="X172" s="4"/>
      <c r="Y172" s="4"/>
      <c r="Z172" s="4"/>
    </row>
    <row r="173" spans="1:26" ht="25.5" customHeight="1" x14ac:dyDescent="0.25">
      <c r="A173" s="109">
        <v>2</v>
      </c>
      <c r="B173" s="571" t="s">
        <v>366</v>
      </c>
      <c r="C173" s="106" t="s">
        <v>331</v>
      </c>
      <c r="D173" s="106" t="str">
        <f t="shared" si="67"/>
        <v>SKS</v>
      </c>
      <c r="E173" s="398" t="str">
        <f t="shared" si="68"/>
        <v>2 x 1</v>
      </c>
      <c r="F173" s="398">
        <f>IF(K173&lt;&gt;"rumus",(IF(OR(AND(L173="sks&gt;10",L172="sks&lt;=10",IFERROR(SUMPRODUCT($I$171:I172,$J$171:J172)&lt;10,FALSE)),AND(L173="sks&gt;10",L172="")),((IF('LAMPIRAN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Besar"),0.5,"")))),((IF(OR(AND(L173="sks&gt;10",L172="sks&gt;10"),AND(L173="sks&gt;10",L172="sks&lt;=10")),IF('LAMPIRAN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73" s="398" t="str">
        <f>IF(K173&lt;&gt;"rumus",(IF(OR(AND(L173="sks&gt;10",L172="sks&lt;=10",IFERROR(SUMPRODUCT($I$171:I172,$J$171:J172)&lt;10,FALSE)),AND(L173="sks&gt;10",L172="")),(((10-SUMPRODUCT($I$171:I172,$J$171:J172))&amp;" x "&amp;1&amp;" x "&amp;IF('LAMPIRAN I DONE'!$F$21="Tenaga Pengajar",0.5,IF(OR('LAMPIRAN I DONE'!$F$21="Asisten Ahli",'LAMPIRAN I DONE'!$F$21="Lektor",'LAMPIRAN I DONE'!$F$21="Lektor Kepala",'LAMPIRAN I DONE'!$F$21="Guru Besar"),1,""))&amp;" = "&amp;((10-SUMPRODUCT($I$171:I172,$J$171:J172))*IF('LAMPIRAN I DONE'!$F$21="Tenaga Pengajar",0.5,IF(OR('LAMPIRAN I DONE'!$F$21="Asisten Ahli",'LAMPIRAN I DONE'!$F$21="Lektor",'LAMPIRAN I DONE'!$F$21="Lektor Kepala",'LAMPIRAN I DONE'!$F$21="Guru Besar"),1,""))))&amp;"
"&amp;(((I173*J173)-(10-SUMPRODUCT($I$171:I172,$J$171:J172)))&amp;" x "&amp;1&amp;" x "&amp;IF('LAMPIRAN I DONE'!$F$21="Tenaga Pengajar",0.25,IF(OR('LAMPIRAN I DONE'!$F$21="Asisten Ahli",'LAMPIRAN I DONE'!$F$21="Lektor",'LAMPIRAN I DONE'!$F$21="Lektor Kepala",'LAMPIRAN I DONE'!$F$21="Guru Besar"),0.5,""))&amp;" = "&amp;(((I173*J173)-(10-SUMPRODUCT($I$171:I172,$J$171:J172)))*IF('LAMPIRAN I DONE'!$F$21="Tenaga Pengajar",0.25,IF(OR('LAMPIRAN I DONE'!$F$21="Asisten Ahli",'LAMPIRAN I DONE'!$F$21="Lektor",'LAMPIRAN I DONE'!$F$21="Lektor Kepala",'LAMPIRAN I DONE'!$F$21="Guru Besar"),0.5,""))))),(I173&amp;" x "&amp;J173&amp;" x "&amp;(IF(OR(AND(L173="sks&gt;10",L172="sks&gt;10"),AND(L173="sks&gt;10",L172="sks&lt;=10")),IF('LAMPIRAN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"&amp;K173))),"rumus")</f>
        <v>2 x 1 x 1 = 2</v>
      </c>
      <c r="H173" s="106" t="s">
        <v>368</v>
      </c>
      <c r="I173" s="409">
        <v>2</v>
      </c>
      <c r="J173" s="409">
        <v>1</v>
      </c>
      <c r="K173" s="401">
        <f>IF(AND(I173&lt;&gt;"",J173&lt;&gt;""),(IF(OR(AND(L173="sks&gt;10",L172="sks&lt;=10",IFERROR(SUMPRODUCT($I$171:I172,$J$171:J172)&lt;10,FALSE)),AND(L173="sks&gt;10",L172="")),(((10-SUMPRODUCT($I$171:I172,$J$171:J172))*IF('LAMPIRAN I DONE'!$F$21="Tenaga Pengajar",0.5,IF(OR('LAMPIRAN I DONE'!$F$21="Asisten Ahli",'LAMPIRAN I DONE'!$F$21="Lektor",'LAMPIRAN I DONE'!$F$21="Lektor Kepala",'LAMPIRAN I DONE'!$F$21="Guru Besar"),1,"")))+(((I173*J173)-(10-SUMPRODUCT($I$171:I172,$J$171:J172)))*IF('LAMPIRAN I DONE'!$F$21="Tenaga Pengajar",0.25,IF(OR('LAMPIRAN I DONE'!$F$21="Asisten Ahli",'LAMPIRAN I DONE'!$F$21="Lektor",'LAMPIRAN I DONE'!$F$21="Lektor Kepala",'LAMPIRAN I DONE'!$F$21="Guru Besar"),0.5,"")))),IF(OR(AND(L173="sks&gt;10",L172="sks&gt;10"),AND(L173="sks&gt;10",L172="sks&lt;=10")),I173*J173*IF('LAMPIRAN I DONE'!$F$21="Tenaga Pengajar",0.25,IF(OR('LAMPIRAN I DONE'!$F$21="Asisten Ahli",'LAMPIRAN I DONE'!$F$21="Lektor",'LAMPIRAN I DONE'!$F$21="Lektor Kepala",'LAMPIRAN I DONE'!$F$21="Guru Besar"),0.5,"")),I173*J173*IF('LAMPIRAN I DONE'!$F$21="Tenaga Pengajar",0.5,IF(OR('LAMPIRAN I DONE'!$F$21="Asisten Ahli",'LAMPIRAN I DONE'!$F$21="Lektor",'LAMPIRAN I DONE'!$F$21="Lektor Kepala",'LAMPIRAN I DONE'!$F$21="Guru Besar"),1,""))))),"rumus")</f>
        <v>2</v>
      </c>
      <c r="L173" s="401" t="str">
        <f t="shared" si="69"/>
        <v>SKS&lt;=10</v>
      </c>
      <c r="M173" s="4"/>
      <c r="N173" s="4"/>
      <c r="O173" s="4"/>
      <c r="P173" s="4"/>
      <c r="Q173" s="4"/>
      <c r="R173" s="4"/>
      <c r="S173" s="4"/>
      <c r="T173" s="4"/>
      <c r="U173" s="4"/>
      <c r="V173" s="4"/>
      <c r="W173" s="4"/>
      <c r="X173" s="4"/>
      <c r="Y173" s="4"/>
      <c r="Z173" s="4"/>
    </row>
    <row r="174" spans="1:26" ht="25.5" customHeight="1" x14ac:dyDescent="0.25">
      <c r="A174" s="109">
        <v>3</v>
      </c>
      <c r="B174" s="397" t="s">
        <v>314</v>
      </c>
      <c r="C174" s="106" t="s">
        <v>331</v>
      </c>
      <c r="D174" s="106" t="str">
        <f t="shared" si="67"/>
        <v/>
      </c>
      <c r="E174" s="398" t="str">
        <f t="shared" si="68"/>
        <v/>
      </c>
      <c r="F174" s="398" t="str">
        <f>IF(K174&lt;&gt;"rumus",(IF(OR(AND(L174="sks&gt;10",L173="sks&lt;=10",IFERROR(SUMPRODUCT($I$171:I173,$J$171:J173)&lt;10,FALSE)),AND(L174="sks&gt;10",L173="")),((IF('LAMPIRAN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Besar"),0.5,"")))),((IF(OR(AND(L174="sks&gt;10",L173="sks&gt;10"),AND(L174="sks&gt;10",L173="sks&lt;=10")),IF('LAMPIRAN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74" s="398" t="str">
        <f>IF(K174&lt;&gt;"rumus",(IF(OR(AND(L174="sks&gt;10",L173="sks&lt;=10",IFERROR(SUMPRODUCT($I$171:I173,$J$171:J173)&lt;10,FALSE)),AND(L174="sks&gt;10",L173="")),(((10-SUMPRODUCT($I$171:I173,$J$171:J173))&amp;" x "&amp;1&amp;" x "&amp;IF('LAMPIRAN I DONE'!$F$21="Tenaga Pengajar",0.5,IF(OR('LAMPIRAN I DONE'!$F$21="Asisten Ahli",'LAMPIRAN I DONE'!$F$21="Lektor",'LAMPIRAN I DONE'!$F$21="Lektor Kepala",'LAMPIRAN I DONE'!$F$21="Guru Besar"),1,""))&amp;" = "&amp;((10-SUMPRODUCT($I$171:I173,$J$171:J173))*IF('LAMPIRAN I DONE'!$F$21="Tenaga Pengajar",0.5,IF(OR('LAMPIRAN I DONE'!$F$21="Asisten Ahli",'LAMPIRAN I DONE'!$F$21="Lektor",'LAMPIRAN I DONE'!$F$21="Lektor Kepala",'LAMPIRAN I DONE'!$F$21="Guru Besar"),1,""))))&amp;"
"&amp;(((I174*J174)-(10-SUMPRODUCT($I$171:I173,$J$171:J173)))&amp;" x "&amp;1&amp;" x "&amp;IF('LAMPIRAN I DONE'!$F$21="Tenaga Pengajar",0.25,IF(OR('LAMPIRAN I DONE'!$F$21="Asisten Ahli",'LAMPIRAN I DONE'!$F$21="Lektor",'LAMPIRAN I DONE'!$F$21="Lektor Kepala",'LAMPIRAN I DONE'!$F$21="Guru Besar"),0.5,""))&amp;" = "&amp;(((I174*J174)-(10-SUMPRODUCT($I$171:I173,$J$171:J173)))*IF('LAMPIRAN I DONE'!$F$21="Tenaga Pengajar",0.25,IF(OR('LAMPIRAN I DONE'!$F$21="Asisten Ahli",'LAMPIRAN I DONE'!$F$21="Lektor",'LAMPIRAN I DONE'!$F$21="Lektor Kepala",'LAMPIRAN I DONE'!$F$21="Guru Besar"),0.5,""))))),(I174&amp;" x "&amp;J174&amp;" x "&amp;(IF(OR(AND(L174="sks&gt;10",L173="sks&gt;10"),AND(L174="sks&gt;10",L173="sks&lt;=10")),IF('LAMPIRAN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"&amp;K174))),"rumus")</f>
        <v>rumus</v>
      </c>
      <c r="H174" s="106" t="s">
        <v>315</v>
      </c>
      <c r="I174" s="409"/>
      <c r="J174" s="409"/>
      <c r="K174" s="401" t="str">
        <f>IF(AND(I174&lt;&gt;"",J174&lt;&gt;""),(IF(OR(AND(L174="sks&gt;10",L173="sks&lt;=10",IFERROR(SUMPRODUCT($I$171:I173,$J$171:J173)&lt;10,FALSE)),AND(L174="sks&gt;10",L173="")),(((10-SUMPRODUCT($I$171:I173,$J$171:J173))*IF('LAMPIRAN I DONE'!$F$21="Tenaga Pengajar",0.5,IF(OR('LAMPIRAN I DONE'!$F$21="Asisten Ahli",'LAMPIRAN I DONE'!$F$21="Lektor",'LAMPIRAN I DONE'!$F$21="Lektor Kepala",'LAMPIRAN I DONE'!$F$21="Guru Besar"),1,"")))+(((I174*J174)-(10-SUMPRODUCT($I$171:I173,$J$171:J173)))*IF('LAMPIRAN I DONE'!$F$21="Tenaga Pengajar",0.25,IF(OR('LAMPIRAN I DONE'!$F$21="Asisten Ahli",'LAMPIRAN I DONE'!$F$21="Lektor",'LAMPIRAN I DONE'!$F$21="Lektor Kepala",'LAMPIRAN I DONE'!$F$21="Guru Besar"),0.5,"")))),IF(OR(AND(L174="sks&gt;10",L173="sks&gt;10"),AND(L174="sks&gt;10",L173="sks&lt;=10")),I174*J174*IF('LAMPIRAN I DONE'!$F$21="Tenaga Pengajar",0.25,IF(OR('LAMPIRAN I DONE'!$F$21="Asisten Ahli",'LAMPIRAN I DONE'!$F$21="Lektor",'LAMPIRAN I DONE'!$F$21="Lektor Kepala",'LAMPIRAN I DONE'!$F$21="Guru Besar"),0.5,"")),I174*J174*IF('LAMPIRAN I DONE'!$F$21="Tenaga Pengajar",0.5,IF(OR('LAMPIRAN I DONE'!$F$21="Asisten Ahli",'LAMPIRAN I DONE'!$F$21="Lektor",'LAMPIRAN I DONE'!$F$21="Lektor Kepala",'LAMPIRAN I DONE'!$F$21="Guru Besar"),1,""))))),"rumus")</f>
        <v>rumus</v>
      </c>
      <c r="L174" s="401" t="str">
        <f t="shared" si="69"/>
        <v>rumus</v>
      </c>
      <c r="M174" s="4"/>
      <c r="N174" s="4"/>
      <c r="O174" s="4"/>
      <c r="P174" s="4"/>
      <c r="Q174" s="4"/>
      <c r="R174" s="4"/>
      <c r="S174" s="4"/>
      <c r="T174" s="4"/>
      <c r="U174" s="4"/>
      <c r="V174" s="4"/>
      <c r="W174" s="4"/>
      <c r="X174" s="4"/>
      <c r="Y174" s="4"/>
      <c r="Z174" s="4"/>
    </row>
    <row r="175" spans="1:26" ht="25.5" customHeight="1" x14ac:dyDescent="0.25">
      <c r="A175" s="109">
        <v>4</v>
      </c>
      <c r="B175" s="397" t="s">
        <v>314</v>
      </c>
      <c r="C175" s="106" t="s">
        <v>331</v>
      </c>
      <c r="D175" s="106" t="str">
        <f t="shared" si="67"/>
        <v/>
      </c>
      <c r="E175" s="398" t="str">
        <f t="shared" si="68"/>
        <v/>
      </c>
      <c r="F175" s="398" t="str">
        <f>IF(K175&lt;&gt;"rumus",(IF(OR(AND(L175="sks&gt;10",L174="sks&lt;=10",IFERROR(SUMPRODUCT($I$171:I174,$J$171:J174)&lt;10,FALSE)),AND(L175="sks&gt;10",L174="")),((IF('LAMPIRAN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Besar"),0.5,"")))),((IF(OR(AND(L175="sks&gt;10",L174="sks&gt;10"),AND(L175="sks&gt;10",L174="sks&lt;=10")),IF('LAMPIRAN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75" s="398" t="str">
        <f>IF(K175&lt;&gt;"rumus",(IF(OR(AND(L175="sks&gt;10",L174="sks&lt;=10",IFERROR(SUMPRODUCT($I$171:I174,$J$171:J174)&lt;10,FALSE)),AND(L175="sks&gt;10",L174="")),(((10-SUMPRODUCT($I$171:I174,$J$171:J174))&amp;" x "&amp;1&amp;" x "&amp;IF('LAMPIRAN I DONE'!$F$21="Tenaga Pengajar",0.5,IF(OR('LAMPIRAN I DONE'!$F$21="Asisten Ahli",'LAMPIRAN I DONE'!$F$21="Lektor",'LAMPIRAN I DONE'!$F$21="Lektor Kepala",'LAMPIRAN I DONE'!$F$21="Guru Besar"),1,""))&amp;" = "&amp;((10-SUMPRODUCT($I$171:I174,$J$171:J174))*IF('LAMPIRAN I DONE'!$F$21="Tenaga Pengajar",0.5,IF(OR('LAMPIRAN I DONE'!$F$21="Asisten Ahli",'LAMPIRAN I DONE'!$F$21="Lektor",'LAMPIRAN I DONE'!$F$21="Lektor Kepala",'LAMPIRAN I DONE'!$F$21="Guru Besar"),1,""))))&amp;"
"&amp;(((I175*J175)-(10-SUMPRODUCT($I$171:I174,$J$171:J174)))&amp;" x "&amp;1&amp;" x "&amp;IF('LAMPIRAN I DONE'!$F$21="Tenaga Pengajar",0.25,IF(OR('LAMPIRAN I DONE'!$F$21="Asisten Ahli",'LAMPIRAN I DONE'!$F$21="Lektor",'LAMPIRAN I DONE'!$F$21="Lektor Kepala",'LAMPIRAN I DONE'!$F$21="Guru Besar"),0.5,""))&amp;" = "&amp;(((I175*J175)-(10-SUMPRODUCT($I$171:I174,$J$171:J174)))*IF('LAMPIRAN I DONE'!$F$21="Tenaga Pengajar",0.25,IF(OR('LAMPIRAN I DONE'!$F$21="Asisten Ahli",'LAMPIRAN I DONE'!$F$21="Lektor",'LAMPIRAN I DONE'!$F$21="Lektor Kepala",'LAMPIRAN I DONE'!$F$21="Guru Besar"),0.5,""))))),(I175&amp;" x "&amp;J175&amp;" x "&amp;(IF(OR(AND(L175="sks&gt;10",L174="sks&gt;10"),AND(L175="sks&gt;10",L174="sks&lt;=10")),IF('LAMPIRAN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"&amp;K175))),"rumus")</f>
        <v>rumus</v>
      </c>
      <c r="H175" s="106" t="s">
        <v>315</v>
      </c>
      <c r="I175" s="409"/>
      <c r="J175" s="409"/>
      <c r="K175" s="401" t="str">
        <f>IF(AND(I175&lt;&gt;"",J175&lt;&gt;""),(IF(OR(AND(L175="sks&gt;10",L174="sks&lt;=10",IFERROR(SUMPRODUCT($I$171:I174,$J$171:J174)&lt;10,FALSE)),AND(L175="sks&gt;10",L174="")),(((10-SUMPRODUCT($I$171:I174,$J$171:J174))*IF('LAMPIRAN I DONE'!$F$21="Tenaga Pengajar",0.5,IF(OR('LAMPIRAN I DONE'!$F$21="Asisten Ahli",'LAMPIRAN I DONE'!$F$21="Lektor",'LAMPIRAN I DONE'!$F$21="Lektor Kepala",'LAMPIRAN I DONE'!$F$21="Guru Besar"),1,"")))+(((I175*J175)-(10-SUMPRODUCT($I$171:I174,$J$171:J174)))*IF('LAMPIRAN I DONE'!$F$21="Tenaga Pengajar",0.25,IF(OR('LAMPIRAN I DONE'!$F$21="Asisten Ahli",'LAMPIRAN I DONE'!$F$21="Lektor",'LAMPIRAN I DONE'!$F$21="Lektor Kepala",'LAMPIRAN I DONE'!$F$21="Guru Besar"),0.5,"")))),IF(OR(AND(L175="sks&gt;10",L174="sks&gt;10"),AND(L175="sks&gt;10",L174="sks&lt;=10")),I175*J175*IF('LAMPIRAN I DONE'!$F$21="Tenaga Pengajar",0.25,IF(OR('LAMPIRAN I DONE'!$F$21="Asisten Ahli",'LAMPIRAN I DONE'!$F$21="Lektor",'LAMPIRAN I DONE'!$F$21="Lektor Kepala",'LAMPIRAN I DONE'!$F$21="Guru Besar"),0.5,"")),I175*J175*IF('LAMPIRAN I DONE'!$F$21="Tenaga Pengajar",0.5,IF(OR('LAMPIRAN I DONE'!$F$21="Asisten Ahli",'LAMPIRAN I DONE'!$F$21="Lektor",'LAMPIRAN I DONE'!$F$21="Lektor Kepala",'LAMPIRAN I DONE'!$F$21="Guru Besar"),1,""))))),"rumus")</f>
        <v>rumus</v>
      </c>
      <c r="L175" s="401" t="str">
        <f t="shared" si="69"/>
        <v>rumus</v>
      </c>
      <c r="M175" s="4"/>
      <c r="N175" s="4"/>
      <c r="O175" s="4"/>
      <c r="P175" s="4"/>
      <c r="Q175" s="4"/>
      <c r="R175" s="4"/>
      <c r="S175" s="4"/>
      <c r="T175" s="4"/>
      <c r="U175" s="4"/>
      <c r="V175" s="4"/>
      <c r="W175" s="4"/>
      <c r="X175" s="4"/>
      <c r="Y175" s="4"/>
      <c r="Z175" s="4"/>
    </row>
    <row r="176" spans="1:26" ht="25.5" customHeight="1" x14ac:dyDescent="0.25">
      <c r="A176" s="109">
        <v>5</v>
      </c>
      <c r="B176" s="397" t="s">
        <v>314</v>
      </c>
      <c r="C176" s="106" t="s">
        <v>331</v>
      </c>
      <c r="D176" s="106" t="str">
        <f t="shared" si="67"/>
        <v/>
      </c>
      <c r="E176" s="398" t="str">
        <f t="shared" si="68"/>
        <v/>
      </c>
      <c r="F176" s="398" t="str">
        <f>IF(K176&lt;&gt;"rumus",(IF(OR(AND(L176="sks&gt;10",L175="sks&lt;=10",IFERROR(SUMPRODUCT($I$171:I175,$J$171:J175)&lt;10,FALSE)),AND(L176="sks&gt;10",L175="")),((IF('LAMPIRAN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Besar"),0.5,"")))),((IF(OR(AND(L176="sks&gt;10",L175="sks&gt;10"),AND(L176="sks&gt;10",L175="sks&lt;=10")),IF('LAMPIRAN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76" s="398" t="str">
        <f>IF(K176&lt;&gt;"rumus",(IF(OR(AND(L176="sks&gt;10",L175="sks&lt;=10",IFERROR(SUMPRODUCT($I$171:I175,$J$171:J175)&lt;10,FALSE)),AND(L176="sks&gt;10",L175="")),(((10-SUMPRODUCT($I$171:I175,$J$171:J175))&amp;" x "&amp;1&amp;" x "&amp;IF('LAMPIRAN I DONE'!$F$21="Tenaga Pengajar",0.5,IF(OR('LAMPIRAN I DONE'!$F$21="Asisten Ahli",'LAMPIRAN I DONE'!$F$21="Lektor",'LAMPIRAN I DONE'!$F$21="Lektor Kepala",'LAMPIRAN I DONE'!$F$21="Guru Besar"),1,""))&amp;" = "&amp;((10-SUMPRODUCT($I$171:I175,$J$171:J175))*IF('LAMPIRAN I DONE'!$F$21="Tenaga Pengajar",0.5,IF(OR('LAMPIRAN I DONE'!$F$21="Asisten Ahli",'LAMPIRAN I DONE'!$F$21="Lektor",'LAMPIRAN I DONE'!$F$21="Lektor Kepala",'LAMPIRAN I DONE'!$F$21="Guru Besar"),1,""))))&amp;"
"&amp;(((I176*J176)-(10-SUMPRODUCT($I$171:I175,$J$171:J175)))&amp;" x "&amp;1&amp;" x "&amp;IF('LAMPIRAN I DONE'!$F$21="Tenaga Pengajar",0.25,IF(OR('LAMPIRAN I DONE'!$F$21="Asisten Ahli",'LAMPIRAN I DONE'!$F$21="Lektor",'LAMPIRAN I DONE'!$F$21="Lektor Kepala",'LAMPIRAN I DONE'!$F$21="Guru Besar"),0.5,""))&amp;" = "&amp;(((I176*J176)-(10-SUMPRODUCT($I$171:I175,$J$171:J175)))*IF('LAMPIRAN I DONE'!$F$21="Tenaga Pengajar",0.25,IF(OR('LAMPIRAN I DONE'!$F$21="Asisten Ahli",'LAMPIRAN I DONE'!$F$21="Lektor",'LAMPIRAN I DONE'!$F$21="Lektor Kepala",'LAMPIRAN I DONE'!$F$21="Guru Besar"),0.5,""))))),(I176&amp;" x "&amp;J176&amp;" x "&amp;(IF(OR(AND(L176="sks&gt;10",L175="sks&gt;10"),AND(L176="sks&gt;10",L175="sks&lt;=10")),IF('LAMPIRAN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"&amp;K176))),"rumus")</f>
        <v>rumus</v>
      </c>
      <c r="H176" s="106" t="s">
        <v>315</v>
      </c>
      <c r="I176" s="409"/>
      <c r="J176" s="409"/>
      <c r="K176" s="401" t="str">
        <f>IF(AND(I176&lt;&gt;"",J176&lt;&gt;""),(IF(OR(AND(L176="sks&gt;10",L175="sks&lt;=10",IFERROR(SUMPRODUCT($I$171:I175,$J$171:J175)&lt;10,FALSE)),AND(L176="sks&gt;10",L175="")),(((10-SUMPRODUCT($I$171:I175,$J$171:J175))*IF('LAMPIRAN I DONE'!$F$21="Tenaga Pengajar",0.5,IF(OR('LAMPIRAN I DONE'!$F$21="Asisten Ahli",'LAMPIRAN I DONE'!$F$21="Lektor",'LAMPIRAN I DONE'!$F$21="Lektor Kepala",'LAMPIRAN I DONE'!$F$21="Guru Besar"),1,"")))+(((I176*J176)-(10-SUMPRODUCT($I$171:I175,$J$171:J175)))*IF('LAMPIRAN I DONE'!$F$21="Tenaga Pengajar",0.25,IF(OR('LAMPIRAN I DONE'!$F$21="Asisten Ahli",'LAMPIRAN I DONE'!$F$21="Lektor",'LAMPIRAN I DONE'!$F$21="Lektor Kepala",'LAMPIRAN I DONE'!$F$21="Guru Besar"),0.5,"")))),IF(OR(AND(L176="sks&gt;10",L175="sks&gt;10"),AND(L176="sks&gt;10",L175="sks&lt;=10")),I176*J176*IF('LAMPIRAN I DONE'!$F$21="Tenaga Pengajar",0.25,IF(OR('LAMPIRAN I DONE'!$F$21="Asisten Ahli",'LAMPIRAN I DONE'!$F$21="Lektor",'LAMPIRAN I DONE'!$F$21="Lektor Kepala",'LAMPIRAN I DONE'!$F$21="Guru Besar"),0.5,"")),I176*J176*IF('LAMPIRAN I DONE'!$F$21="Tenaga Pengajar",0.5,IF(OR('LAMPIRAN I DONE'!$F$21="Asisten Ahli",'LAMPIRAN I DONE'!$F$21="Lektor",'LAMPIRAN I DONE'!$F$21="Lektor Kepala",'LAMPIRAN I DONE'!$F$21="Guru Besar"),1,""))))),"rumus")</f>
        <v>rumus</v>
      </c>
      <c r="L176" s="401" t="str">
        <f t="shared" si="69"/>
        <v>rumus</v>
      </c>
      <c r="M176" s="4"/>
      <c r="N176" s="4"/>
      <c r="O176" s="4"/>
      <c r="P176" s="4"/>
      <c r="Q176" s="4"/>
      <c r="R176" s="4"/>
      <c r="S176" s="4"/>
      <c r="T176" s="4"/>
      <c r="U176" s="4"/>
      <c r="V176" s="4"/>
      <c r="W176" s="4"/>
      <c r="X176" s="4"/>
      <c r="Y176" s="4"/>
      <c r="Z176" s="4"/>
    </row>
    <row r="177" spans="1:26" ht="25.5" customHeight="1" x14ac:dyDescent="0.25">
      <c r="A177" s="109">
        <v>6</v>
      </c>
      <c r="B177" s="397" t="s">
        <v>314</v>
      </c>
      <c r="C177" s="106" t="s">
        <v>331</v>
      </c>
      <c r="D177" s="106" t="str">
        <f t="shared" si="67"/>
        <v/>
      </c>
      <c r="E177" s="398" t="str">
        <f t="shared" si="68"/>
        <v/>
      </c>
      <c r="F177" s="398" t="str">
        <f>IF(K177&lt;&gt;"rumus",(IF(OR(AND(L177="sks&gt;10",L176="sks&lt;=10",IFERROR(SUMPRODUCT($I$171:I176,$J$171:J176)&lt;10,FALSE)),AND(L177="sks&gt;10",L176="")),((IF('LAMPIRAN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Besar"),0.5,"")))),((IF(OR(AND(L177="sks&gt;10",L176="sks&gt;10"),AND(L177="sks&gt;10",L176="sks&lt;=10")),IF('LAMPIRAN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77" s="398" t="str">
        <f>IF(K177&lt;&gt;"rumus",(IF(OR(AND(L177="sks&gt;10",L176="sks&lt;=10",IFERROR(SUMPRODUCT($I$171:I176,$J$171:J176)&lt;10,FALSE)),AND(L177="sks&gt;10",L176="")),(((10-SUMPRODUCT($I$171:I176,$J$171:J176))&amp;" x "&amp;1&amp;" x "&amp;IF('LAMPIRAN I DONE'!$F$21="Tenaga Pengajar",0.5,IF(OR('LAMPIRAN I DONE'!$F$21="Asisten Ahli",'LAMPIRAN I DONE'!$F$21="Lektor",'LAMPIRAN I DONE'!$F$21="Lektor Kepala",'LAMPIRAN I DONE'!$F$21="Guru Besar"),1,""))&amp;" = "&amp;((10-SUMPRODUCT($I$171:I176,$J$171:J176))*IF('LAMPIRAN I DONE'!$F$21="Tenaga Pengajar",0.5,IF(OR('LAMPIRAN I DONE'!$F$21="Asisten Ahli",'LAMPIRAN I DONE'!$F$21="Lektor",'LAMPIRAN I DONE'!$F$21="Lektor Kepala",'LAMPIRAN I DONE'!$F$21="Guru Besar"),1,""))))&amp;"
"&amp;(((I177*J177)-(10-SUMPRODUCT($I$171:I176,$J$171:J176)))&amp;" x "&amp;1&amp;" x "&amp;IF('LAMPIRAN I DONE'!$F$21="Tenaga Pengajar",0.25,IF(OR('LAMPIRAN I DONE'!$F$21="Asisten Ahli",'LAMPIRAN I DONE'!$F$21="Lektor",'LAMPIRAN I DONE'!$F$21="Lektor Kepala",'LAMPIRAN I DONE'!$F$21="Guru Besar"),0.5,""))&amp;" = "&amp;(((I177*J177)-(10-SUMPRODUCT($I$171:I176,$J$171:J176)))*IF('LAMPIRAN I DONE'!$F$21="Tenaga Pengajar",0.25,IF(OR('LAMPIRAN I DONE'!$F$21="Asisten Ahli",'LAMPIRAN I DONE'!$F$21="Lektor",'LAMPIRAN I DONE'!$F$21="Lektor Kepala",'LAMPIRAN I DONE'!$F$21="Guru Besar"),0.5,""))))),(I177&amp;" x "&amp;J177&amp;" x "&amp;(IF(OR(AND(L177="sks&gt;10",L176="sks&gt;10"),AND(L177="sks&gt;10",L176="sks&lt;=10")),IF('LAMPIRAN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"&amp;K177))),"rumus")</f>
        <v>rumus</v>
      </c>
      <c r="H177" s="106" t="s">
        <v>315</v>
      </c>
      <c r="I177" s="409"/>
      <c r="J177" s="409"/>
      <c r="K177" s="401" t="str">
        <f>IF(AND(I177&lt;&gt;"",J177&lt;&gt;""),(IF(OR(AND(L177="sks&gt;10",L176="sks&lt;=10",IFERROR(SUMPRODUCT($I$171:I176,$J$171:J176)&lt;10,FALSE)),AND(L177="sks&gt;10",L176="")),(((10-SUMPRODUCT($I$171:I176,$J$171:J176))*IF('LAMPIRAN I DONE'!$F$21="Tenaga Pengajar",0.5,IF(OR('LAMPIRAN I DONE'!$F$21="Asisten Ahli",'LAMPIRAN I DONE'!$F$21="Lektor",'LAMPIRAN I DONE'!$F$21="Lektor Kepala",'LAMPIRAN I DONE'!$F$21="Guru Besar"),1,"")))+(((I177*J177)-(10-SUMPRODUCT($I$171:I176,$J$171:J176)))*IF('LAMPIRAN I DONE'!$F$21="Tenaga Pengajar",0.25,IF(OR('LAMPIRAN I DONE'!$F$21="Asisten Ahli",'LAMPIRAN I DONE'!$F$21="Lektor",'LAMPIRAN I DONE'!$F$21="Lektor Kepala",'LAMPIRAN I DONE'!$F$21="Guru Besar"),0.5,"")))),IF(OR(AND(L177="sks&gt;10",L176="sks&gt;10"),AND(L177="sks&gt;10",L176="sks&lt;=10")),I177*J177*IF('LAMPIRAN I DONE'!$F$21="Tenaga Pengajar",0.25,IF(OR('LAMPIRAN I DONE'!$F$21="Asisten Ahli",'LAMPIRAN I DONE'!$F$21="Lektor",'LAMPIRAN I DONE'!$F$21="Lektor Kepala",'LAMPIRAN I DONE'!$F$21="Guru Besar"),0.5,"")),I177*J177*IF('LAMPIRAN I DONE'!$F$21="Tenaga Pengajar",0.5,IF(OR('LAMPIRAN I DONE'!$F$21="Asisten Ahli",'LAMPIRAN I DONE'!$F$21="Lektor",'LAMPIRAN I DONE'!$F$21="Lektor Kepala",'LAMPIRAN I DONE'!$F$21="Guru Besar"),1,""))))),"rumus")</f>
        <v>rumus</v>
      </c>
      <c r="L177" s="401" t="str">
        <f t="shared" si="69"/>
        <v>rumus</v>
      </c>
      <c r="M177" s="4"/>
      <c r="N177" s="4"/>
      <c r="O177" s="4"/>
      <c r="P177" s="4"/>
      <c r="Q177" s="4"/>
      <c r="R177" s="4"/>
      <c r="S177" s="4"/>
      <c r="T177" s="4"/>
      <c r="U177" s="4"/>
      <c r="V177" s="4"/>
      <c r="W177" s="4"/>
      <c r="X177" s="4"/>
      <c r="Y177" s="4"/>
      <c r="Z177" s="4"/>
    </row>
    <row r="178" spans="1:26" ht="15" customHeight="1" x14ac:dyDescent="0.25">
      <c r="A178" s="109"/>
      <c r="B178" s="406" t="str">
        <f>"b. Semester Genap "&amp;IF(C179&lt;&gt;"",C179,"")&amp;" :"</f>
        <v>b. Semester Genap 2019/2020 :</v>
      </c>
      <c r="C178" s="407"/>
      <c r="D178" s="410"/>
      <c r="E178" s="410"/>
      <c r="F178" s="410"/>
      <c r="G178" s="410"/>
      <c r="H178" s="411"/>
      <c r="I178" s="110"/>
      <c r="J178" s="110"/>
      <c r="K178" s="4"/>
      <c r="L178" s="4"/>
      <c r="M178" s="111">
        <f>IF((AND(N178="Max 5,5",SUM(K172:K177)&lt;=5.5)),SUM(K172:K177),IF((AND(N178="Max 5,5",SUM(K172:K177)&gt;5.5)),5.5,IF((AND(N178="Max 11",SUM(K172:K177)&lt;=11)),SUM(K172:K177),IF((AND(N178="Max 11",SUM(K172:K177)&gt;11)),11,""))))</f>
        <v>10</v>
      </c>
      <c r="N178" s="103" t="str">
        <f>IF('LAMPIRAN I DONE'!$F$21="Tenaga Pengajar","Max 5,5",IF(OR('LAMPIRAN I DONE'!$F$21="Asisten Ahli",'LAMPIRAN I DONE'!$F$21="Lektor",'LAMPIRAN I DONE'!$F$21="Lektor Kepala",'LAMPIRAN I DONE'!$F$21="Guru Besar"),"Max 11",""))</f>
        <v>Max 11</v>
      </c>
      <c r="O178" s="4"/>
      <c r="P178" s="4"/>
      <c r="Q178" s="4"/>
      <c r="R178" s="4"/>
      <c r="S178" s="4"/>
      <c r="T178" s="4"/>
      <c r="U178" s="4"/>
      <c r="V178" s="4"/>
      <c r="W178" s="4"/>
      <c r="X178" s="4"/>
      <c r="Y178" s="4"/>
      <c r="Z178" s="4"/>
    </row>
    <row r="179" spans="1:26" ht="25.5" customHeight="1" x14ac:dyDescent="0.25">
      <c r="A179" s="109">
        <v>1</v>
      </c>
      <c r="B179" s="570" t="s">
        <v>369</v>
      </c>
      <c r="C179" s="106" t="s">
        <v>334</v>
      </c>
      <c r="D179" s="106" t="str">
        <f t="shared" ref="D179:D184" si="70">IF(G179&lt;&gt;"rumus","SKS","")</f>
        <v>SKS</v>
      </c>
      <c r="E179" s="398" t="str">
        <f t="shared" ref="E179:E184" si="71">IF(K179&lt;&gt;"rumus",(IF(OR(AND(L179="sks&gt;10",L178="sks&lt;=10",IFERROR(SUMPRODUCT($I$178:I178,$J$178:J178)&lt;10,FALSE)),AND(L179="sks&gt;10",L178="")),(((10-SUMPRODUCT($I$178:I178,$J$178:J178))&amp;" x "&amp;1)&amp;"
"&amp;(((I179*J179)-(10-SUMPRODUCT($I$178:I178,$J$178:J178)))&amp;" x "&amp;1)),(I179&amp;" x "&amp;J179))),"")</f>
        <v>4 x 1</v>
      </c>
      <c r="F179" s="398">
        <f>IF(K179&lt;&gt;"rumus",(IF(OR(AND(L179="sks&gt;10",L178="sks&lt;=10",IFERROR(SUMPRODUCT($I$178:I178,$J$178:J178)&lt;10,FALSE)),AND(L179="sks&gt;10",L178="")),((IF('LAMPIRAN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Besar"),0.5,"")))),((IF(OR(AND(L179="sks&gt;10",L178="sks&gt;10"),AND(L179="sks&gt;10",L178="sks&lt;=10")),IF('LAMPIRAN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79" s="398" t="str">
        <f>IF(K179&lt;&gt;"rumus",(IF(OR(AND(L179="sks&gt;10",L178="sks&lt;=10",IFERROR(SUMPRODUCT($I$178:I178,$J$178:J178)&lt;10,FALSE)),AND(L179="sks&gt;10",L178="")),(((10-SUMPRODUCT($I$178:I178,$J$178:J178))&amp;" x "&amp;1&amp;" x "&amp;IF('LAMPIRAN I DONE'!$F$21="Tenaga Pengajar",0.5,IF(OR('LAMPIRAN I DONE'!$F$21="Asisten Ahli",'LAMPIRAN I DONE'!$F$21="Lektor",'LAMPIRAN I DONE'!$F$21="Lektor Kepala",'LAMPIRAN I DONE'!$F$21="Guru Besar"),1,""))&amp;" = "&amp;((10-SUMPRODUCT($I$178:I178,$J$178:J178))*IF('LAMPIRAN I DONE'!$F$21="Tenaga Pengajar",0.5,IF(OR('LAMPIRAN I DONE'!$F$21="Asisten Ahli",'LAMPIRAN I DONE'!$F$21="Lektor",'LAMPIRAN I DONE'!$F$21="Lektor Kepala",'LAMPIRAN I DONE'!$F$21="Guru Besar"),1,""))))&amp;"
"&amp;(((I179*J179)-(10-SUMPRODUCT($I$178:I178,$J$178:J178)))&amp;" x "&amp;1&amp;" x "&amp;IF('LAMPIRAN I DONE'!$F$21="Tenaga Pengajar",0.25,IF(OR('LAMPIRAN I DONE'!$F$21="Asisten Ahli",'LAMPIRAN I DONE'!$F$21="Lektor",'LAMPIRAN I DONE'!$F$21="Lektor Kepala",'LAMPIRAN I DONE'!$F$21="Guru Besar"),0.5,""))&amp;" = "&amp;(((I179*J179)-(10-SUMPRODUCT($I$178:I178,$J$178:J178)))*IF('LAMPIRAN I DONE'!$F$21="Tenaga Pengajar",0.25,IF(OR('LAMPIRAN I DONE'!$F$21="Asisten Ahli",'LAMPIRAN I DONE'!$F$21="Lektor",'LAMPIRAN I DONE'!$F$21="Lektor Kepala",'LAMPIRAN I DONE'!$F$21="Guru Besar"),0.5,""))))),(I179&amp;" x "&amp;J179&amp;" x "&amp;(IF(OR(AND(L179="sks&gt;10",L178="sks&gt;10"),AND(L179="sks&gt;10",L178="sks&lt;=10")),IF('LAMPIRAN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"&amp;K179))),"rumus")</f>
        <v>4 x 1 x 1 = 4</v>
      </c>
      <c r="H179" s="106" t="s">
        <v>370</v>
      </c>
      <c r="I179" s="409">
        <v>4</v>
      </c>
      <c r="J179" s="409">
        <v>1</v>
      </c>
      <c r="K179" s="401">
        <f>IF(AND(I179&lt;&gt;"",J179&lt;&gt;""),(IF(OR(AND(L179="sks&gt;10",L178="sks&lt;=10",IFERROR(SUMPRODUCT($I$178:I178,$J$178:J178)&lt;10,FALSE)),AND(L179="sks&gt;10",L178="")),(((10-SUMPRODUCT($I$178:I178,$J$178:J178))*IF('LAMPIRAN I DONE'!$F$21="Tenaga Pengajar",0.5,IF(OR('LAMPIRAN I DONE'!$F$21="Asisten Ahli",'LAMPIRAN I DONE'!$F$21="Lektor",'LAMPIRAN I DONE'!$F$21="Lektor Kepala",'LAMPIRAN I DONE'!$F$21="Guru Besar"),1,"")))+(((I179*J179)-(10-SUMPRODUCT($I$178:I178,$J$178:J178)))*IF('LAMPIRAN I DONE'!$F$21="Tenaga Pengajar",0.25,IF(OR('LAMPIRAN I DONE'!$F$21="Asisten Ahli",'LAMPIRAN I DONE'!$F$21="Lektor",'LAMPIRAN I DONE'!$F$21="Lektor Kepala",'LAMPIRAN I DONE'!$F$21="Guru Besar"),0.5,"")))),IF(OR(AND(L179="sks&gt;10",L178="sks&gt;10"),AND(L179="sks&gt;10",L178="sks&lt;=10")),I179*J179*IF('LAMPIRAN I DONE'!$F$21="Tenaga Pengajar",0.25,IF(OR('LAMPIRAN I DONE'!$F$21="Asisten Ahli",'LAMPIRAN I DONE'!$F$21="Lektor",'LAMPIRAN I DONE'!$F$21="Lektor Kepala",'LAMPIRAN I DONE'!$F$21="Guru Besar"),0.5,"")),I179*J179*IF('LAMPIRAN I DONE'!$F$21="Tenaga Pengajar",0.5,IF(OR('LAMPIRAN I DONE'!$F$21="Asisten Ahli",'LAMPIRAN I DONE'!$F$21="Lektor",'LAMPIRAN I DONE'!$F$21="Lektor Kepala",'LAMPIRAN I DONE'!$F$21="Guru Besar"),1,""))))),"rumus")</f>
        <v>4</v>
      </c>
      <c r="L179" s="401" t="str">
        <f t="shared" ref="L179:L184" si="72">IF(AND(I179&lt;&gt;"",J179&lt;&gt;""),(IF(SUMPRODUCT($I$179:I179,$J$179:J179)&lt;=10,"SKS&lt;=10",IF(SUMPRODUCT($I$179:I179,$J$179:J179)&gt;10,"SKS&gt;10",""))),"rumus")</f>
        <v>SKS&lt;=10</v>
      </c>
      <c r="M179" s="4"/>
      <c r="N179" s="4"/>
      <c r="O179" s="4"/>
      <c r="P179" s="4"/>
      <c r="Q179" s="4"/>
      <c r="R179" s="4"/>
      <c r="S179" s="4"/>
      <c r="T179" s="4"/>
      <c r="U179" s="4"/>
      <c r="V179" s="4"/>
      <c r="W179" s="4"/>
      <c r="X179" s="4"/>
      <c r="Y179" s="4"/>
      <c r="Z179" s="4"/>
    </row>
    <row r="180" spans="1:26" ht="25.5" customHeight="1" x14ac:dyDescent="0.25">
      <c r="A180" s="109">
        <v>2</v>
      </c>
      <c r="B180" s="571" t="s">
        <v>371</v>
      </c>
      <c r="C180" s="106" t="s">
        <v>334</v>
      </c>
      <c r="D180" s="106" t="str">
        <f t="shared" si="70"/>
        <v>SKS</v>
      </c>
      <c r="E180" s="398" t="str">
        <f t="shared" si="71"/>
        <v>4 x 1</v>
      </c>
      <c r="F180" s="398">
        <f>IF(K180&lt;&gt;"rumus",(IF(OR(AND(L180="sks&gt;10",L179="sks&lt;=10",IFERROR(SUMPRODUCT($I$178:I179,$J$178:J179)&lt;10,FALSE)),AND(L180="sks&gt;10",L179="")),((IF('LAMPIRAN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Besar"),0.5,"")))),((IF(OR(AND(L180="sks&gt;10",L179="sks&gt;10"),AND(L180="sks&gt;10",L179="sks&lt;=10")),IF('LAMPIRAN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80" s="398" t="str">
        <f>IF(K180&lt;&gt;"rumus",(IF(OR(AND(L180="sks&gt;10",L179="sks&lt;=10",IFERROR(SUMPRODUCT($I$178:I179,$J$178:J179)&lt;10,FALSE)),AND(L180="sks&gt;10",L179="")),(((10-SUMPRODUCT($I$178:I179,$J$178:J179))&amp;" x "&amp;1&amp;" x "&amp;IF('LAMPIRAN I DONE'!$F$21="Tenaga Pengajar",0.5,IF(OR('LAMPIRAN I DONE'!$F$21="Asisten Ahli",'LAMPIRAN I DONE'!$F$21="Lektor",'LAMPIRAN I DONE'!$F$21="Lektor Kepala",'LAMPIRAN I DONE'!$F$21="Guru Besar"),1,""))&amp;" = "&amp;((10-SUMPRODUCT($I$178:I179,$J$178:J179))*IF('LAMPIRAN I DONE'!$F$21="Tenaga Pengajar",0.5,IF(OR('LAMPIRAN I DONE'!$F$21="Asisten Ahli",'LAMPIRAN I DONE'!$F$21="Lektor",'LAMPIRAN I DONE'!$F$21="Lektor Kepala",'LAMPIRAN I DONE'!$F$21="Guru Besar"),1,""))))&amp;"
"&amp;(((I180*J180)-(10-SUMPRODUCT($I$178:I179,$J$178:J179)))&amp;" x "&amp;1&amp;" x "&amp;IF('LAMPIRAN I DONE'!$F$21="Tenaga Pengajar",0.25,IF(OR('LAMPIRAN I DONE'!$F$21="Asisten Ahli",'LAMPIRAN I DONE'!$F$21="Lektor",'LAMPIRAN I DONE'!$F$21="Lektor Kepala",'LAMPIRAN I DONE'!$F$21="Guru Besar"),0.5,""))&amp;" = "&amp;(((I180*J180)-(10-SUMPRODUCT($I$178:I179,$J$178:J179)))*IF('LAMPIRAN I DONE'!$F$21="Tenaga Pengajar",0.25,IF(OR('LAMPIRAN I DONE'!$F$21="Asisten Ahli",'LAMPIRAN I DONE'!$F$21="Lektor",'LAMPIRAN I DONE'!$F$21="Lektor Kepala",'LAMPIRAN I DONE'!$F$21="Guru Besar"),0.5,""))))),(I180&amp;" x "&amp;J180&amp;" x "&amp;(IF(OR(AND(L180="sks&gt;10",L179="sks&gt;10"),AND(L180="sks&gt;10",L179="sks&lt;=10")),IF('LAMPIRAN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"&amp;K180))),"rumus")</f>
        <v>4 x 1 x 1 = 4</v>
      </c>
      <c r="H180" s="106" t="s">
        <v>370</v>
      </c>
      <c r="I180" s="409">
        <v>4</v>
      </c>
      <c r="J180" s="409">
        <v>1</v>
      </c>
      <c r="K180" s="401">
        <f>IF(AND(I180&lt;&gt;"",J180&lt;&gt;""),(IF(OR(AND(L180="sks&gt;10",L179="sks&lt;=10",IFERROR(SUMPRODUCT($I$178:I179,$J$178:J179)&lt;10,FALSE)),AND(L180="sks&gt;10",L179="")),(((10-SUMPRODUCT($I$178:I179,$J$178:J179))*IF('LAMPIRAN I DONE'!$F$21="Tenaga Pengajar",0.5,IF(OR('LAMPIRAN I DONE'!$F$21="Asisten Ahli",'LAMPIRAN I DONE'!$F$21="Lektor",'LAMPIRAN I DONE'!$F$21="Lektor Kepala",'LAMPIRAN I DONE'!$F$21="Guru Besar"),1,"")))+(((I180*J180)-(10-SUMPRODUCT($I$178:I179,$J$178:J179)))*IF('LAMPIRAN I DONE'!$F$21="Tenaga Pengajar",0.25,IF(OR('LAMPIRAN I DONE'!$F$21="Asisten Ahli",'LAMPIRAN I DONE'!$F$21="Lektor",'LAMPIRAN I DONE'!$F$21="Lektor Kepala",'LAMPIRAN I DONE'!$F$21="Guru Besar"),0.5,"")))),IF(OR(AND(L180="sks&gt;10",L179="sks&gt;10"),AND(L180="sks&gt;10",L179="sks&lt;=10")),I180*J180*IF('LAMPIRAN I DONE'!$F$21="Tenaga Pengajar",0.25,IF(OR('LAMPIRAN I DONE'!$F$21="Asisten Ahli",'LAMPIRAN I DONE'!$F$21="Lektor",'LAMPIRAN I DONE'!$F$21="Lektor Kepala",'LAMPIRAN I DONE'!$F$21="Guru Besar"),0.5,"")),I180*J180*IF('LAMPIRAN I DONE'!$F$21="Tenaga Pengajar",0.5,IF(OR('LAMPIRAN I DONE'!$F$21="Asisten Ahli",'LAMPIRAN I DONE'!$F$21="Lektor",'LAMPIRAN I DONE'!$F$21="Lektor Kepala",'LAMPIRAN I DONE'!$F$21="Guru Besar"),1,""))))),"rumus")</f>
        <v>4</v>
      </c>
      <c r="L180" s="401" t="str">
        <f t="shared" si="72"/>
        <v>SKS&lt;=10</v>
      </c>
      <c r="M180" s="4"/>
      <c r="N180" s="4"/>
      <c r="O180" s="4"/>
      <c r="P180" s="4"/>
      <c r="Q180" s="4"/>
      <c r="R180" s="4"/>
      <c r="S180" s="4"/>
      <c r="T180" s="4"/>
      <c r="U180" s="4"/>
      <c r="V180" s="4"/>
      <c r="W180" s="4"/>
      <c r="X180" s="4"/>
      <c r="Y180" s="4"/>
      <c r="Z180" s="4"/>
    </row>
    <row r="181" spans="1:26" ht="25.5" customHeight="1" x14ac:dyDescent="0.25">
      <c r="A181" s="109">
        <v>3</v>
      </c>
      <c r="B181" s="397" t="s">
        <v>314</v>
      </c>
      <c r="C181" s="106" t="s">
        <v>334</v>
      </c>
      <c r="D181" s="106" t="str">
        <f t="shared" si="70"/>
        <v/>
      </c>
      <c r="E181" s="398" t="str">
        <f t="shared" si="71"/>
        <v/>
      </c>
      <c r="F181" s="398" t="str">
        <f>IF(K181&lt;&gt;"rumus",(IF(OR(AND(L181="sks&gt;10",L180="sks&lt;=10",IFERROR(SUMPRODUCT($I$178:I180,$J$178:J180)&lt;10,FALSE)),AND(L181="sks&gt;10",L180="")),((IF('LAMPIRAN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Besar"),0.5,"")))),((IF(OR(AND(L181="sks&gt;10",L180="sks&gt;10"),AND(L181="sks&gt;10",L180="sks&lt;=10")),IF('LAMPIRAN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81" s="398" t="str">
        <f>IF(K181&lt;&gt;"rumus",(IF(OR(AND(L181="sks&gt;10",L180="sks&lt;=10",IFERROR(SUMPRODUCT($I$178:I180,$J$178:J180)&lt;10,FALSE)),AND(L181="sks&gt;10",L180="")),(((10-SUMPRODUCT($I$178:I180,$J$178:J180))&amp;" x "&amp;1&amp;" x "&amp;IF('LAMPIRAN I DONE'!$F$21="Tenaga Pengajar",0.5,IF(OR('LAMPIRAN I DONE'!$F$21="Asisten Ahli",'LAMPIRAN I DONE'!$F$21="Lektor",'LAMPIRAN I DONE'!$F$21="Lektor Kepala",'LAMPIRAN I DONE'!$F$21="Guru Besar"),1,""))&amp;" = "&amp;((10-SUMPRODUCT($I$178:I180,$J$178:J180))*IF('LAMPIRAN I DONE'!$F$21="Tenaga Pengajar",0.5,IF(OR('LAMPIRAN I DONE'!$F$21="Asisten Ahli",'LAMPIRAN I DONE'!$F$21="Lektor",'LAMPIRAN I DONE'!$F$21="Lektor Kepala",'LAMPIRAN I DONE'!$F$21="Guru Besar"),1,""))))&amp;"
"&amp;(((I181*J181)-(10-SUMPRODUCT($I$178:I180,$J$178:J180)))&amp;" x "&amp;1&amp;" x "&amp;IF('LAMPIRAN I DONE'!$F$21="Tenaga Pengajar",0.25,IF(OR('LAMPIRAN I DONE'!$F$21="Asisten Ahli",'LAMPIRAN I DONE'!$F$21="Lektor",'LAMPIRAN I DONE'!$F$21="Lektor Kepala",'LAMPIRAN I DONE'!$F$21="Guru Besar"),0.5,""))&amp;" = "&amp;(((I181*J181)-(10-SUMPRODUCT($I$178:I180,$J$178:J180)))*IF('LAMPIRAN I DONE'!$F$21="Tenaga Pengajar",0.25,IF(OR('LAMPIRAN I DONE'!$F$21="Asisten Ahli",'LAMPIRAN I DONE'!$F$21="Lektor",'LAMPIRAN I DONE'!$F$21="Lektor Kepala",'LAMPIRAN I DONE'!$F$21="Guru Besar"),0.5,""))))),(I181&amp;" x "&amp;J181&amp;" x "&amp;(IF(OR(AND(L181="sks&gt;10",L180="sks&gt;10"),AND(L181="sks&gt;10",L180="sks&lt;=10")),IF('LAMPIRAN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"&amp;K181))),"rumus")</f>
        <v>rumus</v>
      </c>
      <c r="H181" s="106" t="s">
        <v>315</v>
      </c>
      <c r="I181" s="409"/>
      <c r="J181" s="409"/>
      <c r="K181" s="401" t="str">
        <f>IF(AND(I181&lt;&gt;"",J181&lt;&gt;""),(IF(OR(AND(L181="sks&gt;10",L180="sks&lt;=10",IFERROR(SUMPRODUCT($I$178:I180,$J$178:J180)&lt;10,FALSE)),AND(L181="sks&gt;10",L180="")),(((10-SUMPRODUCT($I$178:I180,$J$178:J180))*IF('LAMPIRAN I DONE'!$F$21="Tenaga Pengajar",0.5,IF(OR('LAMPIRAN I DONE'!$F$21="Asisten Ahli",'LAMPIRAN I DONE'!$F$21="Lektor",'LAMPIRAN I DONE'!$F$21="Lektor Kepala",'LAMPIRAN I DONE'!$F$21="Guru Besar"),1,"")))+(((I181*J181)-(10-SUMPRODUCT($I$178:I180,$J$178:J180)))*IF('LAMPIRAN I DONE'!$F$21="Tenaga Pengajar",0.25,IF(OR('LAMPIRAN I DONE'!$F$21="Asisten Ahli",'LAMPIRAN I DONE'!$F$21="Lektor",'LAMPIRAN I DONE'!$F$21="Lektor Kepala",'LAMPIRAN I DONE'!$F$21="Guru Besar"),0.5,"")))),IF(OR(AND(L181="sks&gt;10",L180="sks&gt;10"),AND(L181="sks&gt;10",L180="sks&lt;=10")),I181*J181*IF('LAMPIRAN I DONE'!$F$21="Tenaga Pengajar",0.25,IF(OR('LAMPIRAN I DONE'!$F$21="Asisten Ahli",'LAMPIRAN I DONE'!$F$21="Lektor",'LAMPIRAN I DONE'!$F$21="Lektor Kepala",'LAMPIRAN I DONE'!$F$21="Guru Besar"),0.5,"")),I181*J181*IF('LAMPIRAN I DONE'!$F$21="Tenaga Pengajar",0.5,IF(OR('LAMPIRAN I DONE'!$F$21="Asisten Ahli",'LAMPIRAN I DONE'!$F$21="Lektor",'LAMPIRAN I DONE'!$F$21="Lektor Kepala",'LAMPIRAN I DONE'!$F$21="Guru Besar"),1,""))))),"rumus")</f>
        <v>rumus</v>
      </c>
      <c r="L181" s="401" t="str">
        <f t="shared" si="72"/>
        <v>rumus</v>
      </c>
      <c r="M181" s="4"/>
      <c r="N181" s="4"/>
      <c r="O181" s="4"/>
      <c r="P181" s="4"/>
      <c r="Q181" s="4"/>
      <c r="R181" s="4"/>
      <c r="S181" s="4"/>
      <c r="T181" s="4"/>
      <c r="U181" s="4"/>
      <c r="V181" s="4"/>
      <c r="W181" s="4"/>
      <c r="X181" s="4"/>
      <c r="Y181" s="4"/>
      <c r="Z181" s="4"/>
    </row>
    <row r="182" spans="1:26" ht="25.5" customHeight="1" x14ac:dyDescent="0.25">
      <c r="A182" s="109">
        <v>4</v>
      </c>
      <c r="B182" s="397" t="s">
        <v>314</v>
      </c>
      <c r="C182" s="106" t="s">
        <v>334</v>
      </c>
      <c r="D182" s="106" t="str">
        <f t="shared" si="70"/>
        <v/>
      </c>
      <c r="E182" s="398" t="str">
        <f t="shared" si="71"/>
        <v/>
      </c>
      <c r="F182" s="398" t="str">
        <f>IF(K182&lt;&gt;"rumus",(IF(OR(AND(L182="sks&gt;10",L181="sks&lt;=10",IFERROR(SUMPRODUCT($I$178:I181,$J$178:J181)&lt;10,FALSE)),AND(L182="sks&gt;10",L181="")),((IF('LAMPIRAN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Besar"),0.5,"")))),((IF(OR(AND(L182="sks&gt;10",L181="sks&gt;10"),AND(L182="sks&gt;10",L181="sks&lt;=10")),IF('LAMPIRAN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82" s="398" t="str">
        <f>IF(K182&lt;&gt;"rumus",(IF(OR(AND(L182="sks&gt;10",L181="sks&lt;=10",IFERROR(SUMPRODUCT($I$178:I181,$J$178:J181)&lt;10,FALSE)),AND(L182="sks&gt;10",L181="")),(((10-SUMPRODUCT($I$178:I181,$J$178:J181))&amp;" x "&amp;1&amp;" x "&amp;IF('LAMPIRAN I DONE'!$F$21="Tenaga Pengajar",0.5,IF(OR('LAMPIRAN I DONE'!$F$21="Asisten Ahli",'LAMPIRAN I DONE'!$F$21="Lektor",'LAMPIRAN I DONE'!$F$21="Lektor Kepala",'LAMPIRAN I DONE'!$F$21="Guru Besar"),1,""))&amp;" = "&amp;((10-SUMPRODUCT($I$178:I181,$J$178:J181))*IF('LAMPIRAN I DONE'!$F$21="Tenaga Pengajar",0.5,IF(OR('LAMPIRAN I DONE'!$F$21="Asisten Ahli",'LAMPIRAN I DONE'!$F$21="Lektor",'LAMPIRAN I DONE'!$F$21="Lektor Kepala",'LAMPIRAN I DONE'!$F$21="Guru Besar"),1,""))))&amp;"
"&amp;(((I182*J182)-(10-SUMPRODUCT($I$178:I181,$J$178:J181)))&amp;" x "&amp;1&amp;" x "&amp;IF('LAMPIRAN I DONE'!$F$21="Tenaga Pengajar",0.25,IF(OR('LAMPIRAN I DONE'!$F$21="Asisten Ahli",'LAMPIRAN I DONE'!$F$21="Lektor",'LAMPIRAN I DONE'!$F$21="Lektor Kepala",'LAMPIRAN I DONE'!$F$21="Guru Besar"),0.5,""))&amp;" = "&amp;(((I182*J182)-(10-SUMPRODUCT($I$178:I181,$J$178:J181)))*IF('LAMPIRAN I DONE'!$F$21="Tenaga Pengajar",0.25,IF(OR('LAMPIRAN I DONE'!$F$21="Asisten Ahli",'LAMPIRAN I DONE'!$F$21="Lektor",'LAMPIRAN I DONE'!$F$21="Lektor Kepala",'LAMPIRAN I DONE'!$F$21="Guru Besar"),0.5,""))))),(I182&amp;" x "&amp;J182&amp;" x "&amp;(IF(OR(AND(L182="sks&gt;10",L181="sks&gt;10"),AND(L182="sks&gt;10",L181="sks&lt;=10")),IF('LAMPIRAN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"&amp;K182))),"rumus")</f>
        <v>rumus</v>
      </c>
      <c r="H182" s="106" t="s">
        <v>315</v>
      </c>
      <c r="I182" s="409"/>
      <c r="J182" s="409"/>
      <c r="K182" s="401" t="str">
        <f>IF(AND(I182&lt;&gt;"",J182&lt;&gt;""),(IF(OR(AND(L182="sks&gt;10",L181="sks&lt;=10",IFERROR(SUMPRODUCT($I$178:I181,$J$178:J181)&lt;10,FALSE)),AND(L182="sks&gt;10",L181="")),(((10-SUMPRODUCT($I$178:I181,$J$178:J181))*IF('LAMPIRAN I DONE'!$F$21="Tenaga Pengajar",0.5,IF(OR('LAMPIRAN I DONE'!$F$21="Asisten Ahli",'LAMPIRAN I DONE'!$F$21="Lektor",'LAMPIRAN I DONE'!$F$21="Lektor Kepala",'LAMPIRAN I DONE'!$F$21="Guru Besar"),1,"")))+(((I182*J182)-(10-SUMPRODUCT($I$178:I181,$J$178:J181)))*IF('LAMPIRAN I DONE'!$F$21="Tenaga Pengajar",0.25,IF(OR('LAMPIRAN I DONE'!$F$21="Asisten Ahli",'LAMPIRAN I DONE'!$F$21="Lektor",'LAMPIRAN I DONE'!$F$21="Lektor Kepala",'LAMPIRAN I DONE'!$F$21="Guru Besar"),0.5,"")))),IF(OR(AND(L182="sks&gt;10",L181="sks&gt;10"),AND(L182="sks&gt;10",L181="sks&lt;=10")),I182*J182*IF('LAMPIRAN I DONE'!$F$21="Tenaga Pengajar",0.25,IF(OR('LAMPIRAN I DONE'!$F$21="Asisten Ahli",'LAMPIRAN I DONE'!$F$21="Lektor",'LAMPIRAN I DONE'!$F$21="Lektor Kepala",'LAMPIRAN I DONE'!$F$21="Guru Besar"),0.5,"")),I182*J182*IF('LAMPIRAN I DONE'!$F$21="Tenaga Pengajar",0.5,IF(OR('LAMPIRAN I DONE'!$F$21="Asisten Ahli",'LAMPIRAN I DONE'!$F$21="Lektor",'LAMPIRAN I DONE'!$F$21="Lektor Kepala",'LAMPIRAN I DONE'!$F$21="Guru Besar"),1,""))))),"rumus")</f>
        <v>rumus</v>
      </c>
      <c r="L182" s="401" t="str">
        <f t="shared" si="72"/>
        <v>rumus</v>
      </c>
      <c r="M182" s="4"/>
      <c r="N182" s="4"/>
      <c r="O182" s="4"/>
      <c r="P182" s="4"/>
      <c r="Q182" s="4"/>
      <c r="R182" s="4"/>
      <c r="S182" s="4"/>
      <c r="T182" s="4"/>
      <c r="U182" s="4"/>
      <c r="V182" s="4"/>
      <c r="W182" s="4"/>
      <c r="X182" s="4"/>
      <c r="Y182" s="4"/>
      <c r="Z182" s="4"/>
    </row>
    <row r="183" spans="1:26" ht="25.5" customHeight="1" x14ac:dyDescent="0.25">
      <c r="A183" s="109">
        <v>5</v>
      </c>
      <c r="B183" s="397" t="s">
        <v>314</v>
      </c>
      <c r="C183" s="106" t="s">
        <v>334</v>
      </c>
      <c r="D183" s="106" t="str">
        <f t="shared" si="70"/>
        <v/>
      </c>
      <c r="E183" s="398" t="str">
        <f t="shared" si="71"/>
        <v/>
      </c>
      <c r="F183" s="398" t="str">
        <f>IF(K183&lt;&gt;"rumus",(IF(OR(AND(L183="sks&gt;10",L182="sks&lt;=10",IFERROR(SUMPRODUCT($I$178:I182,$J$178:J182)&lt;10,FALSE)),AND(L183="sks&gt;10",L182="")),((IF('LAMPIRAN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Besar"),0.5,"")))),((IF(OR(AND(L183="sks&gt;10",L182="sks&gt;10"),AND(L183="sks&gt;10",L182="sks&lt;=10")),IF('LAMPIRAN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83" s="398" t="str">
        <f>IF(K183&lt;&gt;"rumus",(IF(OR(AND(L183="sks&gt;10",L182="sks&lt;=10",IFERROR(SUMPRODUCT($I$178:I182,$J$178:J182)&lt;10,FALSE)),AND(L183="sks&gt;10",L182="")),(((10-SUMPRODUCT($I$178:I182,$J$178:J182))&amp;" x "&amp;1&amp;" x "&amp;IF('LAMPIRAN I DONE'!$F$21="Tenaga Pengajar",0.5,IF(OR('LAMPIRAN I DONE'!$F$21="Asisten Ahli",'LAMPIRAN I DONE'!$F$21="Lektor",'LAMPIRAN I DONE'!$F$21="Lektor Kepala",'LAMPIRAN I DONE'!$F$21="Guru Besar"),1,""))&amp;" = "&amp;((10-SUMPRODUCT($I$178:I182,$J$178:J182))*IF('LAMPIRAN I DONE'!$F$21="Tenaga Pengajar",0.5,IF(OR('LAMPIRAN I DONE'!$F$21="Asisten Ahli",'LAMPIRAN I DONE'!$F$21="Lektor",'LAMPIRAN I DONE'!$F$21="Lektor Kepala",'LAMPIRAN I DONE'!$F$21="Guru Besar"),1,""))))&amp;"
"&amp;(((I183*J183)-(10-SUMPRODUCT($I$178:I182,$J$178:J182)))&amp;" x "&amp;1&amp;" x "&amp;IF('LAMPIRAN I DONE'!$F$21="Tenaga Pengajar",0.25,IF(OR('LAMPIRAN I DONE'!$F$21="Asisten Ahli",'LAMPIRAN I DONE'!$F$21="Lektor",'LAMPIRAN I DONE'!$F$21="Lektor Kepala",'LAMPIRAN I DONE'!$F$21="Guru Besar"),0.5,""))&amp;" = "&amp;(((I183*J183)-(10-SUMPRODUCT($I$178:I182,$J$178:J182)))*IF('LAMPIRAN I DONE'!$F$21="Tenaga Pengajar",0.25,IF(OR('LAMPIRAN I DONE'!$F$21="Asisten Ahli",'LAMPIRAN I DONE'!$F$21="Lektor",'LAMPIRAN I DONE'!$F$21="Lektor Kepala",'LAMPIRAN I DONE'!$F$21="Guru Besar"),0.5,""))))),(I183&amp;" x "&amp;J183&amp;" x "&amp;(IF(OR(AND(L183="sks&gt;10",L182="sks&gt;10"),AND(L183="sks&gt;10",L182="sks&lt;=10")),IF('LAMPIRAN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"&amp;K183))),"rumus")</f>
        <v>rumus</v>
      </c>
      <c r="H183" s="106" t="s">
        <v>315</v>
      </c>
      <c r="I183" s="409"/>
      <c r="J183" s="409"/>
      <c r="K183" s="401" t="str">
        <f>IF(AND(I183&lt;&gt;"",J183&lt;&gt;""),(IF(OR(AND(L183="sks&gt;10",L182="sks&lt;=10",IFERROR(SUMPRODUCT($I$178:I182,$J$178:J182)&lt;10,FALSE)),AND(L183="sks&gt;10",L182="")),(((10-SUMPRODUCT($I$178:I182,$J$178:J182))*IF('LAMPIRAN I DONE'!$F$21="Tenaga Pengajar",0.5,IF(OR('LAMPIRAN I DONE'!$F$21="Asisten Ahli",'LAMPIRAN I DONE'!$F$21="Lektor",'LAMPIRAN I DONE'!$F$21="Lektor Kepala",'LAMPIRAN I DONE'!$F$21="Guru Besar"),1,"")))+(((I183*J183)-(10-SUMPRODUCT($I$178:I182,$J$178:J182)))*IF('LAMPIRAN I DONE'!$F$21="Tenaga Pengajar",0.25,IF(OR('LAMPIRAN I DONE'!$F$21="Asisten Ahli",'LAMPIRAN I DONE'!$F$21="Lektor",'LAMPIRAN I DONE'!$F$21="Lektor Kepala",'LAMPIRAN I DONE'!$F$21="Guru Besar"),0.5,"")))),IF(OR(AND(L183="sks&gt;10",L182="sks&gt;10"),AND(L183="sks&gt;10",L182="sks&lt;=10")),I183*J183*IF('LAMPIRAN I DONE'!$F$21="Tenaga Pengajar",0.25,IF(OR('LAMPIRAN I DONE'!$F$21="Asisten Ahli",'LAMPIRAN I DONE'!$F$21="Lektor",'LAMPIRAN I DONE'!$F$21="Lektor Kepala",'LAMPIRAN I DONE'!$F$21="Guru Besar"),0.5,"")),I183*J183*IF('LAMPIRAN I DONE'!$F$21="Tenaga Pengajar",0.5,IF(OR('LAMPIRAN I DONE'!$F$21="Asisten Ahli",'LAMPIRAN I DONE'!$F$21="Lektor",'LAMPIRAN I DONE'!$F$21="Lektor Kepala",'LAMPIRAN I DONE'!$F$21="Guru Besar"),1,""))))),"rumus")</f>
        <v>rumus</v>
      </c>
      <c r="L183" s="401" t="str">
        <f t="shared" si="72"/>
        <v>rumus</v>
      </c>
      <c r="M183" s="4"/>
      <c r="N183" s="4"/>
      <c r="O183" s="4"/>
      <c r="P183" s="4"/>
      <c r="Q183" s="4"/>
      <c r="R183" s="4"/>
      <c r="S183" s="4"/>
      <c r="T183" s="4"/>
      <c r="U183" s="4"/>
      <c r="V183" s="4"/>
      <c r="W183" s="4"/>
      <c r="X183" s="4"/>
      <c r="Y183" s="4"/>
      <c r="Z183" s="4"/>
    </row>
    <row r="184" spans="1:26" ht="25.5" customHeight="1" x14ac:dyDescent="0.25">
      <c r="A184" s="109">
        <v>6</v>
      </c>
      <c r="B184" s="397" t="s">
        <v>314</v>
      </c>
      <c r="C184" s="106" t="s">
        <v>334</v>
      </c>
      <c r="D184" s="106" t="str">
        <f t="shared" si="70"/>
        <v/>
      </c>
      <c r="E184" s="398" t="str">
        <f t="shared" si="71"/>
        <v/>
      </c>
      <c r="F184" s="398" t="str">
        <f>IF(K184&lt;&gt;"rumus",(IF(OR(AND(L184="sks&gt;10",L183="sks&lt;=10",IFERROR(SUMPRODUCT($I$178:I183,$J$178:J183)&lt;10,FALSE)),AND(L184="sks&gt;10",L183="")),((IF('LAMPIRAN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Besar"),0.5,"")))),((IF(OR(AND(L184="sks&gt;10",L183="sks&gt;10"),AND(L184="sks&gt;10",L183="sks&lt;=10")),IF('LAMPIRAN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84" s="398" t="str">
        <f>IF(K184&lt;&gt;"rumus",(IF(OR(AND(L184="sks&gt;10",L183="sks&lt;=10",IFERROR(SUMPRODUCT($I$178:I183,$J$178:J183)&lt;10,FALSE)),AND(L184="sks&gt;10",L183="")),(((10-SUMPRODUCT($I$178:I183,$J$178:J183))&amp;" x "&amp;1&amp;" x "&amp;IF('LAMPIRAN I DONE'!$F$21="Tenaga Pengajar",0.5,IF(OR('LAMPIRAN I DONE'!$F$21="Asisten Ahli",'LAMPIRAN I DONE'!$F$21="Lektor",'LAMPIRAN I DONE'!$F$21="Lektor Kepala",'LAMPIRAN I DONE'!$F$21="Guru Besar"),1,""))&amp;" = "&amp;((10-SUMPRODUCT($I$178:I183,$J$178:J183))*IF('LAMPIRAN I DONE'!$F$21="Tenaga Pengajar",0.5,IF(OR('LAMPIRAN I DONE'!$F$21="Asisten Ahli",'LAMPIRAN I DONE'!$F$21="Lektor",'LAMPIRAN I DONE'!$F$21="Lektor Kepala",'LAMPIRAN I DONE'!$F$21="Guru Besar"),1,""))))&amp;"
"&amp;(((I184*J184)-(10-SUMPRODUCT($I$178:I183,$J$178:J183)))&amp;" x "&amp;1&amp;" x "&amp;IF('LAMPIRAN I DONE'!$F$21="Tenaga Pengajar",0.25,IF(OR('LAMPIRAN I DONE'!$F$21="Asisten Ahli",'LAMPIRAN I DONE'!$F$21="Lektor",'LAMPIRAN I DONE'!$F$21="Lektor Kepala",'LAMPIRAN I DONE'!$F$21="Guru Besar"),0.5,""))&amp;" = "&amp;(((I184*J184)-(10-SUMPRODUCT($I$178:I183,$J$178:J183)))*IF('LAMPIRAN I DONE'!$F$21="Tenaga Pengajar",0.25,IF(OR('LAMPIRAN I DONE'!$F$21="Asisten Ahli",'LAMPIRAN I DONE'!$F$21="Lektor",'LAMPIRAN I DONE'!$F$21="Lektor Kepala",'LAMPIRAN I DONE'!$F$21="Guru Besar"),0.5,""))))),(I184&amp;" x "&amp;J184&amp;" x "&amp;(IF(OR(AND(L184="sks&gt;10",L183="sks&gt;10"),AND(L184="sks&gt;10",L183="sks&lt;=10")),IF('LAMPIRAN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"&amp;K184))),"rumus")</f>
        <v>rumus</v>
      </c>
      <c r="H184" s="106" t="s">
        <v>315</v>
      </c>
      <c r="I184" s="409"/>
      <c r="J184" s="409"/>
      <c r="K184" s="401" t="str">
        <f>IF(AND(I184&lt;&gt;"",J184&lt;&gt;""),(IF(OR(AND(L184="sks&gt;10",L183="sks&lt;=10",IFERROR(SUMPRODUCT($I$178:I183,$J$178:J183)&lt;10,FALSE)),AND(L184="sks&gt;10",L183="")),(((10-SUMPRODUCT($I$178:I183,$J$178:J183))*IF('LAMPIRAN I DONE'!$F$21="Tenaga Pengajar",0.5,IF(OR('LAMPIRAN I DONE'!$F$21="Asisten Ahli",'LAMPIRAN I DONE'!$F$21="Lektor",'LAMPIRAN I DONE'!$F$21="Lektor Kepala",'LAMPIRAN I DONE'!$F$21="Guru Besar"),1,"")))+(((I184*J184)-(10-SUMPRODUCT($I$178:I183,$J$178:J183)))*IF('LAMPIRAN I DONE'!$F$21="Tenaga Pengajar",0.25,IF(OR('LAMPIRAN I DONE'!$F$21="Asisten Ahli",'LAMPIRAN I DONE'!$F$21="Lektor",'LAMPIRAN I DONE'!$F$21="Lektor Kepala",'LAMPIRAN I DONE'!$F$21="Guru Besar"),0.5,"")))),IF(OR(AND(L184="sks&gt;10",L183="sks&gt;10"),AND(L184="sks&gt;10",L183="sks&lt;=10")),I184*J184*IF('LAMPIRAN I DONE'!$F$21="Tenaga Pengajar",0.25,IF(OR('LAMPIRAN I DONE'!$F$21="Asisten Ahli",'LAMPIRAN I DONE'!$F$21="Lektor",'LAMPIRAN I DONE'!$F$21="Lektor Kepala",'LAMPIRAN I DONE'!$F$21="Guru Besar"),0.5,"")),I184*J184*IF('LAMPIRAN I DONE'!$F$21="Tenaga Pengajar",0.5,IF(OR('LAMPIRAN I DONE'!$F$21="Asisten Ahli",'LAMPIRAN I DONE'!$F$21="Lektor",'LAMPIRAN I DONE'!$F$21="Lektor Kepala",'LAMPIRAN I DONE'!$F$21="Guru Besar"),1,""))))),"rumus")</f>
        <v>rumus</v>
      </c>
      <c r="L184" s="401" t="str">
        <f t="shared" si="72"/>
        <v>rumus</v>
      </c>
      <c r="M184" s="4"/>
      <c r="N184" s="4"/>
      <c r="O184" s="4"/>
      <c r="P184" s="4"/>
      <c r="Q184" s="4"/>
      <c r="R184" s="4"/>
      <c r="S184" s="4"/>
      <c r="T184" s="4"/>
      <c r="U184" s="4"/>
      <c r="V184" s="4"/>
      <c r="W184" s="4"/>
      <c r="X184" s="4"/>
      <c r="Y184" s="4"/>
      <c r="Z184" s="4"/>
    </row>
    <row r="185" spans="1:26" ht="15" customHeight="1" x14ac:dyDescent="0.25">
      <c r="A185" s="109"/>
      <c r="B185" s="406" t="str">
        <f>"b. Semester Genap "&amp;IF(C186&lt;&gt;"",C186,"")&amp;" :"</f>
        <v>b. Semester Genap 2020/2021 :</v>
      </c>
      <c r="C185" s="407"/>
      <c r="D185" s="407"/>
      <c r="E185" s="407"/>
      <c r="F185" s="407"/>
      <c r="G185" s="407"/>
      <c r="H185" s="408"/>
      <c r="I185" s="110"/>
      <c r="J185" s="110"/>
      <c r="K185" s="4"/>
      <c r="L185" s="4"/>
      <c r="M185" s="111">
        <f>IF((AND(N185="Max 5,5",SUM(K179:K184)&lt;=5.5)),SUM(K179:K184),IF((AND(N185="Max 5,5",SUM(K179:K184)&gt;5.5)),5.5,IF((AND(N185="Max 11",SUM(K179:K184)&lt;=11)),SUM(K179:K184),IF((AND(N185="Max 11",SUM(K179:K184)&gt;11)),11,""))))</f>
        <v>8</v>
      </c>
      <c r="N185" s="103" t="str">
        <f>IF('LAMPIRAN I DONE'!$F$21="Tenaga Pengajar","Max 5,5",IF(OR('LAMPIRAN I DONE'!$F$21="Asisten Ahli",'LAMPIRAN I DONE'!$F$21="Lektor",'LAMPIRAN I DONE'!$F$21="Lektor Kepala",'LAMPIRAN I DONE'!$F$21="Guru Besar"),"Max 11",""))</f>
        <v>Max 11</v>
      </c>
      <c r="O185" s="4"/>
      <c r="P185" s="4"/>
      <c r="Q185" s="4"/>
      <c r="R185" s="4"/>
      <c r="S185" s="4"/>
      <c r="T185" s="4"/>
      <c r="U185" s="4"/>
      <c r="V185" s="4"/>
      <c r="W185" s="4"/>
      <c r="X185" s="4"/>
      <c r="Y185" s="4"/>
      <c r="Z185" s="4"/>
    </row>
    <row r="186" spans="1:26" ht="25.5" customHeight="1" x14ac:dyDescent="0.25">
      <c r="A186" s="109">
        <v>1</v>
      </c>
      <c r="B186" s="570" t="s">
        <v>343</v>
      </c>
      <c r="C186" s="106" t="s">
        <v>337</v>
      </c>
      <c r="D186" s="106" t="str">
        <f t="shared" ref="D186:D191" si="73">IF(G186&lt;&gt;"rumus","SKS","")</f>
        <v>SKS</v>
      </c>
      <c r="E186" s="398" t="str">
        <f t="shared" ref="E186:E191" si="74">IF(K186&lt;&gt;"rumus",(IF(OR(AND(L186="sks&gt;10",L185="sks&lt;=10",IFERROR(SUMPRODUCT($I$185:I185,$J$185:J185)&lt;10,FALSE)),AND(L186="sks&gt;10",L185="")),(((10-SUMPRODUCT($I$185:I185,$J$185:J185))&amp;" x "&amp;1)&amp;"
"&amp;(((I186*J186)-(10-SUMPRODUCT($I$185:I185,$J$185:J185)))&amp;" x "&amp;1)),(I186&amp;" x "&amp;J186))),"")</f>
        <v>4 x 1</v>
      </c>
      <c r="F186" s="398">
        <f>IF(K186&lt;&gt;"rumus",(IF(OR(AND(L186="sks&gt;10",L185="sks&lt;=10",IFERROR(SUMPRODUCT($I$185:I185,$J$185:J185)&lt;10,FALSE)),AND(L186="sks&gt;10",L185="")),((IF('LAMPIRAN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Besar"),0.5,"")))),((IF(OR(AND(L186="sks&gt;10",L185="sks&gt;10"),AND(L186="sks&gt;10",L185="sks&lt;=10")),IF('LAMPIRAN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86" s="398" t="str">
        <f>IF(K186&lt;&gt;"rumus",(IF(OR(AND(L186="sks&gt;10",L185="sks&lt;=10",IFERROR(SUMPRODUCT($I$185:I185,$J$185:J185)&lt;10,FALSE)),AND(L186="sks&gt;10",L185="")),(((10-SUMPRODUCT($I$185:I185,$J$185:J185))&amp;" x "&amp;1&amp;" x "&amp;IF('LAMPIRAN I DONE'!$F$21="Tenaga Pengajar",0.5,IF(OR('LAMPIRAN I DONE'!$F$21="Asisten Ahli",'LAMPIRAN I DONE'!$F$21="Lektor",'LAMPIRAN I DONE'!$F$21="Lektor Kepala",'LAMPIRAN I DONE'!$F$21="Guru Besar"),1,""))&amp;" = "&amp;((10-SUMPRODUCT($I$185:I185,$J$185:J185))*IF('LAMPIRAN I DONE'!$F$21="Tenaga Pengajar",0.5,IF(OR('LAMPIRAN I DONE'!$F$21="Asisten Ahli",'LAMPIRAN I DONE'!$F$21="Lektor",'LAMPIRAN I DONE'!$F$21="Lektor Kepala",'LAMPIRAN I DONE'!$F$21="Guru Besar"),1,""))))&amp;"
"&amp;(((I186*J186)-(10-SUMPRODUCT($I$185:I185,$J$185:J185)))&amp;" x "&amp;1&amp;" x "&amp;IF('LAMPIRAN I DONE'!$F$21="Tenaga Pengajar",0.25,IF(OR('LAMPIRAN I DONE'!$F$21="Asisten Ahli",'LAMPIRAN I DONE'!$F$21="Lektor",'LAMPIRAN I DONE'!$F$21="Lektor Kepala",'LAMPIRAN I DONE'!$F$21="Guru Besar"),0.5,""))&amp;" = "&amp;(((I186*J186)-(10-SUMPRODUCT($I$185:I185,$J$185:J185)))*IF('LAMPIRAN I DONE'!$F$21="Tenaga Pengajar",0.25,IF(OR('LAMPIRAN I DONE'!$F$21="Asisten Ahli",'LAMPIRAN I DONE'!$F$21="Lektor",'LAMPIRAN I DONE'!$F$21="Lektor Kepala",'LAMPIRAN I DONE'!$F$21="Guru Besar"),0.5,""))))),(I186&amp;" x "&amp;J186&amp;" x "&amp;(IF(OR(AND(L186="sks&gt;10",L185="sks&gt;10"),AND(L186="sks&gt;10",L185="sks&lt;=10")),IF('LAMPIRAN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"&amp;K186))),"rumus")</f>
        <v>4 x 1 x 1 = 4</v>
      </c>
      <c r="H186" s="106" t="s">
        <v>372</v>
      </c>
      <c r="I186" s="409">
        <v>4</v>
      </c>
      <c r="J186" s="409">
        <v>1</v>
      </c>
      <c r="K186" s="401">
        <f>IF(AND(I186&lt;&gt;"",J186&lt;&gt;""),(IF(OR(AND(L186="sks&gt;10",L185="sks&lt;=10",IFERROR(SUMPRODUCT($I$185:I185,$J$185:J185)&lt;10,FALSE)),AND(L186="sks&gt;10",L185="")),(((10-SUMPRODUCT($I$185:I185,$J$185:J185))*IF('LAMPIRAN I DONE'!$F$21="Tenaga Pengajar",0.5,IF(OR('LAMPIRAN I DONE'!$F$21="Asisten Ahli",'LAMPIRAN I DONE'!$F$21="Lektor",'LAMPIRAN I DONE'!$F$21="Lektor Kepala",'LAMPIRAN I DONE'!$F$21="Guru Besar"),1,"")))+(((I186*J186)-(10-SUMPRODUCT($I$185:I185,$J$185:J185)))*IF('LAMPIRAN I DONE'!$F$21="Tenaga Pengajar",0.25,IF(OR('LAMPIRAN I DONE'!$F$21="Asisten Ahli",'LAMPIRAN I DONE'!$F$21="Lektor",'LAMPIRAN I DONE'!$F$21="Lektor Kepala",'LAMPIRAN I DONE'!$F$21="Guru Besar"),0.5,"")))),IF(OR(AND(L186="sks&gt;10",L185="sks&gt;10"),AND(L186="sks&gt;10",L185="sks&lt;=10")),I186*J186*IF('LAMPIRAN I DONE'!$F$21="Tenaga Pengajar",0.25,IF(OR('LAMPIRAN I DONE'!$F$21="Asisten Ahli",'LAMPIRAN I DONE'!$F$21="Lektor",'LAMPIRAN I DONE'!$F$21="Lektor Kepala",'LAMPIRAN I DONE'!$F$21="Guru Besar"),0.5,"")),I186*J186*IF('LAMPIRAN I DONE'!$F$21="Tenaga Pengajar",0.5,IF(OR('LAMPIRAN I DONE'!$F$21="Asisten Ahli",'LAMPIRAN I DONE'!$F$21="Lektor",'LAMPIRAN I DONE'!$F$21="Lektor Kepala",'LAMPIRAN I DONE'!$F$21="Guru Besar"),1,""))))),"rumus")</f>
        <v>4</v>
      </c>
      <c r="L186" s="401" t="str">
        <f t="shared" ref="L186:L191" si="75">IF(AND(I186&lt;&gt;"",J186&lt;&gt;""),(IF(SUMPRODUCT($I$186:I186,$J$186:J186)&lt;=10,"SKS&lt;=10",IF(SUMPRODUCT($I$186:I186,$J$186:J186)&gt;10,"SKS&gt;10",""))),"rumus")</f>
        <v>SKS&lt;=10</v>
      </c>
      <c r="M186" s="4"/>
      <c r="N186" s="4"/>
      <c r="O186" s="4"/>
      <c r="P186" s="4"/>
      <c r="Q186" s="4"/>
      <c r="R186" s="4"/>
      <c r="S186" s="4"/>
      <c r="T186" s="4"/>
      <c r="U186" s="4"/>
      <c r="V186" s="4"/>
      <c r="W186" s="4"/>
      <c r="X186" s="4"/>
      <c r="Y186" s="4"/>
      <c r="Z186" s="4"/>
    </row>
    <row r="187" spans="1:26" ht="25.5" customHeight="1" x14ac:dyDescent="0.25">
      <c r="A187" s="109">
        <v>2</v>
      </c>
      <c r="B187" s="571" t="s">
        <v>344</v>
      </c>
      <c r="C187" s="106" t="s">
        <v>337</v>
      </c>
      <c r="D187" s="106" t="str">
        <f t="shared" si="73"/>
        <v>SKS</v>
      </c>
      <c r="E187" s="398" t="str">
        <f t="shared" si="74"/>
        <v>4 x 1</v>
      </c>
      <c r="F187" s="398">
        <f>IF(K187&lt;&gt;"rumus",(IF(OR(AND(L187="sks&gt;10",L186="sks&lt;=10",IFERROR(SUMPRODUCT($I$185:I186,$J$185:J186)&lt;10,FALSE)),AND(L187="sks&gt;10",L186="")),((IF('LAMPIRAN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Besar"),0.5,"")))),((IF(OR(AND(L187="sks&gt;10",L186="sks&gt;10"),AND(L187="sks&gt;10",L186="sks&lt;=10")),IF('LAMPIRAN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87" s="398" t="str">
        <f>IF(K187&lt;&gt;"rumus",(IF(OR(AND(L187="sks&gt;10",L186="sks&lt;=10",IFERROR(SUMPRODUCT($I$185:I186,$J$185:J186)&lt;10,FALSE)),AND(L187="sks&gt;10",L186="")),(((10-SUMPRODUCT($I$185:I186,$J$185:J186))&amp;" x "&amp;1&amp;" x "&amp;IF('LAMPIRAN I DONE'!$F$21="Tenaga Pengajar",0.5,IF(OR('LAMPIRAN I DONE'!$F$21="Asisten Ahli",'LAMPIRAN I DONE'!$F$21="Lektor",'LAMPIRAN I DONE'!$F$21="Lektor Kepala",'LAMPIRAN I DONE'!$F$21="Guru Besar"),1,""))&amp;" = "&amp;((10-SUMPRODUCT($I$185:I186,$J$185:J186))*IF('LAMPIRAN I DONE'!$F$21="Tenaga Pengajar",0.5,IF(OR('LAMPIRAN I DONE'!$F$21="Asisten Ahli",'LAMPIRAN I DONE'!$F$21="Lektor",'LAMPIRAN I DONE'!$F$21="Lektor Kepala",'LAMPIRAN I DONE'!$F$21="Guru Besar"),1,""))))&amp;"
"&amp;(((I187*J187)-(10-SUMPRODUCT($I$185:I186,$J$185:J186)))&amp;" x "&amp;1&amp;" x "&amp;IF('LAMPIRAN I DONE'!$F$21="Tenaga Pengajar",0.25,IF(OR('LAMPIRAN I DONE'!$F$21="Asisten Ahli",'LAMPIRAN I DONE'!$F$21="Lektor",'LAMPIRAN I DONE'!$F$21="Lektor Kepala",'LAMPIRAN I DONE'!$F$21="Guru Besar"),0.5,""))&amp;" = "&amp;(((I187*J187)-(10-SUMPRODUCT($I$185:I186,$J$185:J186)))*IF('LAMPIRAN I DONE'!$F$21="Tenaga Pengajar",0.25,IF(OR('LAMPIRAN I DONE'!$F$21="Asisten Ahli",'LAMPIRAN I DONE'!$F$21="Lektor",'LAMPIRAN I DONE'!$F$21="Lektor Kepala",'LAMPIRAN I DONE'!$F$21="Guru Besar"),0.5,""))))),(I187&amp;" x "&amp;J187&amp;" x "&amp;(IF(OR(AND(L187="sks&gt;10",L186="sks&gt;10"),AND(L187="sks&gt;10",L186="sks&lt;=10")),IF('LAMPIRAN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"&amp;K187))),"rumus")</f>
        <v>4 x 1 x 1 = 4</v>
      </c>
      <c r="H187" s="106" t="s">
        <v>372</v>
      </c>
      <c r="I187" s="409">
        <v>4</v>
      </c>
      <c r="J187" s="409">
        <v>1</v>
      </c>
      <c r="K187" s="401">
        <f>IF(AND(I187&lt;&gt;"",J187&lt;&gt;""),(IF(OR(AND(L187="sks&gt;10",L186="sks&lt;=10",IFERROR(SUMPRODUCT($I$185:I186,$J$185:J186)&lt;10,FALSE)),AND(L187="sks&gt;10",L186="")),(((10-SUMPRODUCT($I$185:I186,$J$185:J186))*IF('LAMPIRAN I DONE'!$F$21="Tenaga Pengajar",0.5,IF(OR('LAMPIRAN I DONE'!$F$21="Asisten Ahli",'LAMPIRAN I DONE'!$F$21="Lektor",'LAMPIRAN I DONE'!$F$21="Lektor Kepala",'LAMPIRAN I DONE'!$F$21="Guru Besar"),1,"")))+(((I187*J187)-(10-SUMPRODUCT($I$185:I186,$J$185:J186)))*IF('LAMPIRAN I DONE'!$F$21="Tenaga Pengajar",0.25,IF(OR('LAMPIRAN I DONE'!$F$21="Asisten Ahli",'LAMPIRAN I DONE'!$F$21="Lektor",'LAMPIRAN I DONE'!$F$21="Lektor Kepala",'LAMPIRAN I DONE'!$F$21="Guru Besar"),0.5,"")))),IF(OR(AND(L187="sks&gt;10",L186="sks&gt;10"),AND(L187="sks&gt;10",L186="sks&lt;=10")),I187*J187*IF('LAMPIRAN I DONE'!$F$21="Tenaga Pengajar",0.25,IF(OR('LAMPIRAN I DONE'!$F$21="Asisten Ahli",'LAMPIRAN I DONE'!$F$21="Lektor",'LAMPIRAN I DONE'!$F$21="Lektor Kepala",'LAMPIRAN I DONE'!$F$21="Guru Besar"),0.5,"")),I187*J187*IF('LAMPIRAN I DONE'!$F$21="Tenaga Pengajar",0.5,IF(OR('LAMPIRAN I DONE'!$F$21="Asisten Ahli",'LAMPIRAN I DONE'!$F$21="Lektor",'LAMPIRAN I DONE'!$F$21="Lektor Kepala",'LAMPIRAN I DONE'!$F$21="Guru Besar"),1,""))))),"rumus")</f>
        <v>4</v>
      </c>
      <c r="L187" s="401" t="str">
        <f t="shared" si="75"/>
        <v>SKS&lt;=10</v>
      </c>
      <c r="M187" s="4"/>
      <c r="N187" s="4"/>
      <c r="O187" s="4"/>
      <c r="P187" s="4"/>
      <c r="Q187" s="4"/>
      <c r="R187" s="4"/>
      <c r="S187" s="4"/>
      <c r="T187" s="4"/>
      <c r="U187" s="4"/>
      <c r="V187" s="4"/>
      <c r="W187" s="4"/>
      <c r="X187" s="4"/>
      <c r="Y187" s="4"/>
      <c r="Z187" s="4"/>
    </row>
    <row r="188" spans="1:26" ht="25.5" customHeight="1" x14ac:dyDescent="0.25">
      <c r="A188" s="109">
        <v>3</v>
      </c>
      <c r="B188" s="571" t="s">
        <v>373</v>
      </c>
      <c r="C188" s="106" t="s">
        <v>337</v>
      </c>
      <c r="D188" s="106" t="str">
        <f t="shared" si="73"/>
        <v>SKS</v>
      </c>
      <c r="E188" s="398" t="str">
        <f t="shared" si="74"/>
        <v>2 x 1
6 x 1</v>
      </c>
      <c r="F188" s="398" t="str">
        <f>IF(K188&lt;&gt;"rumus",(IF(OR(AND(L188="sks&gt;10",L187="sks&lt;=10",IFERROR(SUMPRODUCT($I$185:I187,$J$185:J187)&lt;10,FALSE)),AND(L188="sks&gt;10",L187="")),((IF('LAMPIRAN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Besar"),0.5,"")))),((IF(OR(AND(L188="sks&gt;10",L187="sks&gt;10"),AND(L188="sks&gt;10",L187="sks&lt;=10")),IF('LAMPIRAN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
0.5</v>
      </c>
      <c r="G188" s="398" t="str">
        <f>IF(K188&lt;&gt;"rumus",(IF(OR(AND(L188="sks&gt;10",L187="sks&lt;=10",IFERROR(SUMPRODUCT($I$185:I187,$J$185:J187)&lt;10,FALSE)),AND(L188="sks&gt;10",L187="")),(((10-SUMPRODUCT($I$185:I187,$J$185:J187))&amp;" x "&amp;1&amp;" x "&amp;IF('LAMPIRAN I DONE'!$F$21="Tenaga Pengajar",0.5,IF(OR('LAMPIRAN I DONE'!$F$21="Asisten Ahli",'LAMPIRAN I DONE'!$F$21="Lektor",'LAMPIRAN I DONE'!$F$21="Lektor Kepala",'LAMPIRAN I DONE'!$F$21="Guru Besar"),1,""))&amp;" = "&amp;((10-SUMPRODUCT($I$185:I187,$J$185:J187))*IF('LAMPIRAN I DONE'!$F$21="Tenaga Pengajar",0.5,IF(OR('LAMPIRAN I DONE'!$F$21="Asisten Ahli",'LAMPIRAN I DONE'!$F$21="Lektor",'LAMPIRAN I DONE'!$F$21="Lektor Kepala",'LAMPIRAN I DONE'!$F$21="Guru Besar"),1,""))))&amp;"
"&amp;(((I188*J188)-(10-SUMPRODUCT($I$185:I187,$J$185:J187)))&amp;" x "&amp;1&amp;" x "&amp;IF('LAMPIRAN I DONE'!$F$21="Tenaga Pengajar",0.25,IF(OR('LAMPIRAN I DONE'!$F$21="Asisten Ahli",'LAMPIRAN I DONE'!$F$21="Lektor",'LAMPIRAN I DONE'!$F$21="Lektor Kepala",'LAMPIRAN I DONE'!$F$21="Guru Besar"),0.5,""))&amp;" = "&amp;(((I188*J188)-(10-SUMPRODUCT($I$185:I187,$J$185:J187)))*IF('LAMPIRAN I DONE'!$F$21="Tenaga Pengajar",0.25,IF(OR('LAMPIRAN I DONE'!$F$21="Asisten Ahli",'LAMPIRAN I DONE'!$F$21="Lektor",'LAMPIRAN I DONE'!$F$21="Lektor Kepala",'LAMPIRAN I DONE'!$F$21="Guru Besar"),0.5,""))))),(I188&amp;" x "&amp;J188&amp;" x "&amp;(IF(OR(AND(L188="sks&gt;10",L187="sks&gt;10"),AND(L188="sks&gt;10",L187="sks&lt;=10")),IF('LAMPIRAN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"&amp;K188))),"rumus")</f>
        <v>2 x 1 x 1 = 2
6 x 1 x 0.5 = 3</v>
      </c>
      <c r="H188" s="106" t="s">
        <v>372</v>
      </c>
      <c r="I188" s="409">
        <v>4</v>
      </c>
      <c r="J188" s="409">
        <v>2</v>
      </c>
      <c r="K188" s="401">
        <f>IF(AND(I188&lt;&gt;"",J188&lt;&gt;""),(IF(OR(AND(L188="sks&gt;10",L187="sks&lt;=10",IFERROR(SUMPRODUCT($I$185:I187,$J$185:J187)&lt;10,FALSE)),AND(L188="sks&gt;10",L187="")),(((10-SUMPRODUCT($I$185:I187,$J$185:J187))*IF('LAMPIRAN I DONE'!$F$21="Tenaga Pengajar",0.5,IF(OR('LAMPIRAN I DONE'!$F$21="Asisten Ahli",'LAMPIRAN I DONE'!$F$21="Lektor",'LAMPIRAN I DONE'!$F$21="Lektor Kepala",'LAMPIRAN I DONE'!$F$21="Guru Besar"),1,"")))+(((I188*J188)-(10-SUMPRODUCT($I$185:I187,$J$185:J187)))*IF('LAMPIRAN I DONE'!$F$21="Tenaga Pengajar",0.25,IF(OR('LAMPIRAN I DONE'!$F$21="Asisten Ahli",'LAMPIRAN I DONE'!$F$21="Lektor",'LAMPIRAN I DONE'!$F$21="Lektor Kepala",'LAMPIRAN I DONE'!$F$21="Guru Besar"),0.5,"")))),IF(OR(AND(L188="sks&gt;10",L187="sks&gt;10"),AND(L188="sks&gt;10",L187="sks&lt;=10")),I188*J188*IF('LAMPIRAN I DONE'!$F$21="Tenaga Pengajar",0.25,IF(OR('LAMPIRAN I DONE'!$F$21="Asisten Ahli",'LAMPIRAN I DONE'!$F$21="Lektor",'LAMPIRAN I DONE'!$F$21="Lektor Kepala",'LAMPIRAN I DONE'!$F$21="Guru Besar"),0.5,"")),I188*J188*IF('LAMPIRAN I DONE'!$F$21="Tenaga Pengajar",0.5,IF(OR('LAMPIRAN I DONE'!$F$21="Asisten Ahli",'LAMPIRAN I DONE'!$F$21="Lektor",'LAMPIRAN I DONE'!$F$21="Lektor Kepala",'LAMPIRAN I DONE'!$F$21="Guru Besar"),1,""))))),"rumus")</f>
        <v>5</v>
      </c>
      <c r="L188" s="401" t="str">
        <f t="shared" si="75"/>
        <v>SKS&gt;10</v>
      </c>
      <c r="M188" s="4"/>
      <c r="N188" s="4"/>
      <c r="O188" s="4"/>
      <c r="P188" s="4"/>
      <c r="Q188" s="4"/>
      <c r="R188" s="4"/>
      <c r="S188" s="4"/>
      <c r="T188" s="4"/>
      <c r="U188" s="4"/>
      <c r="V188" s="4"/>
      <c r="W188" s="4"/>
      <c r="X188" s="4"/>
      <c r="Y188" s="4"/>
      <c r="Z188" s="4"/>
    </row>
    <row r="189" spans="1:26" ht="25.5" customHeight="1" x14ac:dyDescent="0.25">
      <c r="A189" s="109">
        <v>4</v>
      </c>
      <c r="B189" s="397" t="s">
        <v>314</v>
      </c>
      <c r="C189" s="106" t="s">
        <v>337</v>
      </c>
      <c r="D189" s="106" t="str">
        <f t="shared" si="73"/>
        <v/>
      </c>
      <c r="E189" s="398" t="str">
        <f t="shared" si="74"/>
        <v/>
      </c>
      <c r="F189" s="398" t="str">
        <f>IF(K189&lt;&gt;"rumus",(IF(OR(AND(L189="sks&gt;10",L188="sks&lt;=10",IFERROR(SUMPRODUCT($I$185:I188,$J$185:J188)&lt;10,FALSE)),AND(L189="sks&gt;10",L188="")),((IF('LAMPIRAN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Besar"),0.5,"")))),((IF(OR(AND(L189="sks&gt;10",L188="sks&gt;10"),AND(L189="sks&gt;10",L188="sks&lt;=10")),IF('LAMPIRAN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89" s="398" t="str">
        <f>IF(K189&lt;&gt;"rumus",(IF(OR(AND(L189="sks&gt;10",L188="sks&lt;=10",IFERROR(SUMPRODUCT($I$185:I188,$J$185:J188)&lt;10,FALSE)),AND(L189="sks&gt;10",L188="")),(((10-SUMPRODUCT($I$185:I188,$J$185:J188))&amp;" x "&amp;1&amp;" x "&amp;IF('LAMPIRAN I DONE'!$F$21="Tenaga Pengajar",0.5,IF(OR('LAMPIRAN I DONE'!$F$21="Asisten Ahli",'LAMPIRAN I DONE'!$F$21="Lektor",'LAMPIRAN I DONE'!$F$21="Lektor Kepala",'LAMPIRAN I DONE'!$F$21="Guru Besar"),1,""))&amp;" = "&amp;((10-SUMPRODUCT($I$185:I188,$J$185:J188))*IF('LAMPIRAN I DONE'!$F$21="Tenaga Pengajar",0.5,IF(OR('LAMPIRAN I DONE'!$F$21="Asisten Ahli",'LAMPIRAN I DONE'!$F$21="Lektor",'LAMPIRAN I DONE'!$F$21="Lektor Kepala",'LAMPIRAN I DONE'!$F$21="Guru Besar"),1,""))))&amp;"
"&amp;(((I189*J189)-(10-SUMPRODUCT($I$185:I188,$J$185:J188)))&amp;" x "&amp;1&amp;" x "&amp;IF('LAMPIRAN I DONE'!$F$21="Tenaga Pengajar",0.25,IF(OR('LAMPIRAN I DONE'!$F$21="Asisten Ahli",'LAMPIRAN I DONE'!$F$21="Lektor",'LAMPIRAN I DONE'!$F$21="Lektor Kepala",'LAMPIRAN I DONE'!$F$21="Guru Besar"),0.5,""))&amp;" = "&amp;(((I189*J189)-(10-SUMPRODUCT($I$185:I188,$J$185:J188)))*IF('LAMPIRAN I DONE'!$F$21="Tenaga Pengajar",0.25,IF(OR('LAMPIRAN I DONE'!$F$21="Asisten Ahli",'LAMPIRAN I DONE'!$F$21="Lektor",'LAMPIRAN I DONE'!$F$21="Lektor Kepala",'LAMPIRAN I DONE'!$F$21="Guru Besar"),0.5,""))))),(I189&amp;" x "&amp;J189&amp;" x "&amp;(IF(OR(AND(L189="sks&gt;10",L188="sks&gt;10"),AND(L189="sks&gt;10",L188="sks&lt;=10")),IF('LAMPIRAN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"&amp;K189))),"rumus")</f>
        <v>rumus</v>
      </c>
      <c r="H189" s="106" t="s">
        <v>315</v>
      </c>
      <c r="I189" s="409"/>
      <c r="J189" s="409"/>
      <c r="K189" s="401" t="str">
        <f>IF(AND(I189&lt;&gt;"",J189&lt;&gt;""),(IF(OR(AND(L189="sks&gt;10",L188="sks&lt;=10",IFERROR(SUMPRODUCT($I$185:I188,$J$185:J188)&lt;10,FALSE)),AND(L189="sks&gt;10",L188="")),(((10-SUMPRODUCT($I$185:I188,$J$185:J188))*IF('LAMPIRAN I DONE'!$F$21="Tenaga Pengajar",0.5,IF(OR('LAMPIRAN I DONE'!$F$21="Asisten Ahli",'LAMPIRAN I DONE'!$F$21="Lektor",'LAMPIRAN I DONE'!$F$21="Lektor Kepala",'LAMPIRAN I DONE'!$F$21="Guru Besar"),1,"")))+(((I189*J189)-(10-SUMPRODUCT($I$185:I188,$J$185:J188)))*IF('LAMPIRAN I DONE'!$F$21="Tenaga Pengajar",0.25,IF(OR('LAMPIRAN I DONE'!$F$21="Asisten Ahli",'LAMPIRAN I DONE'!$F$21="Lektor",'LAMPIRAN I DONE'!$F$21="Lektor Kepala",'LAMPIRAN I DONE'!$F$21="Guru Besar"),0.5,"")))),IF(OR(AND(L189="sks&gt;10",L188="sks&gt;10"),AND(L189="sks&gt;10",L188="sks&lt;=10")),I189*J189*IF('LAMPIRAN I DONE'!$F$21="Tenaga Pengajar",0.25,IF(OR('LAMPIRAN I DONE'!$F$21="Asisten Ahli",'LAMPIRAN I DONE'!$F$21="Lektor",'LAMPIRAN I DONE'!$F$21="Lektor Kepala",'LAMPIRAN I DONE'!$F$21="Guru Besar"),0.5,"")),I189*J189*IF('LAMPIRAN I DONE'!$F$21="Tenaga Pengajar",0.5,IF(OR('LAMPIRAN I DONE'!$F$21="Asisten Ahli",'LAMPIRAN I DONE'!$F$21="Lektor",'LAMPIRAN I DONE'!$F$21="Lektor Kepala",'LAMPIRAN I DONE'!$F$21="Guru Besar"),1,""))))),"rumus")</f>
        <v>rumus</v>
      </c>
      <c r="L189" s="401" t="str">
        <f t="shared" si="75"/>
        <v>rumus</v>
      </c>
      <c r="M189" s="4"/>
      <c r="N189" s="4"/>
      <c r="O189" s="4"/>
      <c r="P189" s="4"/>
      <c r="Q189" s="4"/>
      <c r="R189" s="4"/>
      <c r="S189" s="4"/>
      <c r="T189" s="4"/>
      <c r="U189" s="4"/>
      <c r="V189" s="4"/>
      <c r="W189" s="4"/>
      <c r="X189" s="4"/>
      <c r="Y189" s="4"/>
      <c r="Z189" s="4"/>
    </row>
    <row r="190" spans="1:26" ht="25.5" customHeight="1" x14ac:dyDescent="0.25">
      <c r="A190" s="109">
        <v>5</v>
      </c>
      <c r="B190" s="397" t="s">
        <v>314</v>
      </c>
      <c r="C190" s="106" t="s">
        <v>337</v>
      </c>
      <c r="D190" s="106" t="str">
        <f t="shared" si="73"/>
        <v/>
      </c>
      <c r="E190" s="398" t="str">
        <f t="shared" si="74"/>
        <v/>
      </c>
      <c r="F190" s="398" t="str">
        <f>IF(K190&lt;&gt;"rumus",(IF(OR(AND(L190="sks&gt;10",L189="sks&lt;=10",IFERROR(SUMPRODUCT($I$185:I189,$J$185:J189)&lt;10,FALSE)),AND(L190="sks&gt;10",L189="")),((IF('LAMPIRAN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Besar"),0.5,"")))),((IF(OR(AND(L190="sks&gt;10",L189="sks&gt;10"),AND(L190="sks&gt;10",L189="sks&lt;=10")),IF('LAMPIRAN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90" s="398" t="str">
        <f>IF(K190&lt;&gt;"rumus",(IF(OR(AND(L190="sks&gt;10",L189="sks&lt;=10",IFERROR(SUMPRODUCT($I$185:I189,$J$185:J189)&lt;10,FALSE)),AND(L190="sks&gt;10",L189="")),(((10-SUMPRODUCT($I$185:I189,$J$185:J189))&amp;" x "&amp;1&amp;" x "&amp;IF('LAMPIRAN I DONE'!$F$21="Tenaga Pengajar",0.5,IF(OR('LAMPIRAN I DONE'!$F$21="Asisten Ahli",'LAMPIRAN I DONE'!$F$21="Lektor",'LAMPIRAN I DONE'!$F$21="Lektor Kepala",'LAMPIRAN I DONE'!$F$21="Guru Besar"),1,""))&amp;" = "&amp;((10-SUMPRODUCT($I$185:I189,$J$185:J189))*IF('LAMPIRAN I DONE'!$F$21="Tenaga Pengajar",0.5,IF(OR('LAMPIRAN I DONE'!$F$21="Asisten Ahli",'LAMPIRAN I DONE'!$F$21="Lektor",'LAMPIRAN I DONE'!$F$21="Lektor Kepala",'LAMPIRAN I DONE'!$F$21="Guru Besar"),1,""))))&amp;"
"&amp;(((I190*J190)-(10-SUMPRODUCT($I$185:I189,$J$185:J189)))&amp;" x "&amp;1&amp;" x "&amp;IF('LAMPIRAN I DONE'!$F$21="Tenaga Pengajar",0.25,IF(OR('LAMPIRAN I DONE'!$F$21="Asisten Ahli",'LAMPIRAN I DONE'!$F$21="Lektor",'LAMPIRAN I DONE'!$F$21="Lektor Kepala",'LAMPIRAN I DONE'!$F$21="Guru Besar"),0.5,""))&amp;" = "&amp;(((I190*J190)-(10-SUMPRODUCT($I$185:I189,$J$185:J189)))*IF('LAMPIRAN I DONE'!$F$21="Tenaga Pengajar",0.25,IF(OR('LAMPIRAN I DONE'!$F$21="Asisten Ahli",'LAMPIRAN I DONE'!$F$21="Lektor",'LAMPIRAN I DONE'!$F$21="Lektor Kepala",'LAMPIRAN I DONE'!$F$21="Guru Besar"),0.5,""))))),(I190&amp;" x "&amp;J190&amp;" x "&amp;(IF(OR(AND(L190="sks&gt;10",L189="sks&gt;10"),AND(L190="sks&gt;10",L189="sks&lt;=10")),IF('LAMPIRAN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"&amp;K190))),"rumus")</f>
        <v>rumus</v>
      </c>
      <c r="H190" s="106" t="s">
        <v>315</v>
      </c>
      <c r="I190" s="409"/>
      <c r="J190" s="409"/>
      <c r="K190" s="401" t="str">
        <f>IF(AND(I190&lt;&gt;"",J190&lt;&gt;""),(IF(OR(AND(L190="sks&gt;10",L189="sks&lt;=10",IFERROR(SUMPRODUCT($I$185:I189,$J$185:J189)&lt;10,FALSE)),AND(L190="sks&gt;10",L189="")),(((10-SUMPRODUCT($I$185:I189,$J$185:J189))*IF('LAMPIRAN I DONE'!$F$21="Tenaga Pengajar",0.5,IF(OR('LAMPIRAN I DONE'!$F$21="Asisten Ahli",'LAMPIRAN I DONE'!$F$21="Lektor",'LAMPIRAN I DONE'!$F$21="Lektor Kepala",'LAMPIRAN I DONE'!$F$21="Guru Besar"),1,"")))+(((I190*J190)-(10-SUMPRODUCT($I$185:I189,$J$185:J189)))*IF('LAMPIRAN I DONE'!$F$21="Tenaga Pengajar",0.25,IF(OR('LAMPIRAN I DONE'!$F$21="Asisten Ahli",'LAMPIRAN I DONE'!$F$21="Lektor",'LAMPIRAN I DONE'!$F$21="Lektor Kepala",'LAMPIRAN I DONE'!$F$21="Guru Besar"),0.5,"")))),IF(OR(AND(L190="sks&gt;10",L189="sks&gt;10"),AND(L190="sks&gt;10",L189="sks&lt;=10")),I190*J190*IF('LAMPIRAN I DONE'!$F$21="Tenaga Pengajar",0.25,IF(OR('LAMPIRAN I DONE'!$F$21="Asisten Ahli",'LAMPIRAN I DONE'!$F$21="Lektor",'LAMPIRAN I DONE'!$F$21="Lektor Kepala",'LAMPIRAN I DONE'!$F$21="Guru Besar"),0.5,"")),I190*J190*IF('LAMPIRAN I DONE'!$F$21="Tenaga Pengajar",0.5,IF(OR('LAMPIRAN I DONE'!$F$21="Asisten Ahli",'LAMPIRAN I DONE'!$F$21="Lektor",'LAMPIRAN I DONE'!$F$21="Lektor Kepala",'LAMPIRAN I DONE'!$F$21="Guru Besar"),1,""))))),"rumus")</f>
        <v>rumus</v>
      </c>
      <c r="L190" s="401" t="str">
        <f t="shared" si="75"/>
        <v>rumus</v>
      </c>
      <c r="M190" s="4"/>
      <c r="N190" s="4"/>
      <c r="O190" s="4"/>
      <c r="P190" s="4"/>
      <c r="Q190" s="4"/>
      <c r="R190" s="4"/>
      <c r="S190" s="4"/>
      <c r="T190" s="4"/>
      <c r="U190" s="4"/>
      <c r="V190" s="4"/>
      <c r="W190" s="4"/>
      <c r="X190" s="4"/>
      <c r="Y190" s="4"/>
      <c r="Z190" s="4"/>
    </row>
    <row r="191" spans="1:26" ht="25.5" customHeight="1" x14ac:dyDescent="0.25">
      <c r="A191" s="109">
        <v>6</v>
      </c>
      <c r="B191" s="397" t="s">
        <v>314</v>
      </c>
      <c r="C191" s="106" t="s">
        <v>337</v>
      </c>
      <c r="D191" s="106" t="str">
        <f t="shared" si="73"/>
        <v/>
      </c>
      <c r="E191" s="398" t="str">
        <f t="shared" si="74"/>
        <v/>
      </c>
      <c r="F191" s="398" t="str">
        <f>IF(K191&lt;&gt;"rumus",(IF(OR(AND(L191="sks&gt;10",L190="sks&lt;=10",IFERROR(SUMPRODUCT($I$185:I190,$J$185:J190)&lt;10,FALSE)),AND(L191="sks&gt;10",L190="")),((IF('LAMPIRAN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Besar"),0.5,"")))),((IF(OR(AND(L191="sks&gt;10",L190="sks&gt;10"),AND(L191="sks&gt;10",L190="sks&lt;=10")),IF('LAMPIRAN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91" s="398" t="str">
        <f>IF(K191&lt;&gt;"rumus",(IF(OR(AND(L191="sks&gt;10",L190="sks&lt;=10",IFERROR(SUMPRODUCT($I$185:I190,$J$185:J190)&lt;10,FALSE)),AND(L191="sks&gt;10",L190="")),(((10-SUMPRODUCT($I$185:I190,$J$185:J190))&amp;" x "&amp;1&amp;" x "&amp;IF('LAMPIRAN I DONE'!$F$21="Tenaga Pengajar",0.5,IF(OR('LAMPIRAN I DONE'!$F$21="Asisten Ahli",'LAMPIRAN I DONE'!$F$21="Lektor",'LAMPIRAN I DONE'!$F$21="Lektor Kepala",'LAMPIRAN I DONE'!$F$21="Guru Besar"),1,""))&amp;" = "&amp;((10-SUMPRODUCT($I$185:I190,$J$185:J190))*IF('LAMPIRAN I DONE'!$F$21="Tenaga Pengajar",0.5,IF(OR('LAMPIRAN I DONE'!$F$21="Asisten Ahli",'LAMPIRAN I DONE'!$F$21="Lektor",'LAMPIRAN I DONE'!$F$21="Lektor Kepala",'LAMPIRAN I DONE'!$F$21="Guru Besar"),1,""))))&amp;"
"&amp;(((I191*J191)-(10-SUMPRODUCT($I$185:I190,$J$185:J190)))&amp;" x "&amp;1&amp;" x "&amp;IF('LAMPIRAN I DONE'!$F$21="Tenaga Pengajar",0.25,IF(OR('LAMPIRAN I DONE'!$F$21="Asisten Ahli",'LAMPIRAN I DONE'!$F$21="Lektor",'LAMPIRAN I DONE'!$F$21="Lektor Kepala",'LAMPIRAN I DONE'!$F$21="Guru Besar"),0.5,""))&amp;" = "&amp;(((I191*J191)-(10-SUMPRODUCT($I$185:I190,$J$185:J190)))*IF('LAMPIRAN I DONE'!$F$21="Tenaga Pengajar",0.25,IF(OR('LAMPIRAN I DONE'!$F$21="Asisten Ahli",'LAMPIRAN I DONE'!$F$21="Lektor",'LAMPIRAN I DONE'!$F$21="Lektor Kepala",'LAMPIRAN I DONE'!$F$21="Guru Besar"),0.5,""))))),(I191&amp;" x "&amp;J191&amp;" x "&amp;(IF(OR(AND(L191="sks&gt;10",L190="sks&gt;10"),AND(L191="sks&gt;10",L190="sks&lt;=10")),IF('LAMPIRAN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"&amp;K191))),"rumus")</f>
        <v>rumus</v>
      </c>
      <c r="H191" s="106" t="s">
        <v>315</v>
      </c>
      <c r="I191" s="409"/>
      <c r="J191" s="409"/>
      <c r="K191" s="401" t="str">
        <f>IF(AND(I191&lt;&gt;"",J191&lt;&gt;""),(IF(OR(AND(L191="sks&gt;10",L190="sks&lt;=10",IFERROR(SUMPRODUCT($I$185:I190,$J$185:J190)&lt;10,FALSE)),AND(L191="sks&gt;10",L190="")),(((10-SUMPRODUCT($I$185:I190,$J$185:J190))*IF('LAMPIRAN I DONE'!$F$21="Tenaga Pengajar",0.5,IF(OR('LAMPIRAN I DONE'!$F$21="Asisten Ahli",'LAMPIRAN I DONE'!$F$21="Lektor",'LAMPIRAN I DONE'!$F$21="Lektor Kepala",'LAMPIRAN I DONE'!$F$21="Guru Besar"),1,"")))+(((I191*J191)-(10-SUMPRODUCT($I$185:I190,$J$185:J190)))*IF('LAMPIRAN I DONE'!$F$21="Tenaga Pengajar",0.25,IF(OR('LAMPIRAN I DONE'!$F$21="Asisten Ahli",'LAMPIRAN I DONE'!$F$21="Lektor",'LAMPIRAN I DONE'!$F$21="Lektor Kepala",'LAMPIRAN I DONE'!$F$21="Guru Besar"),0.5,"")))),IF(OR(AND(L191="sks&gt;10",L190="sks&gt;10"),AND(L191="sks&gt;10",L190="sks&lt;=10")),I191*J191*IF('LAMPIRAN I DONE'!$F$21="Tenaga Pengajar",0.25,IF(OR('LAMPIRAN I DONE'!$F$21="Asisten Ahli",'LAMPIRAN I DONE'!$F$21="Lektor",'LAMPIRAN I DONE'!$F$21="Lektor Kepala",'LAMPIRAN I DONE'!$F$21="Guru Besar"),0.5,"")),I191*J191*IF('LAMPIRAN I DONE'!$F$21="Tenaga Pengajar",0.5,IF(OR('LAMPIRAN I DONE'!$F$21="Asisten Ahli",'LAMPIRAN I DONE'!$F$21="Lektor",'LAMPIRAN I DONE'!$F$21="Lektor Kepala",'LAMPIRAN I DONE'!$F$21="Guru Besar"),1,""))))),"rumus")</f>
        <v>rumus</v>
      </c>
      <c r="L191" s="401" t="str">
        <f t="shared" si="75"/>
        <v>rumus</v>
      </c>
      <c r="M191" s="4"/>
      <c r="N191" s="4"/>
      <c r="O191" s="4"/>
      <c r="P191" s="4"/>
      <c r="Q191" s="4"/>
      <c r="R191" s="4"/>
      <c r="S191" s="4"/>
      <c r="T191" s="4"/>
      <c r="U191" s="4"/>
      <c r="V191" s="4"/>
      <c r="W191" s="4"/>
      <c r="X191" s="4"/>
      <c r="Y191" s="4"/>
      <c r="Z191" s="4"/>
    </row>
    <row r="192" spans="1:26" ht="15" customHeight="1" x14ac:dyDescent="0.25">
      <c r="A192" s="109"/>
      <c r="B192" s="406" t="str">
        <f>"b. Semester Genap "&amp;IF(C193&lt;&gt;"",C193,"")&amp;" :"</f>
        <v>b. Semester Genap 2021/2022 :</v>
      </c>
      <c r="C192" s="407"/>
      <c r="D192" s="410"/>
      <c r="E192" s="410"/>
      <c r="F192" s="410"/>
      <c r="G192" s="410"/>
      <c r="H192" s="411"/>
      <c r="I192" s="110"/>
      <c r="J192" s="110"/>
      <c r="K192" s="4"/>
      <c r="L192" s="4"/>
      <c r="M192" s="111">
        <f>IF((AND(N192="Max 5,5",SUM(K186:K191)&lt;=5.5)),SUM(K186:K191),IF((AND(N192="Max 5,5",SUM(K186:K191)&gt;5.5)),5.5,IF((AND(N192="Max 11",SUM(K186:K191)&lt;=11)),SUM(K186:K191),IF((AND(N192="Max 11",SUM(K186:K191)&gt;11)),11,""))))</f>
        <v>11</v>
      </c>
      <c r="N192" s="103" t="str">
        <f>IF('LAMPIRAN I DONE'!$F$21="Tenaga Pengajar","Max 5,5",IF(OR('LAMPIRAN I DONE'!$F$21="Asisten Ahli",'LAMPIRAN I DONE'!$F$21="Lektor",'LAMPIRAN I DONE'!$F$21="Lektor Kepala",'LAMPIRAN I DONE'!$F$21="Guru Besar"),"Max 11",""))</f>
        <v>Max 11</v>
      </c>
      <c r="O192" s="4"/>
      <c r="P192" s="4"/>
      <c r="Q192" s="4"/>
      <c r="R192" s="4"/>
      <c r="S192" s="4"/>
      <c r="T192" s="4"/>
      <c r="U192" s="4"/>
      <c r="V192" s="4"/>
      <c r="W192" s="4"/>
      <c r="X192" s="4"/>
      <c r="Y192" s="4"/>
      <c r="Z192" s="4"/>
    </row>
    <row r="193" spans="1:26" ht="25.5" customHeight="1" x14ac:dyDescent="0.25">
      <c r="A193" s="109">
        <v>1</v>
      </c>
      <c r="B193" s="570" t="s">
        <v>373</v>
      </c>
      <c r="C193" s="106" t="s">
        <v>341</v>
      </c>
      <c r="D193" s="106" t="str">
        <f t="shared" ref="D193:D198" si="76">IF(G193&lt;&gt;"rumus","SKS","")</f>
        <v>SKS</v>
      </c>
      <c r="E193" s="398" t="str">
        <f t="shared" ref="E193:E198" si="77">IF(K193&lt;&gt;"rumus",(IF(OR(AND(L193="sks&gt;10",L192="sks&lt;=10",IFERROR(SUMPRODUCT($I$192:I192,$J$192:J192)&lt;10,FALSE)),AND(L193="sks&gt;10",L192="")),(((10-SUMPRODUCT($I$192:I192,$J$192:J192))&amp;" x "&amp;1)&amp;"
"&amp;(((I193*J193)-(10-SUMPRODUCT($I$192:I192,$J$192:J192)))&amp;" x "&amp;1)),(I193&amp;" x "&amp;J193))),"")</f>
        <v>4 x 2</v>
      </c>
      <c r="F193" s="398">
        <f>IF(K193&lt;&gt;"rumus",(IF(OR(AND(L193="sks&gt;10",L192="sks&lt;=10",IFERROR(SUMPRODUCT($I$192:I192,$J$192:J192)&lt;10,FALSE)),AND(L193="sks&gt;10",L192="")),((IF('LAMPIRAN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Besar"),0.5,"")))),((IF(OR(AND(L193="sks&gt;10",L192="sks&gt;10"),AND(L193="sks&gt;10",L192="sks&lt;=10")),IF('LAMPIRAN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193" s="398" t="str">
        <f>IF(K193&lt;&gt;"rumus",(IF(OR(AND(L193="sks&gt;10",L192="sks&lt;=10",IFERROR(SUMPRODUCT($I$192:I192,$J$192:J192)&lt;10,FALSE)),AND(L193="sks&gt;10",L192="")),(((10-SUMPRODUCT($I$192:I192,$J$192:J192))&amp;" x "&amp;1&amp;" x "&amp;IF('LAMPIRAN I DONE'!$F$21="Tenaga Pengajar",0.5,IF(OR('LAMPIRAN I DONE'!$F$21="Asisten Ahli",'LAMPIRAN I DONE'!$F$21="Lektor",'LAMPIRAN I DONE'!$F$21="Lektor Kepala",'LAMPIRAN I DONE'!$F$21="Guru Besar"),1,""))&amp;" = "&amp;((10-SUMPRODUCT($I$192:I192,$J$192:J192))*IF('LAMPIRAN I DONE'!$F$21="Tenaga Pengajar",0.5,IF(OR('LAMPIRAN I DONE'!$F$21="Asisten Ahli",'LAMPIRAN I DONE'!$F$21="Lektor",'LAMPIRAN I DONE'!$F$21="Lektor Kepala",'LAMPIRAN I DONE'!$F$21="Guru Besar"),1,""))))&amp;"
"&amp;(((I193*J193)-(10-SUMPRODUCT($I$192:I192,$J$192:J192)))&amp;" x "&amp;1&amp;" x "&amp;IF('LAMPIRAN I DONE'!$F$21="Tenaga Pengajar",0.25,IF(OR('LAMPIRAN I DONE'!$F$21="Asisten Ahli",'LAMPIRAN I DONE'!$F$21="Lektor",'LAMPIRAN I DONE'!$F$21="Lektor Kepala",'LAMPIRAN I DONE'!$F$21="Guru Besar"),0.5,""))&amp;" = "&amp;(((I193*J193)-(10-SUMPRODUCT($I$192:I192,$J$192:J192)))*IF('LAMPIRAN I DONE'!$F$21="Tenaga Pengajar",0.25,IF(OR('LAMPIRAN I DONE'!$F$21="Asisten Ahli",'LAMPIRAN I DONE'!$F$21="Lektor",'LAMPIRAN I DONE'!$F$21="Lektor Kepala",'LAMPIRAN I DONE'!$F$21="Guru Besar"),0.5,""))))),(I193&amp;" x "&amp;J193&amp;" x "&amp;(IF(OR(AND(L193="sks&gt;10",L192="sks&gt;10"),AND(L193="sks&gt;10",L192="sks&lt;=10")),IF('LAMPIRAN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"&amp;K193))),"rumus")</f>
        <v>4 x 2 x 1 = 8</v>
      </c>
      <c r="H193" s="106" t="s">
        <v>374</v>
      </c>
      <c r="I193" s="409">
        <v>4</v>
      </c>
      <c r="J193" s="409">
        <v>2</v>
      </c>
      <c r="K193" s="401">
        <f>IF(AND(I193&lt;&gt;"",J193&lt;&gt;""),(IF(OR(AND(L193="sks&gt;10",L192="sks&lt;=10",IFERROR(SUMPRODUCT($I$192:I192,$J$192:J192)&lt;10,FALSE)),AND(L193="sks&gt;10",L192="")),(((10-SUMPRODUCT($I$192:I192,$J$192:J192))*IF('LAMPIRAN I DONE'!$F$21="Tenaga Pengajar",0.5,IF(OR('LAMPIRAN I DONE'!$F$21="Asisten Ahli",'LAMPIRAN I DONE'!$F$21="Lektor",'LAMPIRAN I DONE'!$F$21="Lektor Kepala",'LAMPIRAN I DONE'!$F$21="Guru Besar"),1,"")))+(((I193*J193)-(10-SUMPRODUCT($I$192:I192,$J$192:J192)))*IF('LAMPIRAN I DONE'!$F$21="Tenaga Pengajar",0.25,IF(OR('LAMPIRAN I DONE'!$F$21="Asisten Ahli",'LAMPIRAN I DONE'!$F$21="Lektor",'LAMPIRAN I DONE'!$F$21="Lektor Kepala",'LAMPIRAN I DONE'!$F$21="Guru Besar"),0.5,"")))),IF(OR(AND(L193="sks&gt;10",L192="sks&gt;10"),AND(L193="sks&gt;10",L192="sks&lt;=10")),I193*J193*IF('LAMPIRAN I DONE'!$F$21="Tenaga Pengajar",0.25,IF(OR('LAMPIRAN I DONE'!$F$21="Asisten Ahli",'LAMPIRAN I DONE'!$F$21="Lektor",'LAMPIRAN I DONE'!$F$21="Lektor Kepala",'LAMPIRAN I DONE'!$F$21="Guru Besar"),0.5,"")),I193*J193*IF('LAMPIRAN I DONE'!$F$21="Tenaga Pengajar",0.5,IF(OR('LAMPIRAN I DONE'!$F$21="Asisten Ahli",'LAMPIRAN I DONE'!$F$21="Lektor",'LAMPIRAN I DONE'!$F$21="Lektor Kepala",'LAMPIRAN I DONE'!$F$21="Guru Besar"),1,""))))),"rumus")</f>
        <v>8</v>
      </c>
      <c r="L193" s="401" t="str">
        <f t="shared" ref="L193:L198" si="78">IF(AND(I193&lt;&gt;"",J193&lt;&gt;""),(IF(SUMPRODUCT($I$193:I193,$J$193:J193)&lt;=10,"SKS&lt;=10",IF(SUMPRODUCT($I$193:I193,$J$193:J193)&gt;10,"SKS&gt;10",""))),"rumus")</f>
        <v>SKS&lt;=10</v>
      </c>
      <c r="M193" s="4"/>
      <c r="N193" s="4"/>
      <c r="O193" s="4"/>
      <c r="P193" s="4"/>
      <c r="Q193" s="4"/>
      <c r="R193" s="4"/>
      <c r="S193" s="4"/>
      <c r="T193" s="4"/>
      <c r="U193" s="4"/>
      <c r="V193" s="4"/>
      <c r="W193" s="4"/>
      <c r="X193" s="4"/>
      <c r="Y193" s="4"/>
      <c r="Z193" s="4"/>
    </row>
    <row r="194" spans="1:26" ht="25.5" customHeight="1" x14ac:dyDescent="0.25">
      <c r="A194" s="109">
        <v>2</v>
      </c>
      <c r="B194" s="571" t="s">
        <v>375</v>
      </c>
      <c r="C194" s="106" t="s">
        <v>341</v>
      </c>
      <c r="D194" s="106" t="str">
        <f t="shared" si="76"/>
        <v>SKS</v>
      </c>
      <c r="E194" s="398" t="str">
        <f t="shared" si="77"/>
        <v>2 x 1
6 x 1</v>
      </c>
      <c r="F194" s="398" t="str">
        <f>IF(K194&lt;&gt;"rumus",(IF(OR(AND(L194="sks&gt;10",L193="sks&lt;=10",IFERROR(SUMPRODUCT($I$192:I193,$J$192:J193)&lt;10,FALSE)),AND(L194="sks&gt;10",L193="")),((IF('LAMPIRAN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Besar"),0.5,"")))),((IF(OR(AND(L194="sks&gt;10",L193="sks&gt;10"),AND(L194="sks&gt;10",L193="sks&lt;=10")),IF('LAMPIRAN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
0.5</v>
      </c>
      <c r="G194" s="398" t="str">
        <f>IF(K194&lt;&gt;"rumus",(IF(OR(AND(L194="sks&gt;10",L193="sks&lt;=10",IFERROR(SUMPRODUCT($I$192:I193,$J$192:J193)&lt;10,FALSE)),AND(L194="sks&gt;10",L193="")),(((10-SUMPRODUCT($I$192:I193,$J$192:J193))&amp;" x "&amp;1&amp;" x "&amp;IF('LAMPIRAN I DONE'!$F$21="Tenaga Pengajar",0.5,IF(OR('LAMPIRAN I DONE'!$F$21="Asisten Ahli",'LAMPIRAN I DONE'!$F$21="Lektor",'LAMPIRAN I DONE'!$F$21="Lektor Kepala",'LAMPIRAN I DONE'!$F$21="Guru Besar"),1,""))&amp;" = "&amp;((10-SUMPRODUCT($I$192:I193,$J$192:J193))*IF('LAMPIRAN I DONE'!$F$21="Tenaga Pengajar",0.5,IF(OR('LAMPIRAN I DONE'!$F$21="Asisten Ahli",'LAMPIRAN I DONE'!$F$21="Lektor",'LAMPIRAN I DONE'!$F$21="Lektor Kepala",'LAMPIRAN I DONE'!$F$21="Guru Besar"),1,""))))&amp;"
"&amp;(((I194*J194)-(10-SUMPRODUCT($I$192:I193,$J$192:J193)))&amp;" x "&amp;1&amp;" x "&amp;IF('LAMPIRAN I DONE'!$F$21="Tenaga Pengajar",0.25,IF(OR('LAMPIRAN I DONE'!$F$21="Asisten Ahli",'LAMPIRAN I DONE'!$F$21="Lektor",'LAMPIRAN I DONE'!$F$21="Lektor Kepala",'LAMPIRAN I DONE'!$F$21="Guru Besar"),0.5,""))&amp;" = "&amp;(((I194*J194)-(10-SUMPRODUCT($I$192:I193,$J$192:J193)))*IF('LAMPIRAN I DONE'!$F$21="Tenaga Pengajar",0.25,IF(OR('LAMPIRAN I DONE'!$F$21="Asisten Ahli",'LAMPIRAN I DONE'!$F$21="Lektor",'LAMPIRAN I DONE'!$F$21="Lektor Kepala",'LAMPIRAN I DONE'!$F$21="Guru Besar"),0.5,""))))),(I194&amp;" x "&amp;J194&amp;" x "&amp;(IF(OR(AND(L194="sks&gt;10",L193="sks&gt;10"),AND(L194="sks&gt;10",L193="sks&lt;=10")),IF('LAMPIRAN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"&amp;K194))),"rumus")</f>
        <v>2 x 1 x 1 = 2
6 x 1 x 0.5 = 3</v>
      </c>
      <c r="H194" s="106" t="s">
        <v>374</v>
      </c>
      <c r="I194" s="409">
        <v>4</v>
      </c>
      <c r="J194" s="409">
        <v>2</v>
      </c>
      <c r="K194" s="401">
        <f>IF(AND(I194&lt;&gt;"",J194&lt;&gt;""),(IF(OR(AND(L194="sks&gt;10",L193="sks&lt;=10",IFERROR(SUMPRODUCT($I$192:I193,$J$192:J193)&lt;10,FALSE)),AND(L194="sks&gt;10",L193="")),(((10-SUMPRODUCT($I$192:I193,$J$192:J193))*IF('LAMPIRAN I DONE'!$F$21="Tenaga Pengajar",0.5,IF(OR('LAMPIRAN I DONE'!$F$21="Asisten Ahli",'LAMPIRAN I DONE'!$F$21="Lektor",'LAMPIRAN I DONE'!$F$21="Lektor Kepala",'LAMPIRAN I DONE'!$F$21="Guru Besar"),1,"")))+(((I194*J194)-(10-SUMPRODUCT($I$192:I193,$J$192:J193)))*IF('LAMPIRAN I DONE'!$F$21="Tenaga Pengajar",0.25,IF(OR('LAMPIRAN I DONE'!$F$21="Asisten Ahli",'LAMPIRAN I DONE'!$F$21="Lektor",'LAMPIRAN I DONE'!$F$21="Lektor Kepala",'LAMPIRAN I DONE'!$F$21="Guru Besar"),0.5,"")))),IF(OR(AND(L194="sks&gt;10",L193="sks&gt;10"),AND(L194="sks&gt;10",L193="sks&lt;=10")),I194*J194*IF('LAMPIRAN I DONE'!$F$21="Tenaga Pengajar",0.25,IF(OR('LAMPIRAN I DONE'!$F$21="Asisten Ahli",'LAMPIRAN I DONE'!$F$21="Lektor",'LAMPIRAN I DONE'!$F$21="Lektor Kepala",'LAMPIRAN I DONE'!$F$21="Guru Besar"),0.5,"")),I194*J194*IF('LAMPIRAN I DONE'!$F$21="Tenaga Pengajar",0.5,IF(OR('LAMPIRAN I DONE'!$F$21="Asisten Ahli",'LAMPIRAN I DONE'!$F$21="Lektor",'LAMPIRAN I DONE'!$F$21="Lektor Kepala",'LAMPIRAN I DONE'!$F$21="Guru Besar"),1,""))))),"rumus")</f>
        <v>5</v>
      </c>
      <c r="L194" s="401" t="str">
        <f t="shared" si="78"/>
        <v>SKS&gt;10</v>
      </c>
      <c r="M194" s="4"/>
      <c r="N194" s="4"/>
      <c r="O194" s="4"/>
      <c r="P194" s="4"/>
      <c r="Q194" s="4"/>
      <c r="R194" s="4"/>
      <c r="S194" s="4"/>
      <c r="T194" s="4"/>
      <c r="U194" s="4"/>
      <c r="V194" s="4"/>
      <c r="W194" s="4"/>
      <c r="X194" s="4"/>
      <c r="Y194" s="4"/>
      <c r="Z194" s="4"/>
    </row>
    <row r="195" spans="1:26" ht="25.5" customHeight="1" x14ac:dyDescent="0.25">
      <c r="A195" s="109">
        <v>3</v>
      </c>
      <c r="B195" s="397" t="s">
        <v>314</v>
      </c>
      <c r="C195" s="106" t="s">
        <v>341</v>
      </c>
      <c r="D195" s="106" t="str">
        <f t="shared" si="76"/>
        <v/>
      </c>
      <c r="E195" s="398" t="str">
        <f t="shared" si="77"/>
        <v/>
      </c>
      <c r="F195" s="398" t="str">
        <f>IF(K195&lt;&gt;"rumus",(IF(OR(AND(L195="sks&gt;10",L194="sks&lt;=10",IFERROR(SUMPRODUCT($I$192:I194,$J$192:J194)&lt;10,FALSE)),AND(L195="sks&gt;10",L194="")),((IF('LAMPIRAN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Besar"),0.5,"")))),((IF(OR(AND(L195="sks&gt;10",L194="sks&gt;10"),AND(L195="sks&gt;10",L194="sks&lt;=10")),IF('LAMPIRAN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95" s="398" t="str">
        <f>IF(K195&lt;&gt;"rumus",(IF(OR(AND(L195="sks&gt;10",L194="sks&lt;=10",IFERROR(SUMPRODUCT($I$192:I194,$J$192:J194)&lt;10,FALSE)),AND(L195="sks&gt;10",L194="")),(((10-SUMPRODUCT($I$192:I194,$J$192:J194))&amp;" x "&amp;1&amp;" x "&amp;IF('LAMPIRAN I DONE'!$F$21="Tenaga Pengajar",0.5,IF(OR('LAMPIRAN I DONE'!$F$21="Asisten Ahli",'LAMPIRAN I DONE'!$F$21="Lektor",'LAMPIRAN I DONE'!$F$21="Lektor Kepala",'LAMPIRAN I DONE'!$F$21="Guru Besar"),1,""))&amp;" = "&amp;((10-SUMPRODUCT($I$192:I194,$J$192:J194))*IF('LAMPIRAN I DONE'!$F$21="Tenaga Pengajar",0.5,IF(OR('LAMPIRAN I DONE'!$F$21="Asisten Ahli",'LAMPIRAN I DONE'!$F$21="Lektor",'LAMPIRAN I DONE'!$F$21="Lektor Kepala",'LAMPIRAN I DONE'!$F$21="Guru Besar"),1,""))))&amp;"
"&amp;(((I195*J195)-(10-SUMPRODUCT($I$192:I194,$J$192:J194)))&amp;" x "&amp;1&amp;" x "&amp;IF('LAMPIRAN I DONE'!$F$21="Tenaga Pengajar",0.25,IF(OR('LAMPIRAN I DONE'!$F$21="Asisten Ahli",'LAMPIRAN I DONE'!$F$21="Lektor",'LAMPIRAN I DONE'!$F$21="Lektor Kepala",'LAMPIRAN I DONE'!$F$21="Guru Besar"),0.5,""))&amp;" = "&amp;(((I195*J195)-(10-SUMPRODUCT($I$192:I194,$J$192:J194)))*IF('LAMPIRAN I DONE'!$F$21="Tenaga Pengajar",0.25,IF(OR('LAMPIRAN I DONE'!$F$21="Asisten Ahli",'LAMPIRAN I DONE'!$F$21="Lektor",'LAMPIRAN I DONE'!$F$21="Lektor Kepala",'LAMPIRAN I DONE'!$F$21="Guru Besar"),0.5,""))))),(I195&amp;" x "&amp;J195&amp;" x "&amp;(IF(OR(AND(L195="sks&gt;10",L194="sks&gt;10"),AND(L195="sks&gt;10",L194="sks&lt;=10")),IF('LAMPIRAN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"&amp;K195))),"rumus")</f>
        <v>rumus</v>
      </c>
      <c r="H195" s="106" t="s">
        <v>315</v>
      </c>
      <c r="I195" s="409"/>
      <c r="J195" s="409"/>
      <c r="K195" s="401" t="str">
        <f>IF(AND(I195&lt;&gt;"",J195&lt;&gt;""),(IF(OR(AND(L195="sks&gt;10",L194="sks&lt;=10",IFERROR(SUMPRODUCT($I$192:I194,$J$192:J194)&lt;10,FALSE)),AND(L195="sks&gt;10",L194="")),(((10-SUMPRODUCT($I$192:I194,$J$192:J194))*IF('LAMPIRAN I DONE'!$F$21="Tenaga Pengajar",0.5,IF(OR('LAMPIRAN I DONE'!$F$21="Asisten Ahli",'LAMPIRAN I DONE'!$F$21="Lektor",'LAMPIRAN I DONE'!$F$21="Lektor Kepala",'LAMPIRAN I DONE'!$F$21="Guru Besar"),1,"")))+(((I195*J195)-(10-SUMPRODUCT($I$192:I194,$J$192:J194)))*IF('LAMPIRAN I DONE'!$F$21="Tenaga Pengajar",0.25,IF(OR('LAMPIRAN I DONE'!$F$21="Asisten Ahli",'LAMPIRAN I DONE'!$F$21="Lektor",'LAMPIRAN I DONE'!$F$21="Lektor Kepala",'LAMPIRAN I DONE'!$F$21="Guru Besar"),0.5,"")))),IF(OR(AND(L195="sks&gt;10",L194="sks&gt;10"),AND(L195="sks&gt;10",L194="sks&lt;=10")),I195*J195*IF('LAMPIRAN I DONE'!$F$21="Tenaga Pengajar",0.25,IF(OR('LAMPIRAN I DONE'!$F$21="Asisten Ahli",'LAMPIRAN I DONE'!$F$21="Lektor",'LAMPIRAN I DONE'!$F$21="Lektor Kepala",'LAMPIRAN I DONE'!$F$21="Guru Besar"),0.5,"")),I195*J195*IF('LAMPIRAN I DONE'!$F$21="Tenaga Pengajar",0.5,IF(OR('LAMPIRAN I DONE'!$F$21="Asisten Ahli",'LAMPIRAN I DONE'!$F$21="Lektor",'LAMPIRAN I DONE'!$F$21="Lektor Kepala",'LAMPIRAN I DONE'!$F$21="Guru Besar"),1,""))))),"rumus")</f>
        <v>rumus</v>
      </c>
      <c r="L195" s="401" t="str">
        <f t="shared" si="78"/>
        <v>rumus</v>
      </c>
      <c r="M195" s="4"/>
      <c r="N195" s="4"/>
      <c r="O195" s="4"/>
      <c r="P195" s="4"/>
      <c r="Q195" s="4"/>
      <c r="R195" s="4"/>
      <c r="S195" s="4"/>
      <c r="T195" s="4"/>
      <c r="U195" s="4"/>
      <c r="V195" s="4"/>
      <c r="W195" s="4"/>
      <c r="X195" s="4"/>
      <c r="Y195" s="4"/>
      <c r="Z195" s="4"/>
    </row>
    <row r="196" spans="1:26" ht="25.5" customHeight="1" x14ac:dyDescent="0.25">
      <c r="A196" s="109">
        <v>4</v>
      </c>
      <c r="B196" s="397" t="s">
        <v>314</v>
      </c>
      <c r="C196" s="106" t="s">
        <v>341</v>
      </c>
      <c r="D196" s="106" t="str">
        <f t="shared" si="76"/>
        <v/>
      </c>
      <c r="E196" s="398" t="str">
        <f t="shared" si="77"/>
        <v/>
      </c>
      <c r="F196" s="398" t="str">
        <f>IF(K196&lt;&gt;"rumus",(IF(OR(AND(L196="sks&gt;10",L195="sks&lt;=10",IFERROR(SUMPRODUCT($I$192:I195,$J$192:J195)&lt;10,FALSE)),AND(L196="sks&gt;10",L195="")),((IF('LAMPIRAN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Besar"),0.5,"")))),((IF(OR(AND(L196="sks&gt;10",L195="sks&gt;10"),AND(L196="sks&gt;10",L195="sks&lt;=10")),IF('LAMPIRAN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96" s="398" t="str">
        <f>IF(K196&lt;&gt;"rumus",(IF(OR(AND(L196="sks&gt;10",L195="sks&lt;=10",IFERROR(SUMPRODUCT($I$192:I195,$J$192:J195)&lt;10,FALSE)),AND(L196="sks&gt;10",L195="")),(((10-SUMPRODUCT($I$192:I195,$J$192:J195))&amp;" x "&amp;1&amp;" x "&amp;IF('LAMPIRAN I DONE'!$F$21="Tenaga Pengajar",0.5,IF(OR('LAMPIRAN I DONE'!$F$21="Asisten Ahli",'LAMPIRAN I DONE'!$F$21="Lektor",'LAMPIRAN I DONE'!$F$21="Lektor Kepala",'LAMPIRAN I DONE'!$F$21="Guru Besar"),1,""))&amp;" = "&amp;((10-SUMPRODUCT($I$192:I195,$J$192:J195))*IF('LAMPIRAN I DONE'!$F$21="Tenaga Pengajar",0.5,IF(OR('LAMPIRAN I DONE'!$F$21="Asisten Ahli",'LAMPIRAN I DONE'!$F$21="Lektor",'LAMPIRAN I DONE'!$F$21="Lektor Kepala",'LAMPIRAN I DONE'!$F$21="Guru Besar"),1,""))))&amp;"
"&amp;(((I196*J196)-(10-SUMPRODUCT($I$192:I195,$J$192:J195)))&amp;" x "&amp;1&amp;" x "&amp;IF('LAMPIRAN I DONE'!$F$21="Tenaga Pengajar",0.25,IF(OR('LAMPIRAN I DONE'!$F$21="Asisten Ahli",'LAMPIRAN I DONE'!$F$21="Lektor",'LAMPIRAN I DONE'!$F$21="Lektor Kepala",'LAMPIRAN I DONE'!$F$21="Guru Besar"),0.5,""))&amp;" = "&amp;(((I196*J196)-(10-SUMPRODUCT($I$192:I195,$J$192:J195)))*IF('LAMPIRAN I DONE'!$F$21="Tenaga Pengajar",0.25,IF(OR('LAMPIRAN I DONE'!$F$21="Asisten Ahli",'LAMPIRAN I DONE'!$F$21="Lektor",'LAMPIRAN I DONE'!$F$21="Lektor Kepala",'LAMPIRAN I DONE'!$F$21="Guru Besar"),0.5,""))))),(I196&amp;" x "&amp;J196&amp;" x "&amp;(IF(OR(AND(L196="sks&gt;10",L195="sks&gt;10"),AND(L196="sks&gt;10",L195="sks&lt;=10")),IF('LAMPIRAN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"&amp;K196))),"rumus")</f>
        <v>rumus</v>
      </c>
      <c r="H196" s="106" t="s">
        <v>315</v>
      </c>
      <c r="I196" s="409"/>
      <c r="J196" s="409"/>
      <c r="K196" s="401" t="str">
        <f>IF(AND(I196&lt;&gt;"",J196&lt;&gt;""),(IF(OR(AND(L196="sks&gt;10",L195="sks&lt;=10",IFERROR(SUMPRODUCT($I$192:I195,$J$192:J195)&lt;10,FALSE)),AND(L196="sks&gt;10",L195="")),(((10-SUMPRODUCT($I$192:I195,$J$192:J195))*IF('LAMPIRAN I DONE'!$F$21="Tenaga Pengajar",0.5,IF(OR('LAMPIRAN I DONE'!$F$21="Asisten Ahli",'LAMPIRAN I DONE'!$F$21="Lektor",'LAMPIRAN I DONE'!$F$21="Lektor Kepala",'LAMPIRAN I DONE'!$F$21="Guru Besar"),1,"")))+(((I196*J196)-(10-SUMPRODUCT($I$192:I195,$J$192:J195)))*IF('LAMPIRAN I DONE'!$F$21="Tenaga Pengajar",0.25,IF(OR('LAMPIRAN I DONE'!$F$21="Asisten Ahli",'LAMPIRAN I DONE'!$F$21="Lektor",'LAMPIRAN I DONE'!$F$21="Lektor Kepala",'LAMPIRAN I DONE'!$F$21="Guru Besar"),0.5,"")))),IF(OR(AND(L196="sks&gt;10",L195="sks&gt;10"),AND(L196="sks&gt;10",L195="sks&lt;=10")),I196*J196*IF('LAMPIRAN I DONE'!$F$21="Tenaga Pengajar",0.25,IF(OR('LAMPIRAN I DONE'!$F$21="Asisten Ahli",'LAMPIRAN I DONE'!$F$21="Lektor",'LAMPIRAN I DONE'!$F$21="Lektor Kepala",'LAMPIRAN I DONE'!$F$21="Guru Besar"),0.5,"")),I196*J196*IF('LAMPIRAN I DONE'!$F$21="Tenaga Pengajar",0.5,IF(OR('LAMPIRAN I DONE'!$F$21="Asisten Ahli",'LAMPIRAN I DONE'!$F$21="Lektor",'LAMPIRAN I DONE'!$F$21="Lektor Kepala",'LAMPIRAN I DONE'!$F$21="Guru Besar"),1,""))))),"rumus")</f>
        <v>rumus</v>
      </c>
      <c r="L196" s="401" t="str">
        <f t="shared" si="78"/>
        <v>rumus</v>
      </c>
      <c r="M196" s="4"/>
      <c r="N196" s="4"/>
      <c r="O196" s="4"/>
      <c r="P196" s="4"/>
      <c r="Q196" s="4"/>
      <c r="R196" s="4"/>
      <c r="S196" s="4"/>
      <c r="T196" s="4"/>
      <c r="U196" s="4"/>
      <c r="V196" s="4"/>
      <c r="W196" s="4"/>
      <c r="X196" s="4"/>
      <c r="Y196" s="4"/>
      <c r="Z196" s="4"/>
    </row>
    <row r="197" spans="1:26" ht="25.5" customHeight="1" x14ac:dyDescent="0.25">
      <c r="A197" s="109">
        <v>5</v>
      </c>
      <c r="B197" s="397" t="s">
        <v>314</v>
      </c>
      <c r="C197" s="106" t="s">
        <v>341</v>
      </c>
      <c r="D197" s="106" t="str">
        <f t="shared" si="76"/>
        <v/>
      </c>
      <c r="E197" s="398" t="str">
        <f t="shared" si="77"/>
        <v/>
      </c>
      <c r="F197" s="398" t="str">
        <f>IF(K197&lt;&gt;"rumus",(IF(OR(AND(L197="sks&gt;10",L196="sks&lt;=10",IFERROR(SUMPRODUCT($I$192:I196,$J$192:J196)&lt;10,FALSE)),AND(L197="sks&gt;10",L196="")),((IF('LAMPIRAN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Besar"),0.5,"")))),((IF(OR(AND(L197="sks&gt;10",L196="sks&gt;10"),AND(L197="sks&gt;10",L196="sks&lt;=10")),IF('LAMPIRAN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97" s="398" t="str">
        <f>IF(K197&lt;&gt;"rumus",(IF(OR(AND(L197="sks&gt;10",L196="sks&lt;=10",IFERROR(SUMPRODUCT($I$192:I196,$J$192:J196)&lt;10,FALSE)),AND(L197="sks&gt;10",L196="")),(((10-SUMPRODUCT($I$192:I196,$J$192:J196))&amp;" x "&amp;1&amp;" x "&amp;IF('LAMPIRAN I DONE'!$F$21="Tenaga Pengajar",0.5,IF(OR('LAMPIRAN I DONE'!$F$21="Asisten Ahli",'LAMPIRAN I DONE'!$F$21="Lektor",'LAMPIRAN I DONE'!$F$21="Lektor Kepala",'LAMPIRAN I DONE'!$F$21="Guru Besar"),1,""))&amp;" = "&amp;((10-SUMPRODUCT($I$192:I196,$J$192:J196))*IF('LAMPIRAN I DONE'!$F$21="Tenaga Pengajar",0.5,IF(OR('LAMPIRAN I DONE'!$F$21="Asisten Ahli",'LAMPIRAN I DONE'!$F$21="Lektor",'LAMPIRAN I DONE'!$F$21="Lektor Kepala",'LAMPIRAN I DONE'!$F$21="Guru Besar"),1,""))))&amp;"
"&amp;(((I197*J197)-(10-SUMPRODUCT($I$192:I196,$J$192:J196)))&amp;" x "&amp;1&amp;" x "&amp;IF('LAMPIRAN I DONE'!$F$21="Tenaga Pengajar",0.25,IF(OR('LAMPIRAN I DONE'!$F$21="Asisten Ahli",'LAMPIRAN I DONE'!$F$21="Lektor",'LAMPIRAN I DONE'!$F$21="Lektor Kepala",'LAMPIRAN I DONE'!$F$21="Guru Besar"),0.5,""))&amp;" = "&amp;(((I197*J197)-(10-SUMPRODUCT($I$192:I196,$J$192:J196)))*IF('LAMPIRAN I DONE'!$F$21="Tenaga Pengajar",0.25,IF(OR('LAMPIRAN I DONE'!$F$21="Asisten Ahli",'LAMPIRAN I DONE'!$F$21="Lektor",'LAMPIRAN I DONE'!$F$21="Lektor Kepala",'LAMPIRAN I DONE'!$F$21="Guru Besar"),0.5,""))))),(I197&amp;" x "&amp;J197&amp;" x "&amp;(IF(OR(AND(L197="sks&gt;10",L196="sks&gt;10"),AND(L197="sks&gt;10",L196="sks&lt;=10")),IF('LAMPIRAN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"&amp;K197))),"rumus")</f>
        <v>rumus</v>
      </c>
      <c r="H197" s="106" t="s">
        <v>315</v>
      </c>
      <c r="I197" s="409"/>
      <c r="J197" s="409"/>
      <c r="K197" s="401" t="str">
        <f>IF(AND(I197&lt;&gt;"",J197&lt;&gt;""),(IF(OR(AND(L197="sks&gt;10",L196="sks&lt;=10",IFERROR(SUMPRODUCT($I$192:I196,$J$192:J196)&lt;10,FALSE)),AND(L197="sks&gt;10",L196="")),(((10-SUMPRODUCT($I$192:I196,$J$192:J196))*IF('LAMPIRAN I DONE'!$F$21="Tenaga Pengajar",0.5,IF(OR('LAMPIRAN I DONE'!$F$21="Asisten Ahli",'LAMPIRAN I DONE'!$F$21="Lektor",'LAMPIRAN I DONE'!$F$21="Lektor Kepala",'LAMPIRAN I DONE'!$F$21="Guru Besar"),1,"")))+(((I197*J197)-(10-SUMPRODUCT($I$192:I196,$J$192:J196)))*IF('LAMPIRAN I DONE'!$F$21="Tenaga Pengajar",0.25,IF(OR('LAMPIRAN I DONE'!$F$21="Asisten Ahli",'LAMPIRAN I DONE'!$F$21="Lektor",'LAMPIRAN I DONE'!$F$21="Lektor Kepala",'LAMPIRAN I DONE'!$F$21="Guru Besar"),0.5,"")))),IF(OR(AND(L197="sks&gt;10",L196="sks&gt;10"),AND(L197="sks&gt;10",L196="sks&lt;=10")),I197*J197*IF('LAMPIRAN I DONE'!$F$21="Tenaga Pengajar",0.25,IF(OR('LAMPIRAN I DONE'!$F$21="Asisten Ahli",'LAMPIRAN I DONE'!$F$21="Lektor",'LAMPIRAN I DONE'!$F$21="Lektor Kepala",'LAMPIRAN I DONE'!$F$21="Guru Besar"),0.5,"")),I197*J197*IF('LAMPIRAN I DONE'!$F$21="Tenaga Pengajar",0.5,IF(OR('LAMPIRAN I DONE'!$F$21="Asisten Ahli",'LAMPIRAN I DONE'!$F$21="Lektor",'LAMPIRAN I DONE'!$F$21="Lektor Kepala",'LAMPIRAN I DONE'!$F$21="Guru Besar"),1,""))))),"rumus")</f>
        <v>rumus</v>
      </c>
      <c r="L197" s="401" t="str">
        <f t="shared" si="78"/>
        <v>rumus</v>
      </c>
      <c r="M197" s="4"/>
      <c r="N197" s="4"/>
      <c r="O197" s="4"/>
      <c r="P197" s="4"/>
      <c r="Q197" s="4"/>
      <c r="R197" s="4"/>
      <c r="S197" s="4"/>
      <c r="T197" s="4"/>
      <c r="U197" s="4"/>
      <c r="V197" s="4"/>
      <c r="W197" s="4"/>
      <c r="X197" s="4"/>
      <c r="Y197" s="4"/>
      <c r="Z197" s="4"/>
    </row>
    <row r="198" spans="1:26" ht="25.5" customHeight="1" x14ac:dyDescent="0.25">
      <c r="A198" s="109">
        <v>6</v>
      </c>
      <c r="B198" s="397" t="s">
        <v>314</v>
      </c>
      <c r="C198" s="106" t="s">
        <v>341</v>
      </c>
      <c r="D198" s="106" t="str">
        <f t="shared" si="76"/>
        <v/>
      </c>
      <c r="E198" s="398" t="str">
        <f t="shared" si="77"/>
        <v/>
      </c>
      <c r="F198" s="398" t="str">
        <f>IF(K198&lt;&gt;"rumus",(IF(OR(AND(L198="sks&gt;10",L197="sks&lt;=10",IFERROR(SUMPRODUCT($I$192:I197,$J$192:J197)&lt;10,FALSE)),AND(L198="sks&gt;10",L197="")),((IF('LAMPIRAN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Besar"),0.5,"")))),((IF(OR(AND(L198="sks&gt;10",L197="sks&gt;10"),AND(L198="sks&gt;10",L197="sks&lt;=10")),IF('LAMPIRAN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198" s="398" t="str">
        <f>IF(K198&lt;&gt;"rumus",(IF(OR(AND(L198="sks&gt;10",L197="sks&lt;=10",IFERROR(SUMPRODUCT($I$192:I197,$J$192:J197)&lt;10,FALSE)),AND(L198="sks&gt;10",L197="")),(((10-SUMPRODUCT($I$192:I197,$J$192:J197))&amp;" x "&amp;1&amp;" x "&amp;IF('LAMPIRAN I DONE'!$F$21="Tenaga Pengajar",0.5,IF(OR('LAMPIRAN I DONE'!$F$21="Asisten Ahli",'LAMPIRAN I DONE'!$F$21="Lektor",'LAMPIRAN I DONE'!$F$21="Lektor Kepala",'LAMPIRAN I DONE'!$F$21="Guru Besar"),1,""))&amp;" = "&amp;((10-SUMPRODUCT($I$192:I197,$J$192:J197))*IF('LAMPIRAN I DONE'!$F$21="Tenaga Pengajar",0.5,IF(OR('LAMPIRAN I DONE'!$F$21="Asisten Ahli",'LAMPIRAN I DONE'!$F$21="Lektor",'LAMPIRAN I DONE'!$F$21="Lektor Kepala",'LAMPIRAN I DONE'!$F$21="Guru Besar"),1,""))))&amp;"
"&amp;(((I198*J198)-(10-SUMPRODUCT($I$192:I197,$J$192:J197)))&amp;" x "&amp;1&amp;" x "&amp;IF('LAMPIRAN I DONE'!$F$21="Tenaga Pengajar",0.25,IF(OR('LAMPIRAN I DONE'!$F$21="Asisten Ahli",'LAMPIRAN I DONE'!$F$21="Lektor",'LAMPIRAN I DONE'!$F$21="Lektor Kepala",'LAMPIRAN I DONE'!$F$21="Guru Besar"),0.5,""))&amp;" = "&amp;(((I198*J198)-(10-SUMPRODUCT($I$192:I197,$J$192:J197)))*IF('LAMPIRAN I DONE'!$F$21="Tenaga Pengajar",0.25,IF(OR('LAMPIRAN I DONE'!$F$21="Asisten Ahli",'LAMPIRAN I DONE'!$F$21="Lektor",'LAMPIRAN I DONE'!$F$21="Lektor Kepala",'LAMPIRAN I DONE'!$F$21="Guru Besar"),0.5,""))))),(I198&amp;" x "&amp;J198&amp;" x "&amp;(IF(OR(AND(L198="sks&gt;10",L197="sks&gt;10"),AND(L198="sks&gt;10",L197="sks&lt;=10")),IF('LAMPIRAN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"&amp;K198))),"rumus")</f>
        <v>rumus</v>
      </c>
      <c r="H198" s="106" t="s">
        <v>315</v>
      </c>
      <c r="I198" s="409"/>
      <c r="J198" s="409"/>
      <c r="K198" s="401" t="str">
        <f>IF(AND(I198&lt;&gt;"",J198&lt;&gt;""),(IF(OR(AND(L198="sks&gt;10",L197="sks&lt;=10",IFERROR(SUMPRODUCT($I$192:I197,$J$192:J197)&lt;10,FALSE)),AND(L198="sks&gt;10",L197="")),(((10-SUMPRODUCT($I$192:I197,$J$192:J197))*IF('LAMPIRAN I DONE'!$F$21="Tenaga Pengajar",0.5,IF(OR('LAMPIRAN I DONE'!$F$21="Asisten Ahli",'LAMPIRAN I DONE'!$F$21="Lektor",'LAMPIRAN I DONE'!$F$21="Lektor Kepala",'LAMPIRAN I DONE'!$F$21="Guru Besar"),1,"")))+(((I198*J198)-(10-SUMPRODUCT($I$192:I197,$J$192:J197)))*IF('LAMPIRAN I DONE'!$F$21="Tenaga Pengajar",0.25,IF(OR('LAMPIRAN I DONE'!$F$21="Asisten Ahli",'LAMPIRAN I DONE'!$F$21="Lektor",'LAMPIRAN I DONE'!$F$21="Lektor Kepala",'LAMPIRAN I DONE'!$F$21="Guru Besar"),0.5,"")))),IF(OR(AND(L198="sks&gt;10",L197="sks&gt;10"),AND(L198="sks&gt;10",L197="sks&lt;=10")),I198*J198*IF('LAMPIRAN I DONE'!$F$21="Tenaga Pengajar",0.25,IF(OR('LAMPIRAN I DONE'!$F$21="Asisten Ahli",'LAMPIRAN I DONE'!$F$21="Lektor",'LAMPIRAN I DONE'!$F$21="Lektor Kepala",'LAMPIRAN I DONE'!$F$21="Guru Besar"),0.5,"")),I198*J198*IF('LAMPIRAN I DONE'!$F$21="Tenaga Pengajar",0.5,IF(OR('LAMPIRAN I DONE'!$F$21="Asisten Ahli",'LAMPIRAN I DONE'!$F$21="Lektor",'LAMPIRAN I DONE'!$F$21="Lektor Kepala",'LAMPIRAN I DONE'!$F$21="Guru Besar"),1,""))))),"rumus")</f>
        <v>rumus</v>
      </c>
      <c r="L198" s="401" t="str">
        <f t="shared" si="78"/>
        <v>rumus</v>
      </c>
      <c r="M198" s="4"/>
      <c r="N198" s="4"/>
      <c r="O198" s="4"/>
      <c r="P198" s="4"/>
      <c r="Q198" s="4"/>
      <c r="R198" s="4"/>
      <c r="S198" s="4"/>
      <c r="T198" s="4"/>
      <c r="U198" s="4"/>
      <c r="V198" s="4"/>
      <c r="W198" s="4"/>
      <c r="X198" s="4"/>
      <c r="Y198" s="4"/>
      <c r="Z198" s="4"/>
    </row>
    <row r="199" spans="1:26" ht="15" customHeight="1" x14ac:dyDescent="0.25">
      <c r="A199" s="109"/>
      <c r="B199" s="406" t="str">
        <f>"b. Semester Genap "&amp;IF(C200&lt;&gt;"",C200,"")&amp;" :"</f>
        <v>b. Semester Genap 2022/2023 :</v>
      </c>
      <c r="C199" s="407"/>
      <c r="D199" s="407"/>
      <c r="E199" s="407"/>
      <c r="F199" s="407"/>
      <c r="G199" s="407"/>
      <c r="H199" s="408"/>
      <c r="I199" s="110"/>
      <c r="J199" s="110"/>
      <c r="K199" s="4"/>
      <c r="L199" s="4"/>
      <c r="M199" s="111">
        <f>IF((AND(N199="Max 5,5",SUM(K193:K198)&lt;=5.5)),SUM(K193:K198),IF((AND(N199="Max 5,5",SUM(K193:K198)&gt;5.5)),5.5,IF((AND(N199="Max 11",SUM(K193:K198)&lt;=11)),SUM(K193:K198),IF((AND(N199="Max 11",SUM(K193:K198)&gt;11)),11,""))))</f>
        <v>11</v>
      </c>
      <c r="N199" s="103" t="str">
        <f>IF('LAMPIRAN I DONE'!$F$21="Tenaga Pengajar","Max 5,5",IF(OR('LAMPIRAN I DONE'!$F$21="Asisten Ahli",'LAMPIRAN I DONE'!$F$21="Lektor",'LAMPIRAN I DONE'!$F$21="Lektor Kepala",'LAMPIRAN I DONE'!$F$21="Guru Besar"),"Max 11",""))</f>
        <v>Max 11</v>
      </c>
      <c r="O199" s="4"/>
      <c r="P199" s="4"/>
      <c r="Q199" s="4"/>
      <c r="R199" s="4"/>
      <c r="S199" s="4"/>
      <c r="T199" s="4"/>
      <c r="U199" s="4"/>
      <c r="V199" s="4"/>
      <c r="W199" s="4"/>
      <c r="X199" s="4"/>
      <c r="Y199" s="4"/>
      <c r="Z199" s="4"/>
    </row>
    <row r="200" spans="1:26" ht="25.5" customHeight="1" x14ac:dyDescent="0.25">
      <c r="A200" s="109">
        <v>1</v>
      </c>
      <c r="B200" s="570" t="s">
        <v>376</v>
      </c>
      <c r="C200" s="106" t="s">
        <v>345</v>
      </c>
      <c r="D200" s="106" t="str">
        <f t="shared" ref="D200:D205" si="79">IF(G200&lt;&gt;"rumus","SKS","")</f>
        <v>SKS</v>
      </c>
      <c r="E200" s="398" t="str">
        <f t="shared" ref="E200:E205" si="80">IF(K200&lt;&gt;"rumus",(IF(OR(AND(L200="sks&gt;10",L199="sks&lt;=10",IFERROR(SUMPRODUCT($I$199:I199,$J$199:J199)&lt;10,FALSE)),AND(L200="sks&gt;10",L199="")),(((10-SUMPRODUCT($I$199:I199,$J$199:J199))&amp;" x "&amp;1)&amp;"
"&amp;(((I200*J200)-(10-SUMPRODUCT($I$199:I199,$J$199:J199)))&amp;" x "&amp;1)),(I200&amp;" x "&amp;J200))),"")</f>
        <v>3 x 2</v>
      </c>
      <c r="F200" s="398">
        <f>IF(K200&lt;&gt;"rumus",(IF(OR(AND(L200="sks&gt;10",L199="sks&lt;=10",IFERROR(SUMPRODUCT($I$199:I199,$J$199:J199)&lt;10,FALSE)),AND(L200="sks&gt;10",L199="")),((IF('LAMPIRAN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Besar"),0.5,"")))),((IF(OR(AND(L200="sks&gt;10",L199="sks&gt;10"),AND(L200="sks&gt;10",L199="sks&lt;=10")),IF('LAMPIRAN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v>
      </c>
      <c r="G200" s="398" t="str">
        <f>IF(K200&lt;&gt;"rumus",(IF(OR(AND(L200="sks&gt;10",L199="sks&lt;=10",IFERROR(SUMPRODUCT($I$199:I199,$J$199:J199)&lt;10,FALSE)),AND(L200="sks&gt;10",L199="")),(((10-SUMPRODUCT($I$199:I199,$J$199:J199))&amp;" x "&amp;1&amp;" x "&amp;IF('LAMPIRAN I DONE'!$F$21="Tenaga Pengajar",0.5,IF(OR('LAMPIRAN I DONE'!$F$21="Asisten Ahli",'LAMPIRAN I DONE'!$F$21="Lektor",'LAMPIRAN I DONE'!$F$21="Lektor Kepala",'LAMPIRAN I DONE'!$F$21="Guru Besar"),1,""))&amp;" = "&amp;((10-SUMPRODUCT($I$199:I199,$J$199:J199))*IF('LAMPIRAN I DONE'!$F$21="Tenaga Pengajar",0.5,IF(OR('LAMPIRAN I DONE'!$F$21="Asisten Ahli",'LAMPIRAN I DONE'!$F$21="Lektor",'LAMPIRAN I DONE'!$F$21="Lektor Kepala",'LAMPIRAN I DONE'!$F$21="Guru Besar"),1,""))))&amp;"
"&amp;(((I200*J200)-(10-SUMPRODUCT($I$199:I199,$J$199:J199)))&amp;" x "&amp;1&amp;" x "&amp;IF('LAMPIRAN I DONE'!$F$21="Tenaga Pengajar",0.25,IF(OR('LAMPIRAN I DONE'!$F$21="Asisten Ahli",'LAMPIRAN I DONE'!$F$21="Lektor",'LAMPIRAN I DONE'!$F$21="Lektor Kepala",'LAMPIRAN I DONE'!$F$21="Guru Besar"),0.5,""))&amp;" = "&amp;(((I200*J200)-(10-SUMPRODUCT($I$199:I199,$J$199:J199)))*IF('LAMPIRAN I DONE'!$F$21="Tenaga Pengajar",0.25,IF(OR('LAMPIRAN I DONE'!$F$21="Asisten Ahli",'LAMPIRAN I DONE'!$F$21="Lektor",'LAMPIRAN I DONE'!$F$21="Lektor Kepala",'LAMPIRAN I DONE'!$F$21="Guru Besar"),0.5,""))))),(I200&amp;" x "&amp;J200&amp;" x "&amp;(IF(OR(AND(L200="sks&gt;10",L199="sks&gt;10"),AND(L200="sks&gt;10",L199="sks&lt;=10")),IF('LAMPIRAN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"&amp;K200))),"rumus")</f>
        <v>3 x 2 x 1 = 6</v>
      </c>
      <c r="H200" s="106" t="s">
        <v>377</v>
      </c>
      <c r="I200" s="409">
        <v>3</v>
      </c>
      <c r="J200" s="409">
        <v>2</v>
      </c>
      <c r="K200" s="401">
        <f>IF(AND(I200&lt;&gt;"",J200&lt;&gt;""),(IF(OR(AND(L200="sks&gt;10",L199="sks&lt;=10",IFERROR(SUMPRODUCT($I$199:I199,$J$199:J199)&lt;10,FALSE)),AND(L200="sks&gt;10",L199="")),(((10-SUMPRODUCT($I$199:I199,$J$199:J199))*IF('LAMPIRAN I DONE'!$F$21="Tenaga Pengajar",0.5,IF(OR('LAMPIRAN I DONE'!$F$21="Asisten Ahli",'LAMPIRAN I DONE'!$F$21="Lektor",'LAMPIRAN I DONE'!$F$21="Lektor Kepala",'LAMPIRAN I DONE'!$F$21="Guru Besar"),1,"")))+(((I200*J200)-(10-SUMPRODUCT($I$199:I199,$J$199:J199)))*IF('LAMPIRAN I DONE'!$F$21="Tenaga Pengajar",0.25,IF(OR('LAMPIRAN I DONE'!$F$21="Asisten Ahli",'LAMPIRAN I DONE'!$F$21="Lektor",'LAMPIRAN I DONE'!$F$21="Lektor Kepala",'LAMPIRAN I DONE'!$F$21="Guru Besar"),0.5,"")))),IF(OR(AND(L200="sks&gt;10",L199="sks&gt;10"),AND(L200="sks&gt;10",L199="sks&lt;=10")),I200*J200*IF('LAMPIRAN I DONE'!$F$21="Tenaga Pengajar",0.25,IF(OR('LAMPIRAN I DONE'!$F$21="Asisten Ahli",'LAMPIRAN I DONE'!$F$21="Lektor",'LAMPIRAN I DONE'!$F$21="Lektor Kepala",'LAMPIRAN I DONE'!$F$21="Guru Besar"),0.5,"")),I200*J200*IF('LAMPIRAN I DONE'!$F$21="Tenaga Pengajar",0.5,IF(OR('LAMPIRAN I DONE'!$F$21="Asisten Ahli",'LAMPIRAN I DONE'!$F$21="Lektor",'LAMPIRAN I DONE'!$F$21="Lektor Kepala",'LAMPIRAN I DONE'!$F$21="Guru Besar"),1,""))))),"rumus")</f>
        <v>6</v>
      </c>
      <c r="L200" s="401" t="str">
        <f t="shared" ref="L200:L205" si="81">IF(AND(I200&lt;&gt;"",J200&lt;&gt;""),(IF(SUMPRODUCT($I$200:I200,$J$200:J200)&lt;=10,"SKS&lt;=10",IF(SUMPRODUCT($I$200:I200,$J$200:J200)&gt;10,"SKS&gt;10",""))),"rumus")</f>
        <v>SKS&lt;=10</v>
      </c>
      <c r="M200" s="4"/>
      <c r="N200" s="4"/>
      <c r="O200" s="4"/>
      <c r="P200" s="4"/>
      <c r="Q200" s="4"/>
      <c r="R200" s="4"/>
      <c r="S200" s="4"/>
      <c r="T200" s="4"/>
      <c r="U200" s="4"/>
      <c r="V200" s="4"/>
      <c r="W200" s="4"/>
      <c r="X200" s="4"/>
      <c r="Y200" s="4"/>
      <c r="Z200" s="4"/>
    </row>
    <row r="201" spans="1:26" ht="25.5" customHeight="1" x14ac:dyDescent="0.25">
      <c r="A201" s="109">
        <v>2</v>
      </c>
      <c r="B201" s="571" t="s">
        <v>378</v>
      </c>
      <c r="C201" s="106" t="s">
        <v>345</v>
      </c>
      <c r="D201" s="106" t="str">
        <f t="shared" si="79"/>
        <v>SKS</v>
      </c>
      <c r="E201" s="398" t="str">
        <f t="shared" si="80"/>
        <v>4 x 1
2 x 1</v>
      </c>
      <c r="F201" s="398" t="str">
        <f>IF(K201&lt;&gt;"rumus",(IF(OR(AND(L201="sks&gt;10",L200="sks&lt;=10",IFERROR(SUMPRODUCT($I$199:I200,$J$199:J200)&lt;10,FALSE)),AND(L201="sks&gt;10",L200="")),((IF('LAMPIRAN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Besar"),0.5,"")))),((IF(OR(AND(L201="sks&gt;10",L200="sks&gt;10"),AND(L201="sks&gt;10",L200="sks&lt;=10")),IF('LAMPIRAN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1
0.5</v>
      </c>
      <c r="G201" s="398" t="str">
        <f>IF(K201&lt;&gt;"rumus",(IF(OR(AND(L201="sks&gt;10",L200="sks&lt;=10",IFERROR(SUMPRODUCT($I$199:I200,$J$199:J200)&lt;10,FALSE)),AND(L201="sks&gt;10",L200="")),(((10-SUMPRODUCT($I$199:I200,$J$199:J200))&amp;" x "&amp;1&amp;" x "&amp;IF('LAMPIRAN I DONE'!$F$21="Tenaga Pengajar",0.5,IF(OR('LAMPIRAN I DONE'!$F$21="Asisten Ahli",'LAMPIRAN I DONE'!$F$21="Lektor",'LAMPIRAN I DONE'!$F$21="Lektor Kepala",'LAMPIRAN I DONE'!$F$21="Guru Besar"),1,""))&amp;" = "&amp;((10-SUMPRODUCT($I$199:I200,$J$199:J200))*IF('LAMPIRAN I DONE'!$F$21="Tenaga Pengajar",0.5,IF(OR('LAMPIRAN I DONE'!$F$21="Asisten Ahli",'LAMPIRAN I DONE'!$F$21="Lektor",'LAMPIRAN I DONE'!$F$21="Lektor Kepala",'LAMPIRAN I DONE'!$F$21="Guru Besar"),1,""))))&amp;"
"&amp;(((I201*J201)-(10-SUMPRODUCT($I$199:I200,$J$199:J200)))&amp;" x "&amp;1&amp;" x "&amp;IF('LAMPIRAN I DONE'!$F$21="Tenaga Pengajar",0.25,IF(OR('LAMPIRAN I DONE'!$F$21="Asisten Ahli",'LAMPIRAN I DONE'!$F$21="Lektor",'LAMPIRAN I DONE'!$F$21="Lektor Kepala",'LAMPIRAN I DONE'!$F$21="Guru Besar"),0.5,""))&amp;" = "&amp;(((I201*J201)-(10-SUMPRODUCT($I$199:I200,$J$199:J200)))*IF('LAMPIRAN I DONE'!$F$21="Tenaga Pengajar",0.25,IF(OR('LAMPIRAN I DONE'!$F$21="Asisten Ahli",'LAMPIRAN I DONE'!$F$21="Lektor",'LAMPIRAN I DONE'!$F$21="Lektor Kepala",'LAMPIRAN I DONE'!$F$21="Guru Besar"),0.5,""))))),(I201&amp;" x "&amp;J201&amp;" x "&amp;(IF(OR(AND(L201="sks&gt;10",L200="sks&gt;10"),AND(L201="sks&gt;10",L200="sks&lt;=10")),IF('LAMPIRAN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"&amp;K201))),"rumus")</f>
        <v>4 x 1 x 1 = 4
2 x 1 x 0.5 = 1</v>
      </c>
      <c r="H201" s="106" t="s">
        <v>377</v>
      </c>
      <c r="I201" s="409">
        <v>3</v>
      </c>
      <c r="J201" s="409">
        <v>2</v>
      </c>
      <c r="K201" s="401">
        <f>IF(AND(I201&lt;&gt;"",J201&lt;&gt;""),(IF(OR(AND(L201="sks&gt;10",L200="sks&lt;=10",IFERROR(SUMPRODUCT($I$199:I200,$J$199:J200)&lt;10,FALSE)),AND(L201="sks&gt;10",L200="")),(((10-SUMPRODUCT($I$199:I200,$J$199:J200))*IF('LAMPIRAN I DONE'!$F$21="Tenaga Pengajar",0.5,IF(OR('LAMPIRAN I DONE'!$F$21="Asisten Ahli",'LAMPIRAN I DONE'!$F$21="Lektor",'LAMPIRAN I DONE'!$F$21="Lektor Kepala",'LAMPIRAN I DONE'!$F$21="Guru Besar"),1,"")))+(((I201*J201)-(10-SUMPRODUCT($I$199:I200,$J$199:J200)))*IF('LAMPIRAN I DONE'!$F$21="Tenaga Pengajar",0.25,IF(OR('LAMPIRAN I DONE'!$F$21="Asisten Ahli",'LAMPIRAN I DONE'!$F$21="Lektor",'LAMPIRAN I DONE'!$F$21="Lektor Kepala",'LAMPIRAN I DONE'!$F$21="Guru Besar"),0.5,"")))),IF(OR(AND(L201="sks&gt;10",L200="sks&gt;10"),AND(L201="sks&gt;10",L200="sks&lt;=10")),I201*J201*IF('LAMPIRAN I DONE'!$F$21="Tenaga Pengajar",0.25,IF(OR('LAMPIRAN I DONE'!$F$21="Asisten Ahli",'LAMPIRAN I DONE'!$F$21="Lektor",'LAMPIRAN I DONE'!$F$21="Lektor Kepala",'LAMPIRAN I DONE'!$F$21="Guru Besar"),0.5,"")),I201*J201*IF('LAMPIRAN I DONE'!$F$21="Tenaga Pengajar",0.5,IF(OR('LAMPIRAN I DONE'!$F$21="Asisten Ahli",'LAMPIRAN I DONE'!$F$21="Lektor",'LAMPIRAN I DONE'!$F$21="Lektor Kepala",'LAMPIRAN I DONE'!$F$21="Guru Besar"),1,""))))),"rumus")</f>
        <v>5</v>
      </c>
      <c r="L201" s="401" t="str">
        <f t="shared" si="81"/>
        <v>SKS&gt;10</v>
      </c>
      <c r="M201" s="4"/>
      <c r="N201" s="4"/>
      <c r="O201" s="4"/>
      <c r="P201" s="4"/>
      <c r="Q201" s="4"/>
      <c r="R201" s="4"/>
      <c r="S201" s="4"/>
      <c r="T201" s="4"/>
      <c r="U201" s="4"/>
      <c r="V201" s="4"/>
      <c r="W201" s="4"/>
      <c r="X201" s="4"/>
      <c r="Y201" s="4"/>
      <c r="Z201" s="4"/>
    </row>
    <row r="202" spans="1:26" ht="25.5" customHeight="1" x14ac:dyDescent="0.25">
      <c r="A202" s="109">
        <v>3</v>
      </c>
      <c r="B202" s="397" t="s">
        <v>314</v>
      </c>
      <c r="C202" s="106" t="s">
        <v>345</v>
      </c>
      <c r="D202" s="106" t="str">
        <f t="shared" si="79"/>
        <v/>
      </c>
      <c r="E202" s="398" t="str">
        <f t="shared" si="80"/>
        <v/>
      </c>
      <c r="F202" s="398" t="str">
        <f>IF(K202&lt;&gt;"rumus",(IF(OR(AND(L202="sks&gt;10",L201="sks&lt;=10",IFERROR(SUMPRODUCT($I$199:I201,$J$199:J201)&lt;10,FALSE)),AND(L202="sks&gt;10",L201="")),((IF('LAMPIRAN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Besar"),0.5,"")))),((IF(OR(AND(L202="sks&gt;10",L201="sks&gt;10"),AND(L202="sks&gt;10",L201="sks&lt;=10")),IF('LAMPIRAN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202" s="398" t="str">
        <f>IF(K202&lt;&gt;"rumus",(IF(OR(AND(L202="sks&gt;10",L201="sks&lt;=10",IFERROR(SUMPRODUCT($I$199:I201,$J$199:J201)&lt;10,FALSE)),AND(L202="sks&gt;10",L201="")),(((10-SUMPRODUCT($I$199:I201,$J$199:J201))&amp;" x "&amp;1&amp;" x "&amp;IF('LAMPIRAN I DONE'!$F$21="Tenaga Pengajar",0.5,IF(OR('LAMPIRAN I DONE'!$F$21="Asisten Ahli",'LAMPIRAN I DONE'!$F$21="Lektor",'LAMPIRAN I DONE'!$F$21="Lektor Kepala",'LAMPIRAN I DONE'!$F$21="Guru Besar"),1,""))&amp;" = "&amp;((10-SUMPRODUCT($I$199:I201,$J$199:J201))*IF('LAMPIRAN I DONE'!$F$21="Tenaga Pengajar",0.5,IF(OR('LAMPIRAN I DONE'!$F$21="Asisten Ahli",'LAMPIRAN I DONE'!$F$21="Lektor",'LAMPIRAN I DONE'!$F$21="Lektor Kepala",'LAMPIRAN I DONE'!$F$21="Guru Besar"),1,""))))&amp;"
"&amp;(((I202*J202)-(10-SUMPRODUCT($I$199:I201,$J$199:J201)))&amp;" x "&amp;1&amp;" x "&amp;IF('LAMPIRAN I DONE'!$F$21="Tenaga Pengajar",0.25,IF(OR('LAMPIRAN I DONE'!$F$21="Asisten Ahli",'LAMPIRAN I DONE'!$F$21="Lektor",'LAMPIRAN I DONE'!$F$21="Lektor Kepala",'LAMPIRAN I DONE'!$F$21="Guru Besar"),0.5,""))&amp;" = "&amp;(((I202*J202)-(10-SUMPRODUCT($I$199:I201,$J$199:J201)))*IF('LAMPIRAN I DONE'!$F$21="Tenaga Pengajar",0.25,IF(OR('LAMPIRAN I DONE'!$F$21="Asisten Ahli",'LAMPIRAN I DONE'!$F$21="Lektor",'LAMPIRAN I DONE'!$F$21="Lektor Kepala",'LAMPIRAN I DONE'!$F$21="Guru Besar"),0.5,""))))),(I202&amp;" x "&amp;J202&amp;" x "&amp;(IF(OR(AND(L202="sks&gt;10",L201="sks&gt;10"),AND(L202="sks&gt;10",L201="sks&lt;=10")),IF('LAMPIRAN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"&amp;K202))),"rumus")</f>
        <v>rumus</v>
      </c>
      <c r="H202" s="106" t="s">
        <v>315</v>
      </c>
      <c r="I202" s="409"/>
      <c r="J202" s="409"/>
      <c r="K202" s="401" t="str">
        <f>IF(AND(I202&lt;&gt;"",J202&lt;&gt;""),(IF(OR(AND(L202="sks&gt;10",L201="sks&lt;=10",IFERROR(SUMPRODUCT($I$199:I201,$J$199:J201)&lt;10,FALSE)),AND(L202="sks&gt;10",L201="")),(((10-SUMPRODUCT($I$199:I201,$J$199:J201))*IF('LAMPIRAN I DONE'!$F$21="Tenaga Pengajar",0.5,IF(OR('LAMPIRAN I DONE'!$F$21="Asisten Ahli",'LAMPIRAN I DONE'!$F$21="Lektor",'LAMPIRAN I DONE'!$F$21="Lektor Kepala",'LAMPIRAN I DONE'!$F$21="Guru Besar"),1,"")))+(((I202*J202)-(10-SUMPRODUCT($I$199:I201,$J$199:J201)))*IF('LAMPIRAN I DONE'!$F$21="Tenaga Pengajar",0.25,IF(OR('LAMPIRAN I DONE'!$F$21="Asisten Ahli",'LAMPIRAN I DONE'!$F$21="Lektor",'LAMPIRAN I DONE'!$F$21="Lektor Kepala",'LAMPIRAN I DONE'!$F$21="Guru Besar"),0.5,"")))),IF(OR(AND(L202="sks&gt;10",L201="sks&gt;10"),AND(L202="sks&gt;10",L201="sks&lt;=10")),I202*J202*IF('LAMPIRAN I DONE'!$F$21="Tenaga Pengajar",0.25,IF(OR('LAMPIRAN I DONE'!$F$21="Asisten Ahli",'LAMPIRAN I DONE'!$F$21="Lektor",'LAMPIRAN I DONE'!$F$21="Lektor Kepala",'LAMPIRAN I DONE'!$F$21="Guru Besar"),0.5,"")),I202*J202*IF('LAMPIRAN I DONE'!$F$21="Tenaga Pengajar",0.5,IF(OR('LAMPIRAN I DONE'!$F$21="Asisten Ahli",'LAMPIRAN I DONE'!$F$21="Lektor",'LAMPIRAN I DONE'!$F$21="Lektor Kepala",'LAMPIRAN I DONE'!$F$21="Guru Besar"),1,""))))),"rumus")</f>
        <v>rumus</v>
      </c>
      <c r="L202" s="401" t="str">
        <f t="shared" si="81"/>
        <v>rumus</v>
      </c>
      <c r="M202" s="4"/>
      <c r="N202" s="4"/>
      <c r="O202" s="4"/>
      <c r="P202" s="4"/>
      <c r="Q202" s="4"/>
      <c r="R202" s="4"/>
      <c r="S202" s="4"/>
      <c r="T202" s="4"/>
      <c r="U202" s="4"/>
      <c r="V202" s="4"/>
      <c r="W202" s="4"/>
      <c r="X202" s="4"/>
      <c r="Y202" s="4"/>
      <c r="Z202" s="4"/>
    </row>
    <row r="203" spans="1:26" ht="25.5" customHeight="1" x14ac:dyDescent="0.25">
      <c r="A203" s="109">
        <v>4</v>
      </c>
      <c r="B203" s="397" t="s">
        <v>314</v>
      </c>
      <c r="C203" s="106" t="s">
        <v>345</v>
      </c>
      <c r="D203" s="106" t="str">
        <f t="shared" si="79"/>
        <v/>
      </c>
      <c r="E203" s="398" t="str">
        <f t="shared" si="80"/>
        <v/>
      </c>
      <c r="F203" s="398" t="str">
        <f>IF(K203&lt;&gt;"rumus",(IF(OR(AND(L203="sks&gt;10",L202="sks&lt;=10",IFERROR(SUMPRODUCT($I$199:I202,$J$199:J202)&lt;10,FALSE)),AND(L203="sks&gt;10",L202="")),((IF('LAMPIRAN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Besar"),0.5,"")))),((IF(OR(AND(L203="sks&gt;10",L202="sks&gt;10"),AND(L203="sks&gt;10",L202="sks&lt;=10")),IF('LAMPIRAN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203" s="398" t="str">
        <f>IF(K203&lt;&gt;"rumus",(IF(OR(AND(L203="sks&gt;10",L202="sks&lt;=10",IFERROR(SUMPRODUCT($I$199:I202,$J$199:J202)&lt;10,FALSE)),AND(L203="sks&gt;10",L202="")),(((10-SUMPRODUCT($I$199:I202,$J$199:J202))&amp;" x "&amp;1&amp;" x "&amp;IF('LAMPIRAN I DONE'!$F$21="Tenaga Pengajar",0.5,IF(OR('LAMPIRAN I DONE'!$F$21="Asisten Ahli",'LAMPIRAN I DONE'!$F$21="Lektor",'LAMPIRAN I DONE'!$F$21="Lektor Kepala",'LAMPIRAN I DONE'!$F$21="Guru Besar"),1,""))&amp;" = "&amp;((10-SUMPRODUCT($I$199:I202,$J$199:J202))*IF('LAMPIRAN I DONE'!$F$21="Tenaga Pengajar",0.5,IF(OR('LAMPIRAN I DONE'!$F$21="Asisten Ahli",'LAMPIRAN I DONE'!$F$21="Lektor",'LAMPIRAN I DONE'!$F$21="Lektor Kepala",'LAMPIRAN I DONE'!$F$21="Guru Besar"),1,""))))&amp;"
"&amp;(((I203*J203)-(10-SUMPRODUCT($I$199:I202,$J$199:J202)))&amp;" x "&amp;1&amp;" x "&amp;IF('LAMPIRAN I DONE'!$F$21="Tenaga Pengajar",0.25,IF(OR('LAMPIRAN I DONE'!$F$21="Asisten Ahli",'LAMPIRAN I DONE'!$F$21="Lektor",'LAMPIRAN I DONE'!$F$21="Lektor Kepala",'LAMPIRAN I DONE'!$F$21="Guru Besar"),0.5,""))&amp;" = "&amp;(((I203*J203)-(10-SUMPRODUCT($I$199:I202,$J$199:J202)))*IF('LAMPIRAN I DONE'!$F$21="Tenaga Pengajar",0.25,IF(OR('LAMPIRAN I DONE'!$F$21="Asisten Ahli",'LAMPIRAN I DONE'!$F$21="Lektor",'LAMPIRAN I DONE'!$F$21="Lektor Kepala",'LAMPIRAN I DONE'!$F$21="Guru Besar"),0.5,""))))),(I203&amp;" x "&amp;J203&amp;" x "&amp;(IF(OR(AND(L203="sks&gt;10",L202="sks&gt;10"),AND(L203="sks&gt;10",L202="sks&lt;=10")),IF('LAMPIRAN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"&amp;K203))),"rumus")</f>
        <v>rumus</v>
      </c>
      <c r="H203" s="106" t="s">
        <v>315</v>
      </c>
      <c r="I203" s="409"/>
      <c r="J203" s="409"/>
      <c r="K203" s="401" t="str">
        <f>IF(AND(I203&lt;&gt;"",J203&lt;&gt;""),(IF(OR(AND(L203="sks&gt;10",L202="sks&lt;=10",IFERROR(SUMPRODUCT($I$199:I202,$J$199:J202)&lt;10,FALSE)),AND(L203="sks&gt;10",L202="")),(((10-SUMPRODUCT($I$199:I202,$J$199:J202))*IF('LAMPIRAN I DONE'!$F$21="Tenaga Pengajar",0.5,IF(OR('LAMPIRAN I DONE'!$F$21="Asisten Ahli",'LAMPIRAN I DONE'!$F$21="Lektor",'LAMPIRAN I DONE'!$F$21="Lektor Kepala",'LAMPIRAN I DONE'!$F$21="Guru Besar"),1,"")))+(((I203*J203)-(10-SUMPRODUCT($I$199:I202,$J$199:J202)))*IF('LAMPIRAN I DONE'!$F$21="Tenaga Pengajar",0.25,IF(OR('LAMPIRAN I DONE'!$F$21="Asisten Ahli",'LAMPIRAN I DONE'!$F$21="Lektor",'LAMPIRAN I DONE'!$F$21="Lektor Kepala",'LAMPIRAN I DONE'!$F$21="Guru Besar"),0.5,"")))),IF(OR(AND(L203="sks&gt;10",L202="sks&gt;10"),AND(L203="sks&gt;10",L202="sks&lt;=10")),I203*J203*IF('LAMPIRAN I DONE'!$F$21="Tenaga Pengajar",0.25,IF(OR('LAMPIRAN I DONE'!$F$21="Asisten Ahli",'LAMPIRAN I DONE'!$F$21="Lektor",'LAMPIRAN I DONE'!$F$21="Lektor Kepala",'LAMPIRAN I DONE'!$F$21="Guru Besar"),0.5,"")),I203*J203*IF('LAMPIRAN I DONE'!$F$21="Tenaga Pengajar",0.5,IF(OR('LAMPIRAN I DONE'!$F$21="Asisten Ahli",'LAMPIRAN I DONE'!$F$21="Lektor",'LAMPIRAN I DONE'!$F$21="Lektor Kepala",'LAMPIRAN I DONE'!$F$21="Guru Besar"),1,""))))),"rumus")</f>
        <v>rumus</v>
      </c>
      <c r="L203" s="401" t="str">
        <f t="shared" si="81"/>
        <v>rumus</v>
      </c>
      <c r="M203" s="4"/>
      <c r="N203" s="4"/>
      <c r="O203" s="4"/>
      <c r="P203" s="4"/>
      <c r="Q203" s="4"/>
      <c r="R203" s="4"/>
      <c r="S203" s="4"/>
      <c r="T203" s="4"/>
      <c r="U203" s="4"/>
      <c r="V203" s="4"/>
      <c r="W203" s="4"/>
      <c r="X203" s="4"/>
      <c r="Y203" s="4"/>
      <c r="Z203" s="4"/>
    </row>
    <row r="204" spans="1:26" ht="25.5" customHeight="1" x14ac:dyDescent="0.25">
      <c r="A204" s="109">
        <v>5</v>
      </c>
      <c r="B204" s="397" t="s">
        <v>314</v>
      </c>
      <c r="C204" s="106" t="s">
        <v>345</v>
      </c>
      <c r="D204" s="106" t="str">
        <f t="shared" si="79"/>
        <v/>
      </c>
      <c r="E204" s="398" t="str">
        <f t="shared" si="80"/>
        <v/>
      </c>
      <c r="F204" s="398" t="str">
        <f>IF(K204&lt;&gt;"rumus",(IF(OR(AND(L204="sks&gt;10",L203="sks&lt;=10",IFERROR(SUMPRODUCT($I$199:I203,$J$199:J203)&lt;10,FALSE)),AND(L204="sks&gt;10",L203="")),((IF('LAMPIRAN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Besar"),0.5,"")))),((IF(OR(AND(L204="sks&gt;10",L203="sks&gt;10"),AND(L204="sks&gt;10",L203="sks&lt;=10")),IF('LAMPIRAN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204" s="398" t="str">
        <f>IF(K204&lt;&gt;"rumus",(IF(OR(AND(L204="sks&gt;10",L203="sks&lt;=10",IFERROR(SUMPRODUCT($I$199:I203,$J$199:J203)&lt;10,FALSE)),AND(L204="sks&gt;10",L203="")),(((10-SUMPRODUCT($I$199:I203,$J$199:J203))&amp;" x "&amp;1&amp;" x "&amp;IF('LAMPIRAN I DONE'!$F$21="Tenaga Pengajar",0.5,IF(OR('LAMPIRAN I DONE'!$F$21="Asisten Ahli",'LAMPIRAN I DONE'!$F$21="Lektor",'LAMPIRAN I DONE'!$F$21="Lektor Kepala",'LAMPIRAN I DONE'!$F$21="Guru Besar"),1,""))&amp;" = "&amp;((10-SUMPRODUCT($I$199:I203,$J$199:J203))*IF('LAMPIRAN I DONE'!$F$21="Tenaga Pengajar",0.5,IF(OR('LAMPIRAN I DONE'!$F$21="Asisten Ahli",'LAMPIRAN I DONE'!$F$21="Lektor",'LAMPIRAN I DONE'!$F$21="Lektor Kepala",'LAMPIRAN I DONE'!$F$21="Guru Besar"),1,""))))&amp;"
"&amp;(((I204*J204)-(10-SUMPRODUCT($I$199:I203,$J$199:J203)))&amp;" x "&amp;1&amp;" x "&amp;IF('LAMPIRAN I DONE'!$F$21="Tenaga Pengajar",0.25,IF(OR('LAMPIRAN I DONE'!$F$21="Asisten Ahli",'LAMPIRAN I DONE'!$F$21="Lektor",'LAMPIRAN I DONE'!$F$21="Lektor Kepala",'LAMPIRAN I DONE'!$F$21="Guru Besar"),0.5,""))&amp;" = "&amp;(((I204*J204)-(10-SUMPRODUCT($I$199:I203,$J$199:J203)))*IF('LAMPIRAN I DONE'!$F$21="Tenaga Pengajar",0.25,IF(OR('LAMPIRAN I DONE'!$F$21="Asisten Ahli",'LAMPIRAN I DONE'!$F$21="Lektor",'LAMPIRAN I DONE'!$F$21="Lektor Kepala",'LAMPIRAN I DONE'!$F$21="Guru Besar"),0.5,""))))),(I204&amp;" x "&amp;J204&amp;" x "&amp;(IF(OR(AND(L204="sks&gt;10",L203="sks&gt;10"),AND(L204="sks&gt;10",L203="sks&lt;=10")),IF('LAMPIRAN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"&amp;K204))),"rumus")</f>
        <v>rumus</v>
      </c>
      <c r="H204" s="106" t="s">
        <v>315</v>
      </c>
      <c r="I204" s="409"/>
      <c r="J204" s="409"/>
      <c r="K204" s="401" t="str">
        <f>IF(AND(I204&lt;&gt;"",J204&lt;&gt;""),(IF(OR(AND(L204="sks&gt;10",L203="sks&lt;=10",IFERROR(SUMPRODUCT($I$199:I203,$J$199:J203)&lt;10,FALSE)),AND(L204="sks&gt;10",L203="")),(((10-SUMPRODUCT($I$199:I203,$J$199:J203))*IF('LAMPIRAN I DONE'!$F$21="Tenaga Pengajar",0.5,IF(OR('LAMPIRAN I DONE'!$F$21="Asisten Ahli",'LAMPIRAN I DONE'!$F$21="Lektor",'LAMPIRAN I DONE'!$F$21="Lektor Kepala",'LAMPIRAN I DONE'!$F$21="Guru Besar"),1,"")))+(((I204*J204)-(10-SUMPRODUCT($I$199:I203,$J$199:J203)))*IF('LAMPIRAN I DONE'!$F$21="Tenaga Pengajar",0.25,IF(OR('LAMPIRAN I DONE'!$F$21="Asisten Ahli",'LAMPIRAN I DONE'!$F$21="Lektor",'LAMPIRAN I DONE'!$F$21="Lektor Kepala",'LAMPIRAN I DONE'!$F$21="Guru Besar"),0.5,"")))),IF(OR(AND(L204="sks&gt;10",L203="sks&gt;10"),AND(L204="sks&gt;10",L203="sks&lt;=10")),I204*J204*IF('LAMPIRAN I DONE'!$F$21="Tenaga Pengajar",0.25,IF(OR('LAMPIRAN I DONE'!$F$21="Asisten Ahli",'LAMPIRAN I DONE'!$F$21="Lektor",'LAMPIRAN I DONE'!$F$21="Lektor Kepala",'LAMPIRAN I DONE'!$F$21="Guru Besar"),0.5,"")),I204*J204*IF('LAMPIRAN I DONE'!$F$21="Tenaga Pengajar",0.5,IF(OR('LAMPIRAN I DONE'!$F$21="Asisten Ahli",'LAMPIRAN I DONE'!$F$21="Lektor",'LAMPIRAN I DONE'!$F$21="Lektor Kepala",'LAMPIRAN I DONE'!$F$21="Guru Besar"),1,""))))),"rumus")</f>
        <v>rumus</v>
      </c>
      <c r="L204" s="401" t="str">
        <f t="shared" si="81"/>
        <v>rumus</v>
      </c>
      <c r="M204" s="4"/>
      <c r="N204" s="4"/>
      <c r="O204" s="4"/>
      <c r="P204" s="4"/>
      <c r="Q204" s="4"/>
      <c r="R204" s="4"/>
      <c r="S204" s="4"/>
      <c r="T204" s="4"/>
      <c r="U204" s="4"/>
      <c r="V204" s="4"/>
      <c r="W204" s="4"/>
      <c r="X204" s="4"/>
      <c r="Y204" s="4"/>
      <c r="Z204" s="4"/>
    </row>
    <row r="205" spans="1:26" ht="25.5" customHeight="1" x14ac:dyDescent="0.25">
      <c r="A205" s="109">
        <v>6</v>
      </c>
      <c r="B205" s="397" t="s">
        <v>314</v>
      </c>
      <c r="C205" s="106" t="s">
        <v>345</v>
      </c>
      <c r="D205" s="106" t="str">
        <f t="shared" si="79"/>
        <v/>
      </c>
      <c r="E205" s="398" t="str">
        <f t="shared" si="80"/>
        <v/>
      </c>
      <c r="F205" s="398" t="str">
        <f>IF(K205&lt;&gt;"rumus",(IF(OR(AND(L205="sks&gt;10",L204="sks&lt;=10",IFERROR(SUMPRODUCT($I$199:I204,$J$199:J204)&lt;10,FALSE)),AND(L205="sks&gt;10",L204="")),((IF('LAMPIRAN I DONE'!$F$21="Tenaga Pengajar",0.5,IF(OR('LAMPIRAN I DONE'!$F$21="Asisten Ahli",'LAMPIRAN I DONE'!$F$21="Lektor",'LAMPIRAN I DONE'!$F$21="Lektor Kepala",'LAMPIRAN I DONE'!$F$21="Guru Besar"),1,"")))&amp;"
"&amp;(IF('LAMPIRAN I DONE'!$F$21="Tenaga Pengajar",0.25,IF(OR('LAMPIRAN I DONE'!$F$21="Asisten Ahli",'LAMPIRAN I DONE'!$F$21="Lektor",'LAMPIRAN I DONE'!$F$21="Lektor Kepala",'LAMPIRAN I DONE'!$F$21="Guru Besar"),0.5,"")))),((IF(OR(AND(L205="sks&gt;10",L204="sks&gt;10"),AND(L205="sks&gt;10",L204="sks&lt;=10")),IF('LAMPIRAN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f>
        <v/>
      </c>
      <c r="G205" s="398" t="str">
        <f>IF(K205&lt;&gt;"rumus",(IF(OR(AND(L205="sks&gt;10",L204="sks&lt;=10",IFERROR(SUMPRODUCT($I$199:I204,$J$199:J204)&lt;10,FALSE)),AND(L205="sks&gt;10",L204="")),(((10-SUMPRODUCT($I$199:I204,$J$199:J204))&amp;" x "&amp;1&amp;" x "&amp;IF('LAMPIRAN I DONE'!$F$21="Tenaga Pengajar",0.5,IF(OR('LAMPIRAN I DONE'!$F$21="Asisten Ahli",'LAMPIRAN I DONE'!$F$21="Lektor",'LAMPIRAN I DONE'!$F$21="Lektor Kepala",'LAMPIRAN I DONE'!$F$21="Guru Besar"),1,""))&amp;" = "&amp;((10-SUMPRODUCT($I$199:I204,$J$199:J204))*IF('LAMPIRAN I DONE'!$F$21="Tenaga Pengajar",0.5,IF(OR('LAMPIRAN I DONE'!$F$21="Asisten Ahli",'LAMPIRAN I DONE'!$F$21="Lektor",'LAMPIRAN I DONE'!$F$21="Lektor Kepala",'LAMPIRAN I DONE'!$F$21="Guru Besar"),1,""))))&amp;"
"&amp;(((I205*J205)-(10-SUMPRODUCT($I$199:I204,$J$199:J204)))&amp;" x "&amp;1&amp;" x "&amp;IF('LAMPIRAN I DONE'!$F$21="Tenaga Pengajar",0.25,IF(OR('LAMPIRAN I DONE'!$F$21="Asisten Ahli",'LAMPIRAN I DONE'!$F$21="Lektor",'LAMPIRAN I DONE'!$F$21="Lektor Kepala",'LAMPIRAN I DONE'!$F$21="Guru Besar"),0.5,""))&amp;" = "&amp;(((I205*J205)-(10-SUMPRODUCT($I$199:I204,$J$199:J204)))*IF('LAMPIRAN I DONE'!$F$21="Tenaga Pengajar",0.25,IF(OR('LAMPIRAN I DONE'!$F$21="Asisten Ahli",'LAMPIRAN I DONE'!$F$21="Lektor",'LAMPIRAN I DONE'!$F$21="Lektor Kepala",'LAMPIRAN I DONE'!$F$21="Guru Besar"),0.5,""))))),(I205&amp;" x "&amp;J205&amp;" x "&amp;(IF(OR(AND(L205="sks&gt;10",L204="sks&gt;10"),AND(L205="sks&gt;10",L204="sks&lt;=10")),IF('LAMPIRAN I DONE'!$F$21="Tenaga Pengajar",0.25,IF(OR('LAMPIRAN I DONE'!$F$21="Asisten Ahli",'LAMPIRAN I DONE'!$F$21="Lektor",'LAMPIRAN I DONE'!$F$21="Lektor Kepala",'LAMPIRAN I DONE'!$F$21="Guru Besar"),0.5,"")),IF('LAMPIRAN I DONE'!$F$21="Tenaga Pengajar",0.5,IF(OR('LAMPIRAN I DONE'!$F$21="Asisten Ahli",'LAMPIRAN I DONE'!$F$21="Lektor",'LAMPIRAN I DONE'!$F$21="Lektor Kepala",'LAMPIRAN I DONE'!$F$21="Guru Besar"),1,""))))&amp;" = "&amp;K205))),"rumus")</f>
        <v>rumus</v>
      </c>
      <c r="H205" s="106" t="s">
        <v>315</v>
      </c>
      <c r="I205" s="409"/>
      <c r="J205" s="409"/>
      <c r="K205" s="401" t="str">
        <f>IF(AND(I205&lt;&gt;"",J205&lt;&gt;""),(IF(OR(AND(L205="sks&gt;10",L204="sks&lt;=10",IFERROR(SUMPRODUCT($I$199:I204,$J$199:J204)&lt;10,FALSE)),AND(L205="sks&gt;10",L204="")),(((10-SUMPRODUCT($I$199:I204,$J$199:J204))*IF('LAMPIRAN I DONE'!$F$21="Tenaga Pengajar",0.5,IF(OR('LAMPIRAN I DONE'!$F$21="Asisten Ahli",'LAMPIRAN I DONE'!$F$21="Lektor",'LAMPIRAN I DONE'!$F$21="Lektor Kepala",'LAMPIRAN I DONE'!$F$21="Guru Besar"),1,"")))+(((I205*J205)-(10-SUMPRODUCT($I$199:I204,$J$199:J204)))*IF('LAMPIRAN I DONE'!$F$21="Tenaga Pengajar",0.25,IF(OR('LAMPIRAN I DONE'!$F$21="Asisten Ahli",'LAMPIRAN I DONE'!$F$21="Lektor",'LAMPIRAN I DONE'!$F$21="Lektor Kepala",'LAMPIRAN I DONE'!$F$21="Guru Besar"),0.5,"")))),IF(OR(AND(L205="sks&gt;10",L204="sks&gt;10"),AND(L205="sks&gt;10",L204="sks&lt;=10")),I205*J205*IF('LAMPIRAN I DONE'!$F$21="Tenaga Pengajar",0.25,IF(OR('LAMPIRAN I DONE'!$F$21="Asisten Ahli",'LAMPIRAN I DONE'!$F$21="Lektor",'LAMPIRAN I DONE'!$F$21="Lektor Kepala",'LAMPIRAN I DONE'!$F$21="Guru Besar"),0.5,"")),I205*J205*IF('LAMPIRAN I DONE'!$F$21="Tenaga Pengajar",0.5,IF(OR('LAMPIRAN I DONE'!$F$21="Asisten Ahli",'LAMPIRAN I DONE'!$F$21="Lektor",'LAMPIRAN I DONE'!$F$21="Lektor Kepala",'LAMPIRAN I DONE'!$F$21="Guru Besar"),1,""))))),"rumus")</f>
        <v>rumus</v>
      </c>
      <c r="L205" s="401" t="str">
        <f t="shared" si="81"/>
        <v>rumus</v>
      </c>
      <c r="M205" s="4"/>
      <c r="N205" s="4"/>
      <c r="O205" s="4"/>
      <c r="P205" s="4"/>
      <c r="Q205" s="4"/>
      <c r="R205" s="4"/>
      <c r="S205" s="4"/>
      <c r="T205" s="4"/>
      <c r="U205" s="4"/>
      <c r="V205" s="4"/>
      <c r="W205" s="4"/>
      <c r="X205" s="4"/>
      <c r="Y205" s="4"/>
      <c r="Z205" s="4"/>
    </row>
    <row r="206" spans="1:26" ht="15" customHeight="1" x14ac:dyDescent="0.25">
      <c r="A206" s="4"/>
      <c r="B206" s="620" t="s">
        <v>304</v>
      </c>
      <c r="C206" s="615"/>
      <c r="D206" s="616"/>
      <c r="E206" s="402"/>
      <c r="F206" s="402"/>
      <c r="G206" s="113">
        <f>SUM(M45:M206)</f>
        <v>209</v>
      </c>
      <c r="H206" s="114"/>
      <c r="I206" s="103"/>
      <c r="J206" s="103"/>
      <c r="K206" s="4"/>
      <c r="L206" s="4"/>
      <c r="M206" s="111">
        <f>IF((AND(N206="Max 5,5",SUM(K200:K205)&lt;=5.5)),SUM(K200:K205),IF((AND(N206="Max 5,5",SUM(K200:K205)&gt;5.5)),5.5,IF((AND(N206="Max 11",SUM(K200:K205)&lt;=11)),SUM(K200:K205),IF((AND(N206="Max 11",SUM(K200:K205)&gt;11)),11,""))))</f>
        <v>11</v>
      </c>
      <c r="N206" s="103" t="str">
        <f>IF('LAMPIRAN I DONE'!$F$21="Tenaga Pengajar","Max 5,5",IF(OR('LAMPIRAN I DONE'!$F$21="Asisten Ahli",'LAMPIRAN I DONE'!$F$21="Lektor",'LAMPIRAN I DONE'!$F$21="Lektor Kepala",'LAMPIRAN I DONE'!$F$21="Guru Besar"),"Max 11",""))</f>
        <v>Max 11</v>
      </c>
      <c r="O206" s="4"/>
      <c r="P206" s="4"/>
      <c r="Q206" s="4"/>
      <c r="R206" s="4"/>
      <c r="S206" s="4"/>
      <c r="T206" s="4"/>
      <c r="U206" s="4"/>
      <c r="V206" s="4"/>
      <c r="W206" s="4"/>
      <c r="X206" s="4"/>
      <c r="Y206" s="4"/>
      <c r="Z206" s="4"/>
    </row>
    <row r="207" spans="1:26" ht="15" customHeight="1" x14ac:dyDescent="0.25">
      <c r="A207" s="115" t="s">
        <v>61</v>
      </c>
      <c r="B207" s="412" t="s">
        <v>379</v>
      </c>
      <c r="C207" s="407"/>
      <c r="D207" s="407"/>
      <c r="E207" s="407"/>
      <c r="F207" s="407"/>
      <c r="G207" s="407"/>
      <c r="H207" s="408"/>
      <c r="I207" s="103"/>
      <c r="J207" s="103"/>
      <c r="K207" s="4"/>
      <c r="L207" s="4"/>
      <c r="M207" s="111"/>
      <c r="N207" s="103"/>
      <c r="O207" s="4"/>
      <c r="P207" s="4"/>
      <c r="Q207" s="4"/>
      <c r="R207" s="4"/>
      <c r="S207" s="4"/>
      <c r="T207" s="4"/>
      <c r="U207" s="4"/>
      <c r="V207" s="4"/>
      <c r="W207" s="4"/>
      <c r="X207" s="4"/>
      <c r="Y207" s="4"/>
      <c r="Z207" s="4"/>
    </row>
    <row r="208" spans="1:26" ht="15" customHeight="1" x14ac:dyDescent="0.2">
      <c r="A208" s="109"/>
      <c r="B208" s="413" t="s">
        <v>380</v>
      </c>
      <c r="C208" s="407"/>
      <c r="D208" s="407"/>
      <c r="E208" s="407"/>
      <c r="F208" s="407"/>
      <c r="G208" s="407"/>
      <c r="H208" s="408"/>
      <c r="I208" s="116"/>
      <c r="J208" s="116"/>
      <c r="K208" s="116"/>
      <c r="L208" s="116"/>
      <c r="M208" s="117"/>
      <c r="N208" s="118"/>
    </row>
    <row r="209" spans="1:14" ht="15.75" customHeight="1" x14ac:dyDescent="0.2">
      <c r="A209" s="109">
        <v>1</v>
      </c>
      <c r="B209" s="397" t="s">
        <v>381</v>
      </c>
      <c r="C209" s="106" t="s">
        <v>382</v>
      </c>
      <c r="D209" s="106" t="str">
        <f t="shared" ref="D209:D220" si="82">IF(G209&lt;&gt;"rumus","Kegiatan","")</f>
        <v/>
      </c>
      <c r="E209" s="398" t="str">
        <f t="shared" ref="E209:E220" si="83">IF(I209&lt;&gt;"",1,"")</f>
        <v/>
      </c>
      <c r="F209" s="398" t="str">
        <f t="shared" ref="F209:F220" si="84">IF(I209&lt;&gt;"",1,"")</f>
        <v/>
      </c>
      <c r="G209" s="399" t="str">
        <f t="shared" ref="G209:G220" si="85">IF(I209="Membimbing seminar mahasiswa per semester","1 x 1 = 1","rumus")</f>
        <v>rumus</v>
      </c>
      <c r="H209" s="106" t="s">
        <v>315</v>
      </c>
      <c r="I209" s="119"/>
      <c r="J209" s="401" t="str">
        <f t="shared" ref="J209:J220" si="86">IF(I209="Membimbing seminar mahasiswa per semester",1,"rumus")</f>
        <v>rumus</v>
      </c>
      <c r="K209" s="116"/>
      <c r="L209" s="116"/>
      <c r="M209" s="116"/>
    </row>
    <row r="210" spans="1:14" ht="15.75" customHeight="1" x14ac:dyDescent="0.2">
      <c r="A210" s="109">
        <v>2</v>
      </c>
      <c r="B210" s="397" t="s">
        <v>381</v>
      </c>
      <c r="C210" s="106" t="s">
        <v>383</v>
      </c>
      <c r="D210" s="106" t="str">
        <f t="shared" si="82"/>
        <v/>
      </c>
      <c r="E210" s="398" t="str">
        <f t="shared" si="83"/>
        <v/>
      </c>
      <c r="F210" s="398" t="str">
        <f t="shared" si="84"/>
        <v/>
      </c>
      <c r="G210" s="399" t="str">
        <f t="shared" si="85"/>
        <v>rumus</v>
      </c>
      <c r="H210" s="106" t="s">
        <v>26</v>
      </c>
      <c r="I210" s="119"/>
      <c r="J210" s="401" t="str">
        <f t="shared" si="86"/>
        <v>rumus</v>
      </c>
      <c r="K210" s="116"/>
      <c r="L210" s="116"/>
      <c r="M210" s="116"/>
    </row>
    <row r="211" spans="1:14" ht="15.75" customHeight="1" x14ac:dyDescent="0.2">
      <c r="A211" s="109">
        <v>3</v>
      </c>
      <c r="B211" s="397" t="s">
        <v>381</v>
      </c>
      <c r="C211" s="106" t="s">
        <v>384</v>
      </c>
      <c r="D211" s="106" t="str">
        <f t="shared" si="82"/>
        <v/>
      </c>
      <c r="E211" s="398" t="str">
        <f t="shared" si="83"/>
        <v/>
      </c>
      <c r="F211" s="398" t="str">
        <f t="shared" si="84"/>
        <v/>
      </c>
      <c r="G211" s="399" t="str">
        <f t="shared" si="85"/>
        <v>rumus</v>
      </c>
      <c r="H211" s="106" t="s">
        <v>26</v>
      </c>
      <c r="I211" s="119"/>
      <c r="J211" s="401" t="str">
        <f t="shared" si="86"/>
        <v>rumus</v>
      </c>
      <c r="K211" s="116"/>
      <c r="L211" s="116"/>
      <c r="M211" s="116"/>
    </row>
    <row r="212" spans="1:14" ht="15.75" customHeight="1" x14ac:dyDescent="0.2">
      <c r="A212" s="109">
        <v>4</v>
      </c>
      <c r="B212" s="397" t="s">
        <v>381</v>
      </c>
      <c r="C212" s="106" t="s">
        <v>385</v>
      </c>
      <c r="D212" s="106" t="str">
        <f t="shared" si="82"/>
        <v/>
      </c>
      <c r="E212" s="398" t="str">
        <f t="shared" si="83"/>
        <v/>
      </c>
      <c r="F212" s="398" t="str">
        <f t="shared" si="84"/>
        <v/>
      </c>
      <c r="G212" s="399" t="str">
        <f t="shared" si="85"/>
        <v>rumus</v>
      </c>
      <c r="H212" s="106" t="s">
        <v>26</v>
      </c>
      <c r="I212" s="119"/>
      <c r="J212" s="401" t="str">
        <f t="shared" si="86"/>
        <v>rumus</v>
      </c>
      <c r="K212" s="116"/>
      <c r="L212" s="116"/>
      <c r="M212" s="116"/>
    </row>
    <row r="213" spans="1:14" ht="15.75" customHeight="1" x14ac:dyDescent="0.2">
      <c r="A213" s="109">
        <v>5</v>
      </c>
      <c r="B213" s="397" t="s">
        <v>381</v>
      </c>
      <c r="C213" s="106" t="s">
        <v>355</v>
      </c>
      <c r="D213" s="106" t="str">
        <f t="shared" si="82"/>
        <v/>
      </c>
      <c r="E213" s="398" t="str">
        <f t="shared" si="83"/>
        <v/>
      </c>
      <c r="F213" s="398" t="str">
        <f t="shared" si="84"/>
        <v/>
      </c>
      <c r="G213" s="399" t="str">
        <f t="shared" si="85"/>
        <v>rumus</v>
      </c>
      <c r="H213" s="106" t="s">
        <v>26</v>
      </c>
      <c r="I213" s="119"/>
      <c r="J213" s="401" t="str">
        <f t="shared" si="86"/>
        <v>rumus</v>
      </c>
      <c r="K213" s="116"/>
      <c r="L213" s="116"/>
      <c r="M213" s="116"/>
    </row>
    <row r="214" spans="1:14" ht="15.75" customHeight="1" x14ac:dyDescent="0.2">
      <c r="A214" s="109">
        <v>6</v>
      </c>
      <c r="B214" s="397" t="s">
        <v>381</v>
      </c>
      <c r="C214" s="106" t="s">
        <v>312</v>
      </c>
      <c r="D214" s="106" t="str">
        <f t="shared" si="82"/>
        <v/>
      </c>
      <c r="E214" s="398" t="str">
        <f t="shared" si="83"/>
        <v/>
      </c>
      <c r="F214" s="398" t="str">
        <f t="shared" si="84"/>
        <v/>
      </c>
      <c r="G214" s="399" t="str">
        <f t="shared" si="85"/>
        <v>rumus</v>
      </c>
      <c r="H214" s="106" t="s">
        <v>26</v>
      </c>
      <c r="I214" s="119"/>
      <c r="J214" s="401" t="str">
        <f t="shared" si="86"/>
        <v>rumus</v>
      </c>
      <c r="K214" s="116"/>
      <c r="L214" s="116"/>
      <c r="M214" s="116"/>
    </row>
    <row r="215" spans="1:14" ht="15.75" customHeight="1" x14ac:dyDescent="0.2">
      <c r="A215" s="109">
        <v>7</v>
      </c>
      <c r="B215" s="397" t="s">
        <v>381</v>
      </c>
      <c r="C215" s="106" t="s">
        <v>317</v>
      </c>
      <c r="D215" s="106" t="str">
        <f t="shared" si="82"/>
        <v/>
      </c>
      <c r="E215" s="398" t="str">
        <f t="shared" si="83"/>
        <v/>
      </c>
      <c r="F215" s="398" t="str">
        <f t="shared" si="84"/>
        <v/>
      </c>
      <c r="G215" s="399" t="str">
        <f t="shared" si="85"/>
        <v>rumus</v>
      </c>
      <c r="H215" s="106" t="s">
        <v>26</v>
      </c>
      <c r="I215" s="119"/>
      <c r="J215" s="401" t="str">
        <f t="shared" si="86"/>
        <v>rumus</v>
      </c>
      <c r="K215" s="116"/>
      <c r="L215" s="116"/>
      <c r="M215" s="116"/>
    </row>
    <row r="216" spans="1:14" ht="15.75" customHeight="1" x14ac:dyDescent="0.2">
      <c r="A216" s="109">
        <v>8</v>
      </c>
      <c r="B216" s="397" t="s">
        <v>381</v>
      </c>
      <c r="C216" s="106" t="s">
        <v>319</v>
      </c>
      <c r="D216" s="106" t="str">
        <f t="shared" si="82"/>
        <v/>
      </c>
      <c r="E216" s="398" t="str">
        <f t="shared" si="83"/>
        <v/>
      </c>
      <c r="F216" s="398" t="str">
        <f t="shared" si="84"/>
        <v/>
      </c>
      <c r="G216" s="399" t="str">
        <f t="shared" si="85"/>
        <v>rumus</v>
      </c>
      <c r="H216" s="106" t="s">
        <v>26</v>
      </c>
      <c r="I216" s="119"/>
      <c r="J216" s="401" t="str">
        <f t="shared" si="86"/>
        <v>rumus</v>
      </c>
      <c r="K216" s="116"/>
      <c r="L216" s="116"/>
      <c r="M216" s="116"/>
    </row>
    <row r="217" spans="1:14" ht="15.75" customHeight="1" x14ac:dyDescent="0.2">
      <c r="A217" s="109">
        <v>9</v>
      </c>
      <c r="B217" s="397" t="s">
        <v>381</v>
      </c>
      <c r="C217" s="106" t="s">
        <v>321</v>
      </c>
      <c r="D217" s="106" t="str">
        <f t="shared" si="82"/>
        <v/>
      </c>
      <c r="E217" s="398" t="str">
        <f t="shared" si="83"/>
        <v/>
      </c>
      <c r="F217" s="398" t="str">
        <f t="shared" si="84"/>
        <v/>
      </c>
      <c r="G217" s="399" t="str">
        <f t="shared" si="85"/>
        <v>rumus</v>
      </c>
      <c r="H217" s="106" t="s">
        <v>26</v>
      </c>
      <c r="I217" s="119"/>
      <c r="J217" s="401" t="str">
        <f t="shared" si="86"/>
        <v>rumus</v>
      </c>
      <c r="K217" s="116"/>
      <c r="L217" s="116"/>
      <c r="M217" s="116"/>
    </row>
    <row r="218" spans="1:14" ht="15.75" customHeight="1" x14ac:dyDescent="0.2">
      <c r="A218" s="109">
        <v>10</v>
      </c>
      <c r="B218" s="397" t="s">
        <v>381</v>
      </c>
      <c r="C218" s="106" t="s">
        <v>324</v>
      </c>
      <c r="D218" s="106" t="str">
        <f t="shared" si="82"/>
        <v/>
      </c>
      <c r="E218" s="398" t="str">
        <f t="shared" si="83"/>
        <v/>
      </c>
      <c r="F218" s="398" t="str">
        <f t="shared" si="84"/>
        <v/>
      </c>
      <c r="G218" s="399" t="str">
        <f t="shared" si="85"/>
        <v>rumus</v>
      </c>
      <c r="H218" s="106" t="s">
        <v>26</v>
      </c>
      <c r="I218" s="119"/>
      <c r="J218" s="401" t="str">
        <f t="shared" si="86"/>
        <v>rumus</v>
      </c>
      <c r="K218" s="116"/>
      <c r="L218" s="116"/>
      <c r="M218" s="116"/>
    </row>
    <row r="219" spans="1:14" ht="15.75" customHeight="1" x14ac:dyDescent="0.2">
      <c r="A219" s="109">
        <v>11</v>
      </c>
      <c r="B219" s="397" t="s">
        <v>381</v>
      </c>
      <c r="C219" s="106" t="s">
        <v>327</v>
      </c>
      <c r="D219" s="106" t="str">
        <f t="shared" si="82"/>
        <v/>
      </c>
      <c r="E219" s="398" t="str">
        <f t="shared" si="83"/>
        <v/>
      </c>
      <c r="F219" s="398" t="str">
        <f t="shared" si="84"/>
        <v/>
      </c>
      <c r="G219" s="399" t="str">
        <f t="shared" si="85"/>
        <v>rumus</v>
      </c>
      <c r="H219" s="106" t="s">
        <v>26</v>
      </c>
      <c r="I219" s="119"/>
      <c r="J219" s="401" t="str">
        <f t="shared" si="86"/>
        <v>rumus</v>
      </c>
      <c r="K219" s="116"/>
      <c r="L219" s="116"/>
      <c r="M219" s="116"/>
    </row>
    <row r="220" spans="1:14" ht="15.75" customHeight="1" x14ac:dyDescent="0.2">
      <c r="A220" s="109">
        <v>12</v>
      </c>
      <c r="B220" s="397" t="s">
        <v>381</v>
      </c>
      <c r="C220" s="106" t="s">
        <v>331</v>
      </c>
      <c r="D220" s="106" t="str">
        <f t="shared" si="82"/>
        <v/>
      </c>
      <c r="E220" s="398" t="str">
        <f t="shared" si="83"/>
        <v/>
      </c>
      <c r="F220" s="398" t="str">
        <f t="shared" si="84"/>
        <v/>
      </c>
      <c r="G220" s="399" t="str">
        <f t="shared" si="85"/>
        <v>rumus</v>
      </c>
      <c r="H220" s="106" t="s">
        <v>26</v>
      </c>
      <c r="I220" s="119"/>
      <c r="J220" s="401" t="str">
        <f t="shared" si="86"/>
        <v>rumus</v>
      </c>
      <c r="K220" s="116"/>
      <c r="L220" s="116"/>
      <c r="M220" s="116"/>
    </row>
    <row r="221" spans="1:14" ht="15.75" customHeight="1" x14ac:dyDescent="0.2">
      <c r="A221" s="109"/>
      <c r="B221" s="413" t="s">
        <v>386</v>
      </c>
      <c r="C221" s="407"/>
      <c r="D221" s="407"/>
      <c r="E221" s="407"/>
      <c r="F221" s="407"/>
      <c r="G221" s="407"/>
      <c r="H221" s="408"/>
      <c r="I221" s="116"/>
      <c r="K221" s="120">
        <f>SUM(J209:J220)</f>
        <v>0</v>
      </c>
      <c r="L221" s="116"/>
      <c r="M221" s="117"/>
      <c r="N221" s="118"/>
    </row>
    <row r="222" spans="1:14" ht="15.75" customHeight="1" x14ac:dyDescent="0.2">
      <c r="A222" s="109">
        <v>1</v>
      </c>
      <c r="B222" s="397" t="s">
        <v>381</v>
      </c>
      <c r="C222" s="106" t="s">
        <v>382</v>
      </c>
      <c r="D222" s="106" t="str">
        <f t="shared" ref="D222:D233" si="87">IF(G222&lt;&gt;"rumus","Kegiatan","")</f>
        <v/>
      </c>
      <c r="E222" s="398" t="str">
        <f t="shared" ref="E222:E233" si="88">IF(I222&lt;&gt;"",1,"")</f>
        <v/>
      </c>
      <c r="F222" s="398" t="str">
        <f t="shared" ref="F222:F233" si="89">IF(I222&lt;&gt;"",1,"")</f>
        <v/>
      </c>
      <c r="G222" s="399" t="str">
        <f t="shared" ref="G222:G233" si="90">IF(I222="Membimbing seminar mahasiswa per semester","1 x 1 = 1","rumus")</f>
        <v>rumus</v>
      </c>
      <c r="H222" s="106" t="s">
        <v>315</v>
      </c>
      <c r="I222" s="119"/>
      <c r="J222" s="401" t="str">
        <f t="shared" ref="J222:J233" si="91">IF(I222="Membimbing seminar mahasiswa per semester",1,"rumus")</f>
        <v>rumus</v>
      </c>
      <c r="K222" s="116"/>
      <c r="L222" s="116"/>
      <c r="M222" s="116"/>
    </row>
    <row r="223" spans="1:14" ht="15.75" customHeight="1" x14ac:dyDescent="0.2">
      <c r="A223" s="109">
        <v>2</v>
      </c>
      <c r="B223" s="397" t="s">
        <v>381</v>
      </c>
      <c r="C223" s="106" t="s">
        <v>383</v>
      </c>
      <c r="D223" s="106" t="str">
        <f t="shared" si="87"/>
        <v/>
      </c>
      <c r="E223" s="398" t="str">
        <f t="shared" si="88"/>
        <v/>
      </c>
      <c r="F223" s="398" t="str">
        <f t="shared" si="89"/>
        <v/>
      </c>
      <c r="G223" s="399" t="str">
        <f t="shared" si="90"/>
        <v>rumus</v>
      </c>
      <c r="H223" s="106" t="s">
        <v>26</v>
      </c>
      <c r="I223" s="119"/>
      <c r="J223" s="401" t="str">
        <f t="shared" si="91"/>
        <v>rumus</v>
      </c>
      <c r="K223" s="116"/>
      <c r="L223" s="116"/>
      <c r="M223" s="116"/>
    </row>
    <row r="224" spans="1:14" ht="15.75" customHeight="1" x14ac:dyDescent="0.2">
      <c r="A224" s="109">
        <v>3</v>
      </c>
      <c r="B224" s="397" t="s">
        <v>381</v>
      </c>
      <c r="C224" s="106" t="s">
        <v>384</v>
      </c>
      <c r="D224" s="106" t="str">
        <f t="shared" si="87"/>
        <v/>
      </c>
      <c r="E224" s="398" t="str">
        <f t="shared" si="88"/>
        <v/>
      </c>
      <c r="F224" s="398" t="str">
        <f t="shared" si="89"/>
        <v/>
      </c>
      <c r="G224" s="399" t="str">
        <f t="shared" si="90"/>
        <v>rumus</v>
      </c>
      <c r="H224" s="106" t="s">
        <v>26</v>
      </c>
      <c r="I224" s="119"/>
      <c r="J224" s="401" t="str">
        <f t="shared" si="91"/>
        <v>rumus</v>
      </c>
      <c r="K224" s="116"/>
      <c r="L224" s="116"/>
      <c r="M224" s="116"/>
    </row>
    <row r="225" spans="1:13" ht="15.75" customHeight="1" x14ac:dyDescent="0.2">
      <c r="A225" s="109">
        <v>4</v>
      </c>
      <c r="B225" s="397" t="s">
        <v>381</v>
      </c>
      <c r="C225" s="106" t="s">
        <v>385</v>
      </c>
      <c r="D225" s="106" t="str">
        <f t="shared" si="87"/>
        <v/>
      </c>
      <c r="E225" s="398" t="str">
        <f t="shared" si="88"/>
        <v/>
      </c>
      <c r="F225" s="398" t="str">
        <f t="shared" si="89"/>
        <v/>
      </c>
      <c r="G225" s="399" t="str">
        <f t="shared" si="90"/>
        <v>rumus</v>
      </c>
      <c r="H225" s="106" t="s">
        <v>26</v>
      </c>
      <c r="I225" s="119"/>
      <c r="J225" s="401" t="str">
        <f t="shared" si="91"/>
        <v>rumus</v>
      </c>
      <c r="K225" s="116"/>
      <c r="L225" s="116"/>
      <c r="M225" s="116"/>
    </row>
    <row r="226" spans="1:13" ht="15.75" customHeight="1" x14ac:dyDescent="0.2">
      <c r="A226" s="109">
        <v>5</v>
      </c>
      <c r="B226" s="397" t="s">
        <v>381</v>
      </c>
      <c r="C226" s="106" t="s">
        <v>355</v>
      </c>
      <c r="D226" s="106" t="str">
        <f t="shared" si="87"/>
        <v/>
      </c>
      <c r="E226" s="398" t="str">
        <f t="shared" si="88"/>
        <v/>
      </c>
      <c r="F226" s="398" t="str">
        <f t="shared" si="89"/>
        <v/>
      </c>
      <c r="G226" s="399" t="str">
        <f t="shared" si="90"/>
        <v>rumus</v>
      </c>
      <c r="H226" s="106" t="s">
        <v>26</v>
      </c>
      <c r="I226" s="119"/>
      <c r="J226" s="401" t="str">
        <f t="shared" si="91"/>
        <v>rumus</v>
      </c>
      <c r="K226" s="116"/>
      <c r="L226" s="116"/>
      <c r="M226" s="116"/>
    </row>
    <row r="227" spans="1:13" ht="15.75" customHeight="1" x14ac:dyDescent="0.2">
      <c r="A227" s="109">
        <v>6</v>
      </c>
      <c r="B227" s="397" t="s">
        <v>381</v>
      </c>
      <c r="C227" s="106" t="s">
        <v>312</v>
      </c>
      <c r="D227" s="106" t="str">
        <f t="shared" si="87"/>
        <v/>
      </c>
      <c r="E227" s="398" t="str">
        <f t="shared" si="88"/>
        <v/>
      </c>
      <c r="F227" s="398" t="str">
        <f t="shared" si="89"/>
        <v/>
      </c>
      <c r="G227" s="399" t="str">
        <f t="shared" si="90"/>
        <v>rumus</v>
      </c>
      <c r="H227" s="106" t="s">
        <v>26</v>
      </c>
      <c r="I227" s="119"/>
      <c r="J227" s="401" t="str">
        <f t="shared" si="91"/>
        <v>rumus</v>
      </c>
      <c r="K227" s="116"/>
      <c r="L227" s="116"/>
      <c r="M227" s="116"/>
    </row>
    <row r="228" spans="1:13" ht="15.75" customHeight="1" x14ac:dyDescent="0.2">
      <c r="A228" s="109">
        <v>7</v>
      </c>
      <c r="B228" s="397" t="s">
        <v>381</v>
      </c>
      <c r="C228" s="106" t="s">
        <v>317</v>
      </c>
      <c r="D228" s="106" t="str">
        <f t="shared" si="87"/>
        <v/>
      </c>
      <c r="E228" s="398" t="str">
        <f t="shared" si="88"/>
        <v/>
      </c>
      <c r="F228" s="398" t="str">
        <f t="shared" si="89"/>
        <v/>
      </c>
      <c r="G228" s="399" t="str">
        <f t="shared" si="90"/>
        <v>rumus</v>
      </c>
      <c r="H228" s="106" t="s">
        <v>26</v>
      </c>
      <c r="I228" s="119"/>
      <c r="J228" s="401" t="str">
        <f t="shared" si="91"/>
        <v>rumus</v>
      </c>
      <c r="K228" s="116"/>
      <c r="L228" s="116"/>
      <c r="M228" s="116"/>
    </row>
    <row r="229" spans="1:13" ht="15.75" customHeight="1" x14ac:dyDescent="0.2">
      <c r="A229" s="109">
        <v>8</v>
      </c>
      <c r="B229" s="397" t="s">
        <v>381</v>
      </c>
      <c r="C229" s="106" t="s">
        <v>319</v>
      </c>
      <c r="D229" s="106" t="str">
        <f t="shared" si="87"/>
        <v/>
      </c>
      <c r="E229" s="398" t="str">
        <f t="shared" si="88"/>
        <v/>
      </c>
      <c r="F229" s="398" t="str">
        <f t="shared" si="89"/>
        <v/>
      </c>
      <c r="G229" s="399" t="str">
        <f t="shared" si="90"/>
        <v>rumus</v>
      </c>
      <c r="H229" s="106" t="s">
        <v>26</v>
      </c>
      <c r="I229" s="119"/>
      <c r="J229" s="401" t="str">
        <f t="shared" si="91"/>
        <v>rumus</v>
      </c>
      <c r="K229" s="116"/>
      <c r="L229" s="116"/>
      <c r="M229" s="116"/>
    </row>
    <row r="230" spans="1:13" ht="15.75" customHeight="1" x14ac:dyDescent="0.2">
      <c r="A230" s="109">
        <v>9</v>
      </c>
      <c r="B230" s="397" t="s">
        <v>381</v>
      </c>
      <c r="C230" s="106" t="s">
        <v>321</v>
      </c>
      <c r="D230" s="106" t="str">
        <f t="shared" si="87"/>
        <v/>
      </c>
      <c r="E230" s="398" t="str">
        <f t="shared" si="88"/>
        <v/>
      </c>
      <c r="F230" s="398" t="str">
        <f t="shared" si="89"/>
        <v/>
      </c>
      <c r="G230" s="399" t="str">
        <f t="shared" si="90"/>
        <v>rumus</v>
      </c>
      <c r="H230" s="106" t="s">
        <v>26</v>
      </c>
      <c r="I230" s="119"/>
      <c r="J230" s="401" t="str">
        <f t="shared" si="91"/>
        <v>rumus</v>
      </c>
      <c r="K230" s="116"/>
      <c r="L230" s="116"/>
      <c r="M230" s="116"/>
    </row>
    <row r="231" spans="1:13" ht="15.75" customHeight="1" x14ac:dyDescent="0.2">
      <c r="A231" s="109">
        <v>10</v>
      </c>
      <c r="B231" s="397" t="s">
        <v>381</v>
      </c>
      <c r="C231" s="106" t="s">
        <v>324</v>
      </c>
      <c r="D231" s="106" t="str">
        <f t="shared" si="87"/>
        <v/>
      </c>
      <c r="E231" s="398" t="str">
        <f t="shared" si="88"/>
        <v/>
      </c>
      <c r="F231" s="398" t="str">
        <f t="shared" si="89"/>
        <v/>
      </c>
      <c r="G231" s="399" t="str">
        <f t="shared" si="90"/>
        <v>rumus</v>
      </c>
      <c r="H231" s="106" t="s">
        <v>26</v>
      </c>
      <c r="I231" s="119"/>
      <c r="J231" s="401" t="str">
        <f t="shared" si="91"/>
        <v>rumus</v>
      </c>
      <c r="K231" s="116"/>
      <c r="L231" s="116"/>
      <c r="M231" s="116"/>
    </row>
    <row r="232" spans="1:13" ht="15.75" customHeight="1" x14ac:dyDescent="0.2">
      <c r="A232" s="109">
        <v>11</v>
      </c>
      <c r="B232" s="397" t="s">
        <v>381</v>
      </c>
      <c r="C232" s="106" t="s">
        <v>327</v>
      </c>
      <c r="D232" s="106" t="str">
        <f t="shared" si="87"/>
        <v/>
      </c>
      <c r="E232" s="398" t="str">
        <f t="shared" si="88"/>
        <v/>
      </c>
      <c r="F232" s="398" t="str">
        <f t="shared" si="89"/>
        <v/>
      </c>
      <c r="G232" s="399" t="str">
        <f t="shared" si="90"/>
        <v>rumus</v>
      </c>
      <c r="H232" s="106" t="s">
        <v>26</v>
      </c>
      <c r="I232" s="119"/>
      <c r="J232" s="401" t="str">
        <f t="shared" si="91"/>
        <v>rumus</v>
      </c>
      <c r="K232" s="116"/>
      <c r="L232" s="116"/>
      <c r="M232" s="116"/>
    </row>
    <row r="233" spans="1:13" ht="15.75" customHeight="1" x14ac:dyDescent="0.2">
      <c r="A233" s="109">
        <v>12</v>
      </c>
      <c r="B233" s="397" t="s">
        <v>381</v>
      </c>
      <c r="C233" s="106" t="s">
        <v>331</v>
      </c>
      <c r="D233" s="106" t="str">
        <f t="shared" si="87"/>
        <v/>
      </c>
      <c r="E233" s="398" t="str">
        <f t="shared" si="88"/>
        <v/>
      </c>
      <c r="F233" s="398" t="str">
        <f t="shared" si="89"/>
        <v/>
      </c>
      <c r="G233" s="399" t="str">
        <f t="shared" si="90"/>
        <v>rumus</v>
      </c>
      <c r="H233" s="106" t="s">
        <v>26</v>
      </c>
      <c r="I233" s="119"/>
      <c r="J233" s="401" t="str">
        <f t="shared" si="91"/>
        <v>rumus</v>
      </c>
      <c r="K233" s="116"/>
      <c r="L233" s="116"/>
      <c r="M233" s="116"/>
    </row>
    <row r="234" spans="1:13" ht="15.75" customHeight="1" x14ac:dyDescent="0.25">
      <c r="A234" s="109"/>
      <c r="B234" s="620" t="s">
        <v>304</v>
      </c>
      <c r="C234" s="615"/>
      <c r="D234" s="616"/>
      <c r="E234" s="402"/>
      <c r="F234" s="402"/>
      <c r="G234" s="113">
        <f>SUM(K210:K234)</f>
        <v>0</v>
      </c>
      <c r="H234" s="114"/>
      <c r="I234" s="116"/>
      <c r="J234" s="116"/>
      <c r="K234" s="120">
        <f>SUM(J222:J233)</f>
        <v>0</v>
      </c>
      <c r="L234" s="116"/>
      <c r="M234" s="116"/>
    </row>
    <row r="235" spans="1:13" ht="15" customHeight="1" x14ac:dyDescent="0.2">
      <c r="A235" s="115" t="s">
        <v>70</v>
      </c>
      <c r="B235" s="414" t="s">
        <v>387</v>
      </c>
      <c r="C235" s="410"/>
      <c r="D235" s="410"/>
      <c r="E235" s="410"/>
      <c r="F235" s="410"/>
      <c r="G235" s="410"/>
      <c r="H235" s="411"/>
      <c r="I235" s="116"/>
      <c r="J235" s="116"/>
      <c r="K235" s="116"/>
      <c r="L235" s="116"/>
      <c r="M235" s="116"/>
    </row>
    <row r="236" spans="1:13" ht="15" customHeight="1" x14ac:dyDescent="0.2">
      <c r="A236" s="109"/>
      <c r="B236" s="406" t="s">
        <v>380</v>
      </c>
      <c r="C236" s="415"/>
      <c r="D236" s="415"/>
      <c r="E236" s="415"/>
      <c r="F236" s="415"/>
      <c r="G236" s="415"/>
      <c r="H236" s="416"/>
      <c r="I236" s="116"/>
      <c r="J236" s="116"/>
      <c r="K236" s="116"/>
      <c r="L236" s="116"/>
      <c r="M236" s="116"/>
    </row>
    <row r="237" spans="1:13" ht="15.75" customHeight="1" x14ac:dyDescent="0.2">
      <c r="A237" s="109">
        <v>1</v>
      </c>
      <c r="B237" s="397"/>
      <c r="C237" s="106" t="s">
        <v>382</v>
      </c>
      <c r="D237" s="106" t="str">
        <f t="shared" ref="D237:D248" si="92">IF(G237&lt;&gt;"rumus","Kegiatan","")</f>
        <v/>
      </c>
      <c r="E237" s="398" t="str">
        <f t="shared" ref="E237:E248" si="93">IF(I237&lt;&gt;"",1,"")</f>
        <v/>
      </c>
      <c r="F237" s="398" t="str">
        <f t="shared" ref="F237:F248" si="94">IF(I237&lt;&gt;"",1,"")</f>
        <v/>
      </c>
      <c r="G237" s="399" t="str">
        <f t="shared" ref="G237:G248" si="95">IF(J237&lt;&gt;"rumus","1 x "&amp;J237&amp;" = "&amp;J237,"rumus")</f>
        <v>rumus</v>
      </c>
      <c r="H237" s="106" t="s">
        <v>315</v>
      </c>
      <c r="I237" s="121"/>
      <c r="J237" s="401" t="str">
        <f t="shared" ref="J237:J248" si="96">IF(I237="Membimbing KKN/PKL/PKN/PKL per semester",1,"rumus")</f>
        <v>rumus</v>
      </c>
      <c r="K237" s="116"/>
      <c r="L237" s="116"/>
      <c r="M237" s="116"/>
    </row>
    <row r="238" spans="1:13" ht="15.75" customHeight="1" x14ac:dyDescent="0.2">
      <c r="A238" s="109">
        <v>2</v>
      </c>
      <c r="B238" s="397" t="s">
        <v>388</v>
      </c>
      <c r="C238" s="106" t="s">
        <v>383</v>
      </c>
      <c r="D238" s="106" t="str">
        <f t="shared" si="92"/>
        <v/>
      </c>
      <c r="E238" s="398" t="str">
        <f t="shared" si="93"/>
        <v/>
      </c>
      <c r="F238" s="398" t="str">
        <f t="shared" si="94"/>
        <v/>
      </c>
      <c r="G238" s="399" t="str">
        <f t="shared" si="95"/>
        <v>rumus</v>
      </c>
      <c r="H238" s="106" t="s">
        <v>26</v>
      </c>
      <c r="I238" s="121"/>
      <c r="J238" s="401" t="str">
        <f t="shared" si="96"/>
        <v>rumus</v>
      </c>
      <c r="K238" s="116"/>
      <c r="L238" s="116"/>
      <c r="M238" s="116"/>
    </row>
    <row r="239" spans="1:13" ht="15.75" customHeight="1" x14ac:dyDescent="0.2">
      <c r="A239" s="109">
        <v>3</v>
      </c>
      <c r="B239" s="397" t="s">
        <v>388</v>
      </c>
      <c r="C239" s="106" t="s">
        <v>384</v>
      </c>
      <c r="D239" s="106" t="str">
        <f t="shared" si="92"/>
        <v/>
      </c>
      <c r="E239" s="398" t="str">
        <f t="shared" si="93"/>
        <v/>
      </c>
      <c r="F239" s="398" t="str">
        <f t="shared" si="94"/>
        <v/>
      </c>
      <c r="G239" s="399" t="str">
        <f t="shared" si="95"/>
        <v>rumus</v>
      </c>
      <c r="H239" s="106" t="s">
        <v>26</v>
      </c>
      <c r="I239" s="121"/>
      <c r="J239" s="401" t="str">
        <f t="shared" si="96"/>
        <v>rumus</v>
      </c>
      <c r="K239" s="116"/>
      <c r="L239" s="116"/>
      <c r="M239" s="116"/>
    </row>
    <row r="240" spans="1:13" ht="15.75" customHeight="1" x14ac:dyDescent="0.2">
      <c r="A240" s="109">
        <v>4</v>
      </c>
      <c r="B240" s="397" t="s">
        <v>388</v>
      </c>
      <c r="C240" s="106" t="s">
        <v>385</v>
      </c>
      <c r="D240" s="106" t="str">
        <f t="shared" si="92"/>
        <v/>
      </c>
      <c r="E240" s="398" t="str">
        <f t="shared" si="93"/>
        <v/>
      </c>
      <c r="F240" s="398" t="str">
        <f t="shared" si="94"/>
        <v/>
      </c>
      <c r="G240" s="399" t="str">
        <f t="shared" si="95"/>
        <v>rumus</v>
      </c>
      <c r="H240" s="106" t="s">
        <v>26</v>
      </c>
      <c r="I240" s="121"/>
      <c r="J240" s="401" t="str">
        <f t="shared" si="96"/>
        <v>rumus</v>
      </c>
      <c r="K240" s="116"/>
      <c r="L240" s="116"/>
      <c r="M240" s="116"/>
    </row>
    <row r="241" spans="1:26" ht="15.75" customHeight="1" x14ac:dyDescent="0.2">
      <c r="A241" s="109">
        <v>5</v>
      </c>
      <c r="B241" s="397" t="s">
        <v>388</v>
      </c>
      <c r="C241" s="106" t="s">
        <v>355</v>
      </c>
      <c r="D241" s="106" t="str">
        <f t="shared" si="92"/>
        <v/>
      </c>
      <c r="E241" s="398" t="str">
        <f t="shared" si="93"/>
        <v/>
      </c>
      <c r="F241" s="398" t="str">
        <f t="shared" si="94"/>
        <v/>
      </c>
      <c r="G241" s="399" t="str">
        <f t="shared" si="95"/>
        <v>rumus</v>
      </c>
      <c r="H241" s="106" t="s">
        <v>26</v>
      </c>
      <c r="I241" s="121"/>
      <c r="J241" s="401" t="str">
        <f t="shared" si="96"/>
        <v>rumus</v>
      </c>
      <c r="K241" s="116"/>
      <c r="L241" s="116"/>
      <c r="M241" s="116"/>
    </row>
    <row r="242" spans="1:26" ht="15.75" customHeight="1" x14ac:dyDescent="0.2">
      <c r="A242" s="109">
        <v>6</v>
      </c>
      <c r="B242" s="397" t="s">
        <v>388</v>
      </c>
      <c r="C242" s="106" t="s">
        <v>312</v>
      </c>
      <c r="D242" s="106" t="str">
        <f t="shared" si="92"/>
        <v/>
      </c>
      <c r="E242" s="398" t="str">
        <f t="shared" si="93"/>
        <v/>
      </c>
      <c r="F242" s="398" t="str">
        <f t="shared" si="94"/>
        <v/>
      </c>
      <c r="G242" s="399" t="str">
        <f t="shared" si="95"/>
        <v>rumus</v>
      </c>
      <c r="H242" s="106" t="s">
        <v>26</v>
      </c>
      <c r="I242" s="121"/>
      <c r="J242" s="401" t="str">
        <f t="shared" si="96"/>
        <v>rumus</v>
      </c>
      <c r="K242" s="116"/>
      <c r="L242" s="116"/>
      <c r="M242" s="116"/>
    </row>
    <row r="243" spans="1:26" ht="15.75" customHeight="1" x14ac:dyDescent="0.2">
      <c r="A243" s="109">
        <v>7</v>
      </c>
      <c r="B243" s="397" t="s">
        <v>388</v>
      </c>
      <c r="C243" s="106" t="s">
        <v>317</v>
      </c>
      <c r="D243" s="106" t="str">
        <f t="shared" si="92"/>
        <v/>
      </c>
      <c r="E243" s="398" t="str">
        <f t="shared" si="93"/>
        <v/>
      </c>
      <c r="F243" s="398" t="str">
        <f t="shared" si="94"/>
        <v/>
      </c>
      <c r="G243" s="399" t="str">
        <f t="shared" si="95"/>
        <v>rumus</v>
      </c>
      <c r="H243" s="106" t="s">
        <v>26</v>
      </c>
      <c r="I243" s="121"/>
      <c r="J243" s="401" t="str">
        <f t="shared" si="96"/>
        <v>rumus</v>
      </c>
      <c r="K243" s="116"/>
      <c r="L243" s="116"/>
      <c r="M243" s="116"/>
    </row>
    <row r="244" spans="1:26" ht="15.75" customHeight="1" x14ac:dyDescent="0.2">
      <c r="A244" s="109">
        <v>8</v>
      </c>
      <c r="B244" s="397" t="s">
        <v>388</v>
      </c>
      <c r="C244" s="106" t="s">
        <v>319</v>
      </c>
      <c r="D244" s="106" t="str">
        <f t="shared" si="92"/>
        <v/>
      </c>
      <c r="E244" s="398" t="str">
        <f t="shared" si="93"/>
        <v/>
      </c>
      <c r="F244" s="398" t="str">
        <f t="shared" si="94"/>
        <v/>
      </c>
      <c r="G244" s="399" t="str">
        <f t="shared" si="95"/>
        <v>rumus</v>
      </c>
      <c r="H244" s="106" t="s">
        <v>26</v>
      </c>
      <c r="I244" s="121"/>
      <c r="J244" s="401" t="str">
        <f t="shared" si="96"/>
        <v>rumus</v>
      </c>
      <c r="K244" s="116"/>
      <c r="L244" s="116"/>
      <c r="M244" s="116"/>
    </row>
    <row r="245" spans="1:26" ht="15.75" customHeight="1" x14ac:dyDescent="0.2">
      <c r="A245" s="109">
        <v>9</v>
      </c>
      <c r="B245" s="397" t="s">
        <v>388</v>
      </c>
      <c r="C245" s="106" t="s">
        <v>321</v>
      </c>
      <c r="D245" s="106" t="str">
        <f t="shared" si="92"/>
        <v/>
      </c>
      <c r="E245" s="398" t="str">
        <f t="shared" si="93"/>
        <v/>
      </c>
      <c r="F245" s="398" t="str">
        <f t="shared" si="94"/>
        <v/>
      </c>
      <c r="G245" s="399" t="str">
        <f t="shared" si="95"/>
        <v>rumus</v>
      </c>
      <c r="H245" s="106" t="s">
        <v>26</v>
      </c>
      <c r="I245" s="121"/>
      <c r="J245" s="401" t="str">
        <f t="shared" si="96"/>
        <v>rumus</v>
      </c>
      <c r="K245" s="116"/>
      <c r="L245" s="116"/>
      <c r="M245" s="116"/>
    </row>
    <row r="246" spans="1:26" ht="15.75" customHeight="1" x14ac:dyDescent="0.2">
      <c r="A246" s="109">
        <v>10</v>
      </c>
      <c r="B246" s="397" t="s">
        <v>388</v>
      </c>
      <c r="C246" s="106" t="s">
        <v>324</v>
      </c>
      <c r="D246" s="106" t="str">
        <f t="shared" si="92"/>
        <v/>
      </c>
      <c r="E246" s="398" t="str">
        <f t="shared" si="93"/>
        <v/>
      </c>
      <c r="F246" s="398" t="str">
        <f t="shared" si="94"/>
        <v/>
      </c>
      <c r="G246" s="399" t="str">
        <f t="shared" si="95"/>
        <v>rumus</v>
      </c>
      <c r="H246" s="106" t="s">
        <v>26</v>
      </c>
      <c r="I246" s="121"/>
      <c r="J246" s="401" t="str">
        <f t="shared" si="96"/>
        <v>rumus</v>
      </c>
      <c r="K246" s="116"/>
      <c r="L246" s="116"/>
      <c r="M246" s="116"/>
    </row>
    <row r="247" spans="1:26" ht="15.75" customHeight="1" x14ac:dyDescent="0.2">
      <c r="A247" s="109">
        <v>11</v>
      </c>
      <c r="B247" s="397" t="s">
        <v>388</v>
      </c>
      <c r="C247" s="106" t="s">
        <v>327</v>
      </c>
      <c r="D247" s="106" t="str">
        <f t="shared" si="92"/>
        <v/>
      </c>
      <c r="E247" s="398" t="str">
        <f t="shared" si="93"/>
        <v/>
      </c>
      <c r="F247" s="398" t="str">
        <f t="shared" si="94"/>
        <v/>
      </c>
      <c r="G247" s="399" t="str">
        <f t="shared" si="95"/>
        <v>rumus</v>
      </c>
      <c r="H247" s="106" t="s">
        <v>26</v>
      </c>
      <c r="I247" s="121"/>
      <c r="J247" s="401" t="str">
        <f t="shared" si="96"/>
        <v>rumus</v>
      </c>
      <c r="K247" s="116"/>
      <c r="L247" s="116"/>
      <c r="M247" s="116"/>
    </row>
    <row r="248" spans="1:26" ht="15.75" customHeight="1" x14ac:dyDescent="0.2">
      <c r="A248" s="109">
        <v>12</v>
      </c>
      <c r="B248" s="397" t="s">
        <v>388</v>
      </c>
      <c r="C248" s="106" t="s">
        <v>331</v>
      </c>
      <c r="D248" s="106" t="str">
        <f t="shared" si="92"/>
        <v/>
      </c>
      <c r="E248" s="398" t="str">
        <f t="shared" si="93"/>
        <v/>
      </c>
      <c r="F248" s="398" t="str">
        <f t="shared" si="94"/>
        <v/>
      </c>
      <c r="G248" s="399" t="str">
        <f t="shared" si="95"/>
        <v>rumus</v>
      </c>
      <c r="H248" s="106" t="s">
        <v>26</v>
      </c>
      <c r="I248" s="121"/>
      <c r="J248" s="401" t="str">
        <f t="shared" si="96"/>
        <v>rumus</v>
      </c>
      <c r="K248" s="116"/>
      <c r="L248" s="116"/>
      <c r="M248" s="116"/>
    </row>
    <row r="249" spans="1:26" ht="15" customHeight="1" x14ac:dyDescent="0.2">
      <c r="A249" s="109"/>
      <c r="B249" s="406" t="s">
        <v>389</v>
      </c>
      <c r="C249" s="415"/>
      <c r="D249" s="407"/>
      <c r="E249" s="407"/>
      <c r="F249" s="407"/>
      <c r="G249" s="415"/>
      <c r="H249" s="416"/>
      <c r="I249" s="116"/>
      <c r="J249" s="116"/>
      <c r="K249" s="120">
        <f>SUM(J237:J248)</f>
        <v>0</v>
      </c>
      <c r="L249" s="116"/>
    </row>
    <row r="250" spans="1:26" ht="15.75" customHeight="1" x14ac:dyDescent="0.25">
      <c r="A250" s="109">
        <v>1</v>
      </c>
      <c r="B250" s="397" t="s">
        <v>388</v>
      </c>
      <c r="C250" s="106" t="s">
        <v>382</v>
      </c>
      <c r="D250" s="106" t="str">
        <f t="shared" ref="D250:D261" si="97">IF(G250&lt;&gt;"rumus","Kegiatan","")</f>
        <v/>
      </c>
      <c r="E250" s="398" t="str">
        <f t="shared" ref="E250:E261" si="98">IF(I250&lt;&gt;"",1,"")</f>
        <v/>
      </c>
      <c r="F250" s="398" t="str">
        <f t="shared" ref="F250:F261" si="99">IF(I250&lt;&gt;"",1,"")</f>
        <v/>
      </c>
      <c r="G250" s="399" t="str">
        <f t="shared" ref="G250:G261" si="100">IF(J250&lt;&gt;"rumus","1 x "&amp;J250&amp;" = "&amp;J250,"rumus")</f>
        <v>rumus</v>
      </c>
      <c r="H250" s="106" t="s">
        <v>315</v>
      </c>
      <c r="I250" s="121"/>
      <c r="J250" s="401" t="str">
        <f t="shared" ref="J250:J261" si="101">IF(I250="Membimbing KKN/PKL/PKN/PKL per semester",1,"rumus")</f>
        <v>rumus</v>
      </c>
      <c r="K250" s="116"/>
      <c r="L250" s="116"/>
      <c r="M250" s="116"/>
      <c r="N250" s="2"/>
      <c r="O250" s="2"/>
      <c r="P250" s="2"/>
      <c r="Q250" s="2"/>
      <c r="R250" s="2"/>
      <c r="S250" s="2"/>
      <c r="T250" s="2"/>
      <c r="U250" s="2"/>
      <c r="V250" s="2"/>
      <c r="W250" s="2"/>
      <c r="X250" s="2"/>
      <c r="Y250" s="2"/>
      <c r="Z250" s="2"/>
    </row>
    <row r="251" spans="1:26" ht="15.75" customHeight="1" x14ac:dyDescent="0.2">
      <c r="A251" s="109">
        <v>2</v>
      </c>
      <c r="B251" s="397" t="s">
        <v>388</v>
      </c>
      <c r="C251" s="106" t="s">
        <v>383</v>
      </c>
      <c r="D251" s="106" t="str">
        <f t="shared" si="97"/>
        <v/>
      </c>
      <c r="E251" s="398" t="str">
        <f t="shared" si="98"/>
        <v/>
      </c>
      <c r="F251" s="398" t="str">
        <f t="shared" si="99"/>
        <v/>
      </c>
      <c r="G251" s="399" t="str">
        <f t="shared" si="100"/>
        <v>rumus</v>
      </c>
      <c r="H251" s="106" t="s">
        <v>26</v>
      </c>
      <c r="I251" s="121"/>
      <c r="J251" s="401" t="str">
        <f t="shared" si="101"/>
        <v>rumus</v>
      </c>
      <c r="K251" s="116"/>
      <c r="L251" s="116"/>
      <c r="M251" s="116"/>
    </row>
    <row r="252" spans="1:26" ht="15.75" customHeight="1" x14ac:dyDescent="0.2">
      <c r="A252" s="109">
        <v>3</v>
      </c>
      <c r="B252" s="397" t="s">
        <v>388</v>
      </c>
      <c r="C252" s="106" t="s">
        <v>384</v>
      </c>
      <c r="D252" s="106" t="str">
        <f t="shared" si="97"/>
        <v/>
      </c>
      <c r="E252" s="398" t="str">
        <f t="shared" si="98"/>
        <v/>
      </c>
      <c r="F252" s="398" t="str">
        <f t="shared" si="99"/>
        <v/>
      </c>
      <c r="G252" s="399" t="str">
        <f t="shared" si="100"/>
        <v>rumus</v>
      </c>
      <c r="H252" s="106" t="s">
        <v>26</v>
      </c>
      <c r="I252" s="121"/>
      <c r="J252" s="401" t="str">
        <f t="shared" si="101"/>
        <v>rumus</v>
      </c>
      <c r="K252" s="116"/>
      <c r="L252" s="116"/>
      <c r="M252" s="116"/>
    </row>
    <row r="253" spans="1:26" ht="15.75" customHeight="1" x14ac:dyDescent="0.25">
      <c r="A253" s="109">
        <v>4</v>
      </c>
      <c r="B253" s="397" t="s">
        <v>388</v>
      </c>
      <c r="C253" s="106" t="s">
        <v>385</v>
      </c>
      <c r="D253" s="106" t="str">
        <f t="shared" si="97"/>
        <v/>
      </c>
      <c r="E253" s="398" t="str">
        <f t="shared" si="98"/>
        <v/>
      </c>
      <c r="F253" s="398" t="str">
        <f t="shared" si="99"/>
        <v/>
      </c>
      <c r="G253" s="399" t="str">
        <f t="shared" si="100"/>
        <v>rumus</v>
      </c>
      <c r="H253" s="106" t="s">
        <v>26</v>
      </c>
      <c r="I253" s="121"/>
      <c r="J253" s="401" t="str">
        <f t="shared" si="101"/>
        <v>rumus</v>
      </c>
      <c r="K253" s="116"/>
      <c r="L253" s="116"/>
      <c r="M253" s="116"/>
      <c r="N253" s="2"/>
      <c r="O253" s="2"/>
      <c r="P253" s="2"/>
      <c r="Q253" s="2"/>
      <c r="R253" s="2"/>
      <c r="S253" s="2"/>
      <c r="T253" s="2"/>
      <c r="U253" s="2"/>
      <c r="V253" s="2"/>
      <c r="W253" s="2"/>
      <c r="X253" s="2"/>
      <c r="Y253" s="2"/>
      <c r="Z253" s="2"/>
    </row>
    <row r="254" spans="1:26" ht="15.75" customHeight="1" x14ac:dyDescent="0.25">
      <c r="A254" s="109">
        <v>5</v>
      </c>
      <c r="B254" s="397" t="s">
        <v>388</v>
      </c>
      <c r="C254" s="106" t="s">
        <v>355</v>
      </c>
      <c r="D254" s="106" t="str">
        <f t="shared" si="97"/>
        <v/>
      </c>
      <c r="E254" s="398" t="str">
        <f t="shared" si="98"/>
        <v/>
      </c>
      <c r="F254" s="398" t="str">
        <f t="shared" si="99"/>
        <v/>
      </c>
      <c r="G254" s="399" t="str">
        <f t="shared" si="100"/>
        <v>rumus</v>
      </c>
      <c r="H254" s="106" t="s">
        <v>26</v>
      </c>
      <c r="I254" s="121"/>
      <c r="J254" s="401" t="str">
        <f t="shared" si="101"/>
        <v>rumus</v>
      </c>
      <c r="K254" s="116"/>
      <c r="L254" s="116"/>
      <c r="M254" s="116"/>
      <c r="N254" s="2"/>
      <c r="O254" s="2"/>
      <c r="P254" s="2"/>
      <c r="Q254" s="2"/>
      <c r="R254" s="2"/>
      <c r="S254" s="2"/>
      <c r="T254" s="2"/>
      <c r="U254" s="2"/>
      <c r="V254" s="2"/>
      <c r="W254" s="2"/>
      <c r="X254" s="2"/>
      <c r="Y254" s="2"/>
      <c r="Z254" s="2"/>
    </row>
    <row r="255" spans="1:26" ht="15.75" customHeight="1" x14ac:dyDescent="0.25">
      <c r="A255" s="109">
        <v>6</v>
      </c>
      <c r="B255" s="397" t="s">
        <v>388</v>
      </c>
      <c r="C255" s="106" t="s">
        <v>312</v>
      </c>
      <c r="D255" s="106" t="str">
        <f t="shared" si="97"/>
        <v/>
      </c>
      <c r="E255" s="398" t="str">
        <f t="shared" si="98"/>
        <v/>
      </c>
      <c r="F255" s="398" t="str">
        <f t="shared" si="99"/>
        <v/>
      </c>
      <c r="G255" s="399" t="str">
        <f t="shared" si="100"/>
        <v>rumus</v>
      </c>
      <c r="H255" s="106" t="s">
        <v>26</v>
      </c>
      <c r="I255" s="121"/>
      <c r="J255" s="401" t="str">
        <f t="shared" si="101"/>
        <v>rumus</v>
      </c>
      <c r="K255" s="116"/>
      <c r="L255" s="116"/>
      <c r="M255" s="116"/>
      <c r="N255" s="2"/>
      <c r="O255" s="2"/>
      <c r="P255" s="2"/>
      <c r="Q255" s="2"/>
      <c r="R255" s="2"/>
      <c r="S255" s="2"/>
      <c r="T255" s="2"/>
      <c r="U255" s="2"/>
      <c r="V255" s="2"/>
      <c r="W255" s="2"/>
      <c r="X255" s="2"/>
      <c r="Y255" s="2"/>
      <c r="Z255" s="2"/>
    </row>
    <row r="256" spans="1:26" ht="15.75" customHeight="1" x14ac:dyDescent="0.25">
      <c r="A256" s="109">
        <v>7</v>
      </c>
      <c r="B256" s="397" t="s">
        <v>388</v>
      </c>
      <c r="C256" s="106" t="s">
        <v>317</v>
      </c>
      <c r="D256" s="106" t="str">
        <f t="shared" si="97"/>
        <v/>
      </c>
      <c r="E256" s="398" t="str">
        <f t="shared" si="98"/>
        <v/>
      </c>
      <c r="F256" s="398" t="str">
        <f t="shared" si="99"/>
        <v/>
      </c>
      <c r="G256" s="399" t="str">
        <f t="shared" si="100"/>
        <v>rumus</v>
      </c>
      <c r="H256" s="106" t="s">
        <v>26</v>
      </c>
      <c r="I256" s="121"/>
      <c r="J256" s="401" t="str">
        <f t="shared" si="101"/>
        <v>rumus</v>
      </c>
      <c r="K256" s="116"/>
      <c r="L256" s="116"/>
      <c r="M256" s="116"/>
      <c r="N256" s="2"/>
      <c r="O256" s="2"/>
      <c r="P256" s="2"/>
      <c r="Q256" s="2"/>
      <c r="R256" s="2"/>
      <c r="S256" s="2"/>
      <c r="T256" s="2"/>
      <c r="U256" s="2"/>
      <c r="V256" s="2"/>
      <c r="W256" s="2"/>
      <c r="X256" s="2"/>
      <c r="Y256" s="2"/>
      <c r="Z256" s="2"/>
    </row>
    <row r="257" spans="1:26" ht="15.75" customHeight="1" x14ac:dyDescent="0.25">
      <c r="A257" s="109">
        <v>8</v>
      </c>
      <c r="B257" s="397" t="s">
        <v>388</v>
      </c>
      <c r="C257" s="106" t="s">
        <v>319</v>
      </c>
      <c r="D257" s="106" t="str">
        <f t="shared" si="97"/>
        <v/>
      </c>
      <c r="E257" s="398" t="str">
        <f t="shared" si="98"/>
        <v/>
      </c>
      <c r="F257" s="398" t="str">
        <f t="shared" si="99"/>
        <v/>
      </c>
      <c r="G257" s="399" t="str">
        <f t="shared" si="100"/>
        <v>rumus</v>
      </c>
      <c r="H257" s="106" t="s">
        <v>26</v>
      </c>
      <c r="I257" s="121"/>
      <c r="J257" s="401" t="str">
        <f t="shared" si="101"/>
        <v>rumus</v>
      </c>
      <c r="K257" s="116"/>
      <c r="L257" s="116"/>
      <c r="M257" s="116"/>
      <c r="N257" s="2"/>
      <c r="O257" s="2"/>
      <c r="P257" s="2"/>
      <c r="Q257" s="2"/>
      <c r="R257" s="2"/>
      <c r="S257" s="2"/>
      <c r="T257" s="2"/>
      <c r="U257" s="2"/>
      <c r="V257" s="2"/>
      <c r="W257" s="2"/>
      <c r="X257" s="2"/>
      <c r="Y257" s="2"/>
      <c r="Z257" s="2"/>
    </row>
    <row r="258" spans="1:26" ht="15.75" customHeight="1" x14ac:dyDescent="0.25">
      <c r="A258" s="109">
        <v>9</v>
      </c>
      <c r="B258" s="397" t="s">
        <v>388</v>
      </c>
      <c r="C258" s="106" t="s">
        <v>321</v>
      </c>
      <c r="D258" s="106" t="str">
        <f t="shared" si="97"/>
        <v/>
      </c>
      <c r="E258" s="398" t="str">
        <f t="shared" si="98"/>
        <v/>
      </c>
      <c r="F258" s="398" t="str">
        <f t="shared" si="99"/>
        <v/>
      </c>
      <c r="G258" s="399" t="str">
        <f t="shared" si="100"/>
        <v>rumus</v>
      </c>
      <c r="H258" s="106" t="s">
        <v>26</v>
      </c>
      <c r="I258" s="121"/>
      <c r="J258" s="401" t="str">
        <f t="shared" si="101"/>
        <v>rumus</v>
      </c>
      <c r="K258" s="116"/>
      <c r="L258" s="116"/>
      <c r="M258" s="116"/>
      <c r="N258" s="2"/>
      <c r="O258" s="2"/>
      <c r="P258" s="2"/>
      <c r="Q258" s="2"/>
      <c r="R258" s="2"/>
      <c r="S258" s="2"/>
      <c r="T258" s="2"/>
      <c r="U258" s="2"/>
      <c r="V258" s="2"/>
      <c r="W258" s="2"/>
      <c r="X258" s="2"/>
      <c r="Y258" s="2"/>
      <c r="Z258" s="2"/>
    </row>
    <row r="259" spans="1:26" ht="15.75" customHeight="1" x14ac:dyDescent="0.2">
      <c r="A259" s="109">
        <v>10</v>
      </c>
      <c r="B259" s="397" t="s">
        <v>388</v>
      </c>
      <c r="C259" s="106" t="s">
        <v>324</v>
      </c>
      <c r="D259" s="106" t="str">
        <f t="shared" si="97"/>
        <v/>
      </c>
      <c r="E259" s="398" t="str">
        <f t="shared" si="98"/>
        <v/>
      </c>
      <c r="F259" s="398" t="str">
        <f t="shared" si="99"/>
        <v/>
      </c>
      <c r="G259" s="399" t="str">
        <f t="shared" si="100"/>
        <v>rumus</v>
      </c>
      <c r="H259" s="106" t="s">
        <v>26</v>
      </c>
      <c r="I259" s="121"/>
      <c r="J259" s="401" t="str">
        <f t="shared" si="101"/>
        <v>rumus</v>
      </c>
      <c r="K259" s="116"/>
      <c r="L259" s="116"/>
      <c r="M259" s="116"/>
    </row>
    <row r="260" spans="1:26" ht="15.75" customHeight="1" x14ac:dyDescent="0.2">
      <c r="A260" s="109">
        <v>11</v>
      </c>
      <c r="B260" s="397" t="s">
        <v>388</v>
      </c>
      <c r="C260" s="106" t="s">
        <v>327</v>
      </c>
      <c r="D260" s="106" t="str">
        <f t="shared" si="97"/>
        <v/>
      </c>
      <c r="E260" s="398" t="str">
        <f t="shared" si="98"/>
        <v/>
      </c>
      <c r="F260" s="398" t="str">
        <f t="shared" si="99"/>
        <v/>
      </c>
      <c r="G260" s="399" t="str">
        <f t="shared" si="100"/>
        <v>rumus</v>
      </c>
      <c r="H260" s="106" t="s">
        <v>26</v>
      </c>
      <c r="I260" s="121"/>
      <c r="J260" s="401" t="str">
        <f t="shared" si="101"/>
        <v>rumus</v>
      </c>
      <c r="K260" s="116"/>
      <c r="L260" s="116"/>
      <c r="M260" s="116"/>
    </row>
    <row r="261" spans="1:26" ht="15.75" customHeight="1" x14ac:dyDescent="0.2">
      <c r="A261" s="109">
        <v>12</v>
      </c>
      <c r="B261" s="397" t="s">
        <v>388</v>
      </c>
      <c r="C261" s="106" t="s">
        <v>331</v>
      </c>
      <c r="D261" s="106" t="str">
        <f t="shared" si="97"/>
        <v/>
      </c>
      <c r="E261" s="398" t="str">
        <f t="shared" si="98"/>
        <v/>
      </c>
      <c r="F261" s="398" t="str">
        <f t="shared" si="99"/>
        <v/>
      </c>
      <c r="G261" s="399" t="str">
        <f t="shared" si="100"/>
        <v>rumus</v>
      </c>
      <c r="H261" s="106" t="s">
        <v>26</v>
      </c>
      <c r="I261" s="121"/>
      <c r="J261" s="401" t="str">
        <f t="shared" si="101"/>
        <v>rumus</v>
      </c>
      <c r="K261" s="116"/>
      <c r="L261" s="116"/>
      <c r="M261" s="116"/>
    </row>
    <row r="262" spans="1:26" ht="15.75" customHeight="1" x14ac:dyDescent="0.25">
      <c r="A262" s="109"/>
      <c r="B262" s="620" t="s">
        <v>304</v>
      </c>
      <c r="C262" s="615"/>
      <c r="D262" s="616"/>
      <c r="E262" s="402"/>
      <c r="F262" s="402"/>
      <c r="G262" s="113">
        <f>SUM(K239:K262)</f>
        <v>0</v>
      </c>
      <c r="H262" s="122"/>
      <c r="I262" s="116"/>
      <c r="J262" s="116"/>
      <c r="K262" s="120">
        <f>SUM(J250:J261)</f>
        <v>0</v>
      </c>
      <c r="L262" s="116"/>
      <c r="M262" s="116"/>
    </row>
    <row r="263" spans="1:26" ht="15" customHeight="1" x14ac:dyDescent="0.2">
      <c r="A263" s="115" t="s">
        <v>73</v>
      </c>
      <c r="B263" s="412" t="s">
        <v>390</v>
      </c>
      <c r="C263" s="407"/>
      <c r="D263" s="407"/>
      <c r="E263" s="407"/>
      <c r="F263" s="407"/>
      <c r="G263" s="407"/>
      <c r="H263" s="408"/>
      <c r="I263" s="116"/>
      <c r="J263" s="116"/>
      <c r="K263" s="116"/>
      <c r="L263" s="116"/>
      <c r="M263" s="116"/>
    </row>
    <row r="264" spans="1:26" ht="15" customHeight="1" x14ac:dyDescent="0.2">
      <c r="A264" s="109"/>
      <c r="B264" s="406" t="str">
        <f>"a. Semester Gasal "&amp;IF(C265&lt;&gt;"",C265,"")&amp;" :"</f>
        <v>a. Semester Gasal 2012/2013 :</v>
      </c>
      <c r="C264" s="415"/>
      <c r="D264" s="415"/>
      <c r="E264" s="415"/>
      <c r="F264" s="415"/>
      <c r="G264" s="415"/>
      <c r="H264" s="416"/>
      <c r="I264" s="116"/>
      <c r="J264" s="116"/>
      <c r="K264" s="116"/>
      <c r="L264" s="116"/>
      <c r="M264" s="116"/>
    </row>
    <row r="265" spans="1:26" ht="15" customHeight="1" x14ac:dyDescent="0.2">
      <c r="A265" s="109">
        <v>1</v>
      </c>
      <c r="B265" s="574" t="s">
        <v>391</v>
      </c>
      <c r="C265" s="572" t="s">
        <v>312</v>
      </c>
      <c r="D265" s="106" t="str">
        <f t="shared" ref="D265:D274" si="102">IF(G265&lt;&gt;"rumus","Lulusan","")</f>
        <v>Lulusan</v>
      </c>
      <c r="E265" s="398">
        <f t="shared" ref="E265:E274" si="103">IF(I265&lt;&gt;"",1,"")</f>
        <v>1</v>
      </c>
      <c r="F265" s="398">
        <f t="shared" ref="F265:F274" si="104">IF(I265&lt;&gt;"",K265,"")</f>
        <v>1</v>
      </c>
      <c r="G265" s="399" t="str">
        <f t="shared" ref="G265:G274" si="105">IF(K265&lt;&gt;"rumus","1 x "&amp;K265&amp;" = "&amp;K265,"rumus")</f>
        <v>1 x 1 = 1</v>
      </c>
      <c r="H265" s="106" t="s">
        <v>392</v>
      </c>
      <c r="I265" s="417" t="s">
        <v>393</v>
      </c>
      <c r="J265" s="417" t="s">
        <v>394</v>
      </c>
      <c r="K265" s="418">
        <f t="shared" ref="K265:K274" si="106">IF(AND(I265&lt;&gt;"",J265&lt;&gt;""),IF(I265="Pembimbing Utama",IF(J265="Disertasi",8,IF(J265="Tesis",3,IF(J265="Skripsi",1,IF(J265="Laporan akhir studi",1,"")))),IF(I265="Pembimbing Pendamping",IF(J265="Disertasi",6,IF(J265="Tesis",2,IF(J265="Skripsi",0.5,IF(J265="Laporan akhir studi",0.5,"")))))),"rumus")</f>
        <v>1</v>
      </c>
      <c r="L265" s="419" t="str">
        <f t="shared" ref="L265:L274" si="107">I265&amp;" "&amp;J265</f>
        <v>Pembimbing Utama Laporan akhir studi</v>
      </c>
      <c r="M265" s="116"/>
    </row>
    <row r="266" spans="1:26" ht="15" customHeight="1" x14ac:dyDescent="0.2">
      <c r="A266" s="109">
        <v>2</v>
      </c>
      <c r="B266" s="575" t="s">
        <v>395</v>
      </c>
      <c r="C266" s="572" t="s">
        <v>312</v>
      </c>
      <c r="D266" s="106" t="str">
        <f t="shared" si="102"/>
        <v>Lulusan</v>
      </c>
      <c r="E266" s="398">
        <f t="shared" si="103"/>
        <v>1</v>
      </c>
      <c r="F266" s="398">
        <f t="shared" si="104"/>
        <v>1</v>
      </c>
      <c r="G266" s="399" t="str">
        <f t="shared" si="105"/>
        <v>1 x 1 = 1</v>
      </c>
      <c r="H266" s="106" t="s">
        <v>396</v>
      </c>
      <c r="I266" s="417" t="s">
        <v>393</v>
      </c>
      <c r="J266" s="417" t="s">
        <v>394</v>
      </c>
      <c r="K266" s="418">
        <f t="shared" si="106"/>
        <v>1</v>
      </c>
      <c r="L266" s="419" t="str">
        <f t="shared" si="107"/>
        <v>Pembimbing Utama Laporan akhir studi</v>
      </c>
      <c r="M266" s="116"/>
    </row>
    <row r="267" spans="1:26" ht="15" customHeight="1" x14ac:dyDescent="0.2">
      <c r="A267" s="109">
        <v>3</v>
      </c>
      <c r="B267" s="575" t="s">
        <v>397</v>
      </c>
      <c r="C267" s="572" t="s">
        <v>312</v>
      </c>
      <c r="D267" s="106" t="str">
        <f t="shared" si="102"/>
        <v>Lulusan</v>
      </c>
      <c r="E267" s="398">
        <f t="shared" si="103"/>
        <v>1</v>
      </c>
      <c r="F267" s="398">
        <f t="shared" si="104"/>
        <v>1</v>
      </c>
      <c r="G267" s="399" t="str">
        <f t="shared" si="105"/>
        <v>1 x 1 = 1</v>
      </c>
      <c r="H267" s="106" t="s">
        <v>398</v>
      </c>
      <c r="I267" s="417" t="s">
        <v>393</v>
      </c>
      <c r="J267" s="417" t="s">
        <v>394</v>
      </c>
      <c r="K267" s="418">
        <f t="shared" si="106"/>
        <v>1</v>
      </c>
      <c r="L267" s="419" t="str">
        <f t="shared" si="107"/>
        <v>Pembimbing Utama Laporan akhir studi</v>
      </c>
      <c r="M267" s="116"/>
    </row>
    <row r="268" spans="1:26" ht="15" customHeight="1" x14ac:dyDescent="0.2">
      <c r="A268" s="109">
        <v>4</v>
      </c>
      <c r="B268" s="397" t="s">
        <v>399</v>
      </c>
      <c r="C268" s="572" t="s">
        <v>312</v>
      </c>
      <c r="D268" s="106" t="str">
        <f t="shared" si="102"/>
        <v/>
      </c>
      <c r="E268" s="398" t="str">
        <f t="shared" si="103"/>
        <v/>
      </c>
      <c r="F268" s="398" t="str">
        <f t="shared" si="104"/>
        <v/>
      </c>
      <c r="G268" s="399" t="str">
        <f t="shared" si="105"/>
        <v>rumus</v>
      </c>
      <c r="H268" s="114" t="s">
        <v>26</v>
      </c>
      <c r="I268" s="417"/>
      <c r="J268" s="417"/>
      <c r="K268" s="418" t="str">
        <f t="shared" si="106"/>
        <v>rumus</v>
      </c>
      <c r="L268" s="419" t="str">
        <f t="shared" si="107"/>
        <v xml:space="preserve"> </v>
      </c>
      <c r="M268" s="116"/>
    </row>
    <row r="269" spans="1:26" ht="15" customHeight="1" x14ac:dyDescent="0.2">
      <c r="A269" s="109">
        <v>5</v>
      </c>
      <c r="B269" s="397" t="s">
        <v>399</v>
      </c>
      <c r="C269" s="572" t="s">
        <v>312</v>
      </c>
      <c r="D269" s="106" t="str">
        <f t="shared" si="102"/>
        <v/>
      </c>
      <c r="E269" s="398" t="str">
        <f t="shared" si="103"/>
        <v/>
      </c>
      <c r="F269" s="398" t="str">
        <f t="shared" si="104"/>
        <v/>
      </c>
      <c r="G269" s="399" t="str">
        <f t="shared" si="105"/>
        <v>rumus</v>
      </c>
      <c r="H269" s="114" t="s">
        <v>26</v>
      </c>
      <c r="I269" s="417"/>
      <c r="J269" s="417"/>
      <c r="K269" s="418" t="str">
        <f t="shared" si="106"/>
        <v>rumus</v>
      </c>
      <c r="L269" s="419" t="str">
        <f t="shared" si="107"/>
        <v xml:space="preserve"> </v>
      </c>
      <c r="M269" s="116"/>
    </row>
    <row r="270" spans="1:26" ht="15" customHeight="1" x14ac:dyDescent="0.2">
      <c r="A270" s="109">
        <v>6</v>
      </c>
      <c r="B270" s="397" t="s">
        <v>399</v>
      </c>
      <c r="C270" s="572" t="s">
        <v>312</v>
      </c>
      <c r="D270" s="106" t="str">
        <f t="shared" si="102"/>
        <v/>
      </c>
      <c r="E270" s="398" t="str">
        <f t="shared" si="103"/>
        <v/>
      </c>
      <c r="F270" s="398" t="str">
        <f t="shared" si="104"/>
        <v/>
      </c>
      <c r="G270" s="399" t="str">
        <f t="shared" si="105"/>
        <v>rumus</v>
      </c>
      <c r="H270" s="114" t="s">
        <v>26</v>
      </c>
      <c r="I270" s="417"/>
      <c r="J270" s="417"/>
      <c r="K270" s="418" t="str">
        <f t="shared" si="106"/>
        <v>rumus</v>
      </c>
      <c r="L270" s="419" t="str">
        <f t="shared" si="107"/>
        <v xml:space="preserve"> </v>
      </c>
      <c r="M270" s="116"/>
    </row>
    <row r="271" spans="1:26" ht="15" customHeight="1" x14ac:dyDescent="0.2">
      <c r="A271" s="109">
        <v>7</v>
      </c>
      <c r="B271" s="397" t="s">
        <v>399</v>
      </c>
      <c r="C271" s="572" t="s">
        <v>312</v>
      </c>
      <c r="D271" s="106" t="str">
        <f t="shared" si="102"/>
        <v/>
      </c>
      <c r="E271" s="398" t="str">
        <f t="shared" si="103"/>
        <v/>
      </c>
      <c r="F271" s="398" t="str">
        <f t="shared" si="104"/>
        <v/>
      </c>
      <c r="G271" s="399" t="str">
        <f t="shared" si="105"/>
        <v>rumus</v>
      </c>
      <c r="H271" s="114" t="s">
        <v>26</v>
      </c>
      <c r="I271" s="417"/>
      <c r="J271" s="417"/>
      <c r="K271" s="418" t="str">
        <f t="shared" si="106"/>
        <v>rumus</v>
      </c>
      <c r="L271" s="419" t="str">
        <f t="shared" si="107"/>
        <v xml:space="preserve"> </v>
      </c>
      <c r="M271" s="116"/>
    </row>
    <row r="272" spans="1:26" ht="15" customHeight="1" x14ac:dyDescent="0.2">
      <c r="A272" s="109">
        <v>8</v>
      </c>
      <c r="B272" s="397" t="s">
        <v>399</v>
      </c>
      <c r="C272" s="572" t="s">
        <v>312</v>
      </c>
      <c r="D272" s="106" t="str">
        <f t="shared" si="102"/>
        <v/>
      </c>
      <c r="E272" s="398" t="str">
        <f t="shared" si="103"/>
        <v/>
      </c>
      <c r="F272" s="398" t="str">
        <f t="shared" si="104"/>
        <v/>
      </c>
      <c r="G272" s="399" t="str">
        <f t="shared" si="105"/>
        <v>rumus</v>
      </c>
      <c r="H272" s="114" t="s">
        <v>26</v>
      </c>
      <c r="I272" s="417"/>
      <c r="J272" s="417"/>
      <c r="K272" s="418" t="str">
        <f t="shared" si="106"/>
        <v>rumus</v>
      </c>
      <c r="L272" s="419" t="str">
        <f t="shared" si="107"/>
        <v xml:space="preserve"> </v>
      </c>
      <c r="M272" s="116"/>
    </row>
    <row r="273" spans="1:14" ht="15" customHeight="1" x14ac:dyDescent="0.2">
      <c r="A273" s="109">
        <v>9</v>
      </c>
      <c r="B273" s="397" t="s">
        <v>399</v>
      </c>
      <c r="C273" s="572" t="s">
        <v>312</v>
      </c>
      <c r="D273" s="106" t="str">
        <f t="shared" si="102"/>
        <v/>
      </c>
      <c r="E273" s="398" t="str">
        <f t="shared" si="103"/>
        <v/>
      </c>
      <c r="F273" s="398" t="str">
        <f t="shared" si="104"/>
        <v/>
      </c>
      <c r="G273" s="399" t="str">
        <f t="shared" si="105"/>
        <v>rumus</v>
      </c>
      <c r="H273" s="114" t="s">
        <v>26</v>
      </c>
      <c r="I273" s="417"/>
      <c r="J273" s="417"/>
      <c r="K273" s="418" t="str">
        <f t="shared" si="106"/>
        <v>rumus</v>
      </c>
      <c r="L273" s="419" t="str">
        <f t="shared" si="107"/>
        <v xml:space="preserve"> </v>
      </c>
      <c r="M273" s="116"/>
    </row>
    <row r="274" spans="1:14" ht="15" customHeight="1" x14ac:dyDescent="0.2">
      <c r="A274" s="109">
        <v>10</v>
      </c>
      <c r="B274" s="397" t="s">
        <v>399</v>
      </c>
      <c r="C274" s="572" t="s">
        <v>312</v>
      </c>
      <c r="D274" s="106" t="str">
        <f t="shared" si="102"/>
        <v/>
      </c>
      <c r="E274" s="398" t="str">
        <f t="shared" si="103"/>
        <v/>
      </c>
      <c r="F274" s="398" t="str">
        <f t="shared" si="104"/>
        <v/>
      </c>
      <c r="G274" s="399" t="str">
        <f t="shared" si="105"/>
        <v>rumus</v>
      </c>
      <c r="H274" s="114" t="s">
        <v>26</v>
      </c>
      <c r="I274" s="417"/>
      <c r="J274" s="417"/>
      <c r="K274" s="418" t="str">
        <f t="shared" si="106"/>
        <v>rumus</v>
      </c>
      <c r="L274" s="419" t="str">
        <f t="shared" si="107"/>
        <v xml:space="preserve"> </v>
      </c>
      <c r="M274" s="116"/>
    </row>
    <row r="275" spans="1:14" ht="15.75" customHeight="1" x14ac:dyDescent="0.2">
      <c r="A275" s="109"/>
      <c r="B275" s="406" t="str">
        <f>"a. Semester Gasal "&amp;IF(C276&lt;&gt;"",C276,"")&amp;" :"</f>
        <v>a. Semester Gasal 2013/2014 :</v>
      </c>
      <c r="C275" s="415"/>
      <c r="D275" s="415"/>
      <c r="E275" s="415"/>
      <c r="F275" s="415"/>
      <c r="G275" s="415"/>
      <c r="H275" s="416"/>
      <c r="I275" s="116"/>
      <c r="M275" s="118">
        <f>IF(IF((COUNTIF(L265:L274,"Pembimbing Utama Laporan akhir studi"))&lt;=10,(SUMIF(L265:L274,"Pembimbing Utama Laporan akhir studi",K265:K274)),1*10)+IF((COUNTIF(L265:L274,"Pembimbing Pendamping Laporan akhir studi"))&lt;=10,(SUMIF(L265:L274,"Pembimbing Pendamping Laporan akhir studi",K265:K274)),0.5*10)+IF((COUNTIF(L265:L274,"Pembimbing Utama Skripsi"))&lt;=8,(SUMIF(L265:L274,"Pembimbing Utama Skripsi",K265:K274)),1*8)+IF((COUNTIF(L265:L274,"Pembimbing Pendamping Skripsi"))&lt;=8,(SUMIF(L265:L274,"Pembimbing Pendamping Skripsi",K265:K274)),1*8)+IF((COUNTIF(L265:L274,"Pembimbing Utama Tesis"))&lt;=6,(SUMIF(L265:L274,"Pembimbing Utama Tesis",K265:K274)),3*6)+IF((COUNTIF(L265:L274,"Pembimbing Pendamping Tesis"))&lt;=6,(SUMIF(L265:L274,"Pembimbing Pendamping Tesis",K265:K274)),2*6)+IF((COUNTIF(L265:L274,"Pembimbing Utama Disertasi"))&lt;=4,(SUMIF(L265:L274,"Pembimbing Utama Disertasi",K265:K274)),8*4)+IF((COUNTIF(L265:L274,"Pembimbing Pendamping Disertasi"))&lt;=4,(SUMIF(L265:L274,"Pembimbing Pendamping Disertasi",K265:K274)),6*4)&lt;=32,IF((COUNTIF(L265:L274,"Pembimbing Utama Laporan akhir studi"))&lt;=10,(SUMIF(L265:L274,"Pembimbing Utama Laporan akhir studi",K265:K274)),1*10)+IF((COUNTIF(L265:L274,"Pembimbing Pendamping Laporan akhir studi"))&lt;=10,(SUMIF(L265:L274,"Pembimbing Pendamping Laporan akhir studi",K265:K274)),0.5*10)+IF((COUNTIF(L265:L274,"Pembimbing Utama Skripsi"))&lt;=8,(SUMIF(L265:L274,"Pembimbing Utama Skripsi",K265:K274)),1*8)+IF((COUNTIF(L265:L274,"Pembimbing Pendamping Skripsi"))&lt;=8,(SUMIF(L265:L274,"Pembimbing Pendamping Skripsi",K265:K274)),1*8)+IF((COUNTIF(L265:L274,"Pembimbing Utama Tesis"))&lt;=6,(SUMIF(L265:L274,"Pembimbing Utama Tesis",K265:K274)),3*6)+IF((COUNTIF(L265:L274,"Pembimbing Pendamping Tesis"))&lt;=6,(SUMIF(L265:L274,"Pembimbing Pendamping Tesis",K265:K274)),2*6)+IF((COUNTIF(L265:L274,"Pembimbing Utama Disertasi"))&lt;=4,(SUMIF(L265:L274,"Pembimbing Utama Disertasi",K265:K274)),8*4)+IF((COUNTIF(L265:L274,"Pembimbing Pendamping Disertasi"))&lt;=4,(SUMIF(L265:L274,"Pembimbing Pendamping Disertasi",K265:K274)),6*4),32)</f>
        <v>3</v>
      </c>
      <c r="N275" s="103" t="str">
        <f>"Max 32"</f>
        <v>Max 32</v>
      </c>
    </row>
    <row r="276" spans="1:14" ht="15" customHeight="1" x14ac:dyDescent="0.2">
      <c r="A276" s="109">
        <v>1</v>
      </c>
      <c r="B276" s="574" t="s">
        <v>400</v>
      </c>
      <c r="C276" s="106" t="s">
        <v>317</v>
      </c>
      <c r="D276" s="106" t="str">
        <f t="shared" ref="D276:D285" si="108">IF(G276&lt;&gt;"rumus","Lulusan","")</f>
        <v>Lulusan</v>
      </c>
      <c r="E276" s="398">
        <f t="shared" ref="E276:E285" si="109">IF(I276&lt;&gt;"",1,"")</f>
        <v>1</v>
      </c>
      <c r="F276" s="398">
        <f t="shared" ref="F276:F285" si="110">IF(I276&lt;&gt;"",K276,"")</f>
        <v>0.5</v>
      </c>
      <c r="G276" s="399" t="str">
        <f t="shared" ref="G276:G285" si="111">IF(K276&lt;&gt;"rumus","1 x "&amp;K276&amp;" = "&amp;K276,"rumus")</f>
        <v>1 x 0.5 = 0.5</v>
      </c>
      <c r="H276" s="106" t="s">
        <v>401</v>
      </c>
      <c r="I276" s="417" t="s">
        <v>402</v>
      </c>
      <c r="J276" s="417" t="s">
        <v>394</v>
      </c>
      <c r="K276" s="418">
        <f t="shared" ref="K276:K285" si="112">IF(AND(I276&lt;&gt;"",J276&lt;&gt;""),IF(I276="Pembimbing Utama",IF(J276="Disertasi",8,IF(J276="Tesis",3,IF(J276="Skripsi",1,IF(J276="Laporan akhir studi",1,"")))),IF(I276="Pembimbing Pendamping",IF(J276="Disertasi",6,IF(J276="Tesis",2,IF(J276="Skripsi",0.5,IF(J276="Laporan akhir studi",0.5,"")))))),"rumus")</f>
        <v>0.5</v>
      </c>
      <c r="L276" s="419" t="str">
        <f t="shared" ref="L276:L285" si="113">I276&amp;" "&amp;J276</f>
        <v>Pembimbing Pendamping Laporan akhir studi</v>
      </c>
      <c r="M276" s="116"/>
    </row>
    <row r="277" spans="1:14" ht="15" customHeight="1" x14ac:dyDescent="0.2">
      <c r="A277" s="109">
        <v>2</v>
      </c>
      <c r="B277" s="575" t="s">
        <v>395</v>
      </c>
      <c r="C277" s="106" t="s">
        <v>317</v>
      </c>
      <c r="D277" s="106" t="str">
        <f t="shared" si="108"/>
        <v>Lulusan</v>
      </c>
      <c r="E277" s="398">
        <f t="shared" si="109"/>
        <v>1</v>
      </c>
      <c r="F277" s="398">
        <f t="shared" si="110"/>
        <v>1</v>
      </c>
      <c r="G277" s="399" t="str">
        <f t="shared" si="111"/>
        <v>1 x 1 = 1</v>
      </c>
      <c r="H277" s="106" t="s">
        <v>403</v>
      </c>
      <c r="I277" s="417" t="s">
        <v>393</v>
      </c>
      <c r="J277" s="417" t="s">
        <v>394</v>
      </c>
      <c r="K277" s="418">
        <f t="shared" si="112"/>
        <v>1</v>
      </c>
      <c r="L277" s="419" t="str">
        <f t="shared" si="113"/>
        <v>Pembimbing Utama Laporan akhir studi</v>
      </c>
      <c r="M277" s="116"/>
    </row>
    <row r="278" spans="1:14" ht="15" customHeight="1" x14ac:dyDescent="0.2">
      <c r="A278" s="109">
        <v>3</v>
      </c>
      <c r="B278" s="575" t="s">
        <v>404</v>
      </c>
      <c r="C278" s="106" t="s">
        <v>317</v>
      </c>
      <c r="D278" s="106" t="str">
        <f t="shared" si="108"/>
        <v>Lulusan</v>
      </c>
      <c r="E278" s="398">
        <f t="shared" si="109"/>
        <v>1</v>
      </c>
      <c r="F278" s="398">
        <f t="shared" si="110"/>
        <v>1</v>
      </c>
      <c r="G278" s="399" t="str">
        <f t="shared" si="111"/>
        <v>1 x 1 = 1</v>
      </c>
      <c r="H278" s="106" t="s">
        <v>405</v>
      </c>
      <c r="I278" s="417" t="s">
        <v>393</v>
      </c>
      <c r="J278" s="417" t="s">
        <v>394</v>
      </c>
      <c r="K278" s="418">
        <f t="shared" si="112"/>
        <v>1</v>
      </c>
      <c r="L278" s="419" t="str">
        <f t="shared" si="113"/>
        <v>Pembimbing Utama Laporan akhir studi</v>
      </c>
      <c r="M278" s="116"/>
    </row>
    <row r="279" spans="1:14" ht="15" customHeight="1" x14ac:dyDescent="0.2">
      <c r="A279" s="109">
        <v>4</v>
      </c>
      <c r="B279" s="575" t="s">
        <v>406</v>
      </c>
      <c r="C279" s="106" t="s">
        <v>317</v>
      </c>
      <c r="D279" s="106" t="str">
        <f t="shared" si="108"/>
        <v>Lulusan</v>
      </c>
      <c r="E279" s="398">
        <f t="shared" si="109"/>
        <v>1</v>
      </c>
      <c r="F279" s="398">
        <f t="shared" si="110"/>
        <v>1</v>
      </c>
      <c r="G279" s="399" t="str">
        <f t="shared" si="111"/>
        <v>1 x 1 = 1</v>
      </c>
      <c r="H279" s="106" t="s">
        <v>407</v>
      </c>
      <c r="I279" s="417" t="s">
        <v>393</v>
      </c>
      <c r="J279" s="417" t="s">
        <v>394</v>
      </c>
      <c r="K279" s="418">
        <f t="shared" si="112"/>
        <v>1</v>
      </c>
      <c r="L279" s="419" t="str">
        <f t="shared" si="113"/>
        <v>Pembimbing Utama Laporan akhir studi</v>
      </c>
      <c r="M279" s="116"/>
    </row>
    <row r="280" spans="1:14" ht="15" customHeight="1" x14ac:dyDescent="0.2">
      <c r="A280" s="109">
        <v>5</v>
      </c>
      <c r="B280" s="575" t="s">
        <v>408</v>
      </c>
      <c r="C280" s="106" t="s">
        <v>317</v>
      </c>
      <c r="D280" s="106" t="str">
        <f t="shared" si="108"/>
        <v>Lulusan</v>
      </c>
      <c r="E280" s="398">
        <f t="shared" si="109"/>
        <v>1</v>
      </c>
      <c r="F280" s="398">
        <f t="shared" si="110"/>
        <v>1</v>
      </c>
      <c r="G280" s="399" t="str">
        <f t="shared" si="111"/>
        <v>1 x 1 = 1</v>
      </c>
      <c r="H280" s="106" t="s">
        <v>409</v>
      </c>
      <c r="I280" s="417" t="s">
        <v>393</v>
      </c>
      <c r="J280" s="417" t="s">
        <v>394</v>
      </c>
      <c r="K280" s="418">
        <f t="shared" si="112"/>
        <v>1</v>
      </c>
      <c r="L280" s="419" t="str">
        <f t="shared" si="113"/>
        <v>Pembimbing Utama Laporan akhir studi</v>
      </c>
      <c r="M280" s="116"/>
    </row>
    <row r="281" spans="1:14" ht="15" customHeight="1" x14ac:dyDescent="0.2">
      <c r="A281" s="109">
        <v>6</v>
      </c>
      <c r="B281" s="397" t="s">
        <v>399</v>
      </c>
      <c r="C281" s="106" t="s">
        <v>382</v>
      </c>
      <c r="D281" s="106" t="str">
        <f t="shared" si="108"/>
        <v/>
      </c>
      <c r="E281" s="398" t="str">
        <f t="shared" si="109"/>
        <v/>
      </c>
      <c r="F281" s="398" t="str">
        <f t="shared" si="110"/>
        <v/>
      </c>
      <c r="G281" s="399" t="str">
        <f t="shared" si="111"/>
        <v>rumus</v>
      </c>
      <c r="H281" s="114" t="s">
        <v>26</v>
      </c>
      <c r="I281" s="417"/>
      <c r="J281" s="417"/>
      <c r="K281" s="418" t="str">
        <f t="shared" si="112"/>
        <v>rumus</v>
      </c>
      <c r="L281" s="419" t="str">
        <f t="shared" si="113"/>
        <v xml:space="preserve"> </v>
      </c>
      <c r="M281" s="116"/>
    </row>
    <row r="282" spans="1:14" ht="15" customHeight="1" x14ac:dyDescent="0.2">
      <c r="A282" s="109">
        <v>7</v>
      </c>
      <c r="B282" s="397" t="s">
        <v>399</v>
      </c>
      <c r="C282" s="106" t="s">
        <v>382</v>
      </c>
      <c r="D282" s="106" t="str">
        <f t="shared" si="108"/>
        <v/>
      </c>
      <c r="E282" s="398" t="str">
        <f t="shared" si="109"/>
        <v/>
      </c>
      <c r="F282" s="398" t="str">
        <f t="shared" si="110"/>
        <v/>
      </c>
      <c r="G282" s="399" t="str">
        <f t="shared" si="111"/>
        <v>rumus</v>
      </c>
      <c r="H282" s="114" t="s">
        <v>26</v>
      </c>
      <c r="I282" s="417"/>
      <c r="J282" s="417"/>
      <c r="K282" s="418" t="str">
        <f t="shared" si="112"/>
        <v>rumus</v>
      </c>
      <c r="L282" s="419" t="str">
        <f t="shared" si="113"/>
        <v xml:space="preserve"> </v>
      </c>
      <c r="M282" s="116"/>
    </row>
    <row r="283" spans="1:14" ht="15" customHeight="1" x14ac:dyDescent="0.2">
      <c r="A283" s="109">
        <v>8</v>
      </c>
      <c r="B283" s="397" t="s">
        <v>399</v>
      </c>
      <c r="C283" s="106" t="s">
        <v>382</v>
      </c>
      <c r="D283" s="106" t="str">
        <f t="shared" si="108"/>
        <v/>
      </c>
      <c r="E283" s="398" t="str">
        <f t="shared" si="109"/>
        <v/>
      </c>
      <c r="F283" s="398" t="str">
        <f t="shared" si="110"/>
        <v/>
      </c>
      <c r="G283" s="399" t="str">
        <f t="shared" si="111"/>
        <v>rumus</v>
      </c>
      <c r="H283" s="114" t="s">
        <v>26</v>
      </c>
      <c r="I283" s="417"/>
      <c r="J283" s="417"/>
      <c r="K283" s="418" t="str">
        <f t="shared" si="112"/>
        <v>rumus</v>
      </c>
      <c r="L283" s="419" t="str">
        <f t="shared" si="113"/>
        <v xml:space="preserve"> </v>
      </c>
      <c r="M283" s="116"/>
    </row>
    <row r="284" spans="1:14" ht="15" customHeight="1" x14ac:dyDescent="0.2">
      <c r="A284" s="109">
        <v>9</v>
      </c>
      <c r="B284" s="397" t="s">
        <v>399</v>
      </c>
      <c r="C284" s="106" t="s">
        <v>382</v>
      </c>
      <c r="D284" s="106" t="str">
        <f t="shared" si="108"/>
        <v/>
      </c>
      <c r="E284" s="398" t="str">
        <f t="shared" si="109"/>
        <v/>
      </c>
      <c r="F284" s="398" t="str">
        <f t="shared" si="110"/>
        <v/>
      </c>
      <c r="G284" s="399" t="str">
        <f t="shared" si="111"/>
        <v>rumus</v>
      </c>
      <c r="H284" s="114" t="s">
        <v>26</v>
      </c>
      <c r="I284" s="417"/>
      <c r="J284" s="417"/>
      <c r="K284" s="418" t="str">
        <f t="shared" si="112"/>
        <v>rumus</v>
      </c>
      <c r="L284" s="419" t="str">
        <f t="shared" si="113"/>
        <v xml:space="preserve"> </v>
      </c>
      <c r="M284" s="116"/>
    </row>
    <row r="285" spans="1:14" ht="15" customHeight="1" x14ac:dyDescent="0.2">
      <c r="A285" s="109">
        <v>10</v>
      </c>
      <c r="B285" s="397" t="s">
        <v>399</v>
      </c>
      <c r="C285" s="106" t="s">
        <v>382</v>
      </c>
      <c r="D285" s="106" t="str">
        <f t="shared" si="108"/>
        <v/>
      </c>
      <c r="E285" s="398" t="str">
        <f t="shared" si="109"/>
        <v/>
      </c>
      <c r="F285" s="398" t="str">
        <f t="shared" si="110"/>
        <v/>
      </c>
      <c r="G285" s="399" t="str">
        <f t="shared" si="111"/>
        <v>rumus</v>
      </c>
      <c r="H285" s="114" t="s">
        <v>26</v>
      </c>
      <c r="I285" s="417"/>
      <c r="J285" s="417"/>
      <c r="K285" s="418" t="str">
        <f t="shared" si="112"/>
        <v>rumus</v>
      </c>
      <c r="L285" s="419" t="str">
        <f t="shared" si="113"/>
        <v xml:space="preserve"> </v>
      </c>
      <c r="M285" s="116"/>
    </row>
    <row r="286" spans="1:14" ht="15.75" customHeight="1" x14ac:dyDescent="0.2">
      <c r="A286" s="109"/>
      <c r="B286" s="406" t="str">
        <f>"a. Semester Gasal "&amp;IF(C287&lt;&gt;"",C287,"")&amp;" :"</f>
        <v>a. Semester Gasal 2016/2017 :</v>
      </c>
      <c r="C286" s="415"/>
      <c r="D286" s="415"/>
      <c r="E286" s="415"/>
      <c r="F286" s="415"/>
      <c r="G286" s="415"/>
      <c r="H286" s="416"/>
      <c r="I286" s="116"/>
      <c r="M286" s="118">
        <f>IF(IF((COUNTIF(L276:L285,"Pembimbing Utama Laporan akhir studi"))&lt;=10,(SUMIF(L276:L285,"Pembimbing Utama Laporan akhir studi",K276:K285)),1*10)+IF((COUNTIF(L276:L285,"Pembimbing Pendamping Laporan akhir studi"))&lt;=10,(SUMIF(L276:L285,"Pembimbing Pendamping Laporan akhir studi",K276:K285)),0.5*10)+IF((COUNTIF(L276:L285,"Pembimbing Utama Skripsi"))&lt;=8,(SUMIF(L276:L285,"Pembimbing Utama Skripsi",K276:K285)),1*8)+IF((COUNTIF(L276:L285,"Pembimbing Pendamping Skripsi"))&lt;=8,(SUMIF(L276:L285,"Pembimbing Pendamping Skripsi",K276:K285)),1*8)+IF((COUNTIF(L276:L285,"Pembimbing Utama Tesis"))&lt;=6,(SUMIF(L276:L285,"Pembimbing Utama Tesis",K276:K285)),3*6)+IF((COUNTIF(L276:L285,"Pembimbing Pendamping Tesis"))&lt;=6,(SUMIF(L276:L285,"Pembimbing Pendamping Tesis",K276:K285)),2*6)+IF((COUNTIF(L276:L285,"Pembimbing Utama Disertasi"))&lt;=4,(SUMIF(L276:L285,"Pembimbing Utama Disertasi",K276:K285)),8*4)+IF((COUNTIF(L276:L285,"Pembimbing Pendamping Disertasi"))&lt;=4,(SUMIF(L276:L285,"Pembimbing Pendamping Disertasi",K276:K285)),6*4)&lt;=32,IF((COUNTIF(L276:L285,"Pembimbing Utama Laporan akhir studi"))&lt;=10,(SUMIF(L276:L285,"Pembimbing Utama Laporan akhir studi",K276:K285)),1*10)+IF((COUNTIF(L276:L285,"Pembimbing Pendamping Laporan akhir studi"))&lt;=10,(SUMIF(L276:L285,"Pembimbing Pendamping Laporan akhir studi",K276:K285)),0.5*10)+IF((COUNTIF(L276:L285,"Pembimbing Utama Skripsi"))&lt;=8,(SUMIF(L276:L285,"Pembimbing Utama Skripsi",K276:K285)),1*8)+IF((COUNTIF(L276:L285,"Pembimbing Pendamping Skripsi"))&lt;=8,(SUMIF(L276:L285,"Pembimbing Pendamping Skripsi",K276:K285)),1*8)+IF((COUNTIF(L276:L285,"Pembimbing Utama Tesis"))&lt;=6,(SUMIF(L276:L285,"Pembimbing Utama Tesis",K276:K285)),3*6)+IF((COUNTIF(L276:L285,"Pembimbing Pendamping Tesis"))&lt;=6,(SUMIF(L276:L285,"Pembimbing Pendamping Tesis",K276:K285)),2*6)+IF((COUNTIF(L276:L285,"Pembimbing Utama Disertasi"))&lt;=4,(SUMIF(L276:L285,"Pembimbing Utama Disertasi",K276:K285)),8*4)+IF((COUNTIF(L276:L285,"Pembimbing Pendamping Disertasi"))&lt;=4,(SUMIF(L276:L285,"Pembimbing Pendamping Disertasi",K276:K285)),6*4),32)</f>
        <v>4.5</v>
      </c>
      <c r="N286" s="103" t="str">
        <f>"Max 32"</f>
        <v>Max 32</v>
      </c>
    </row>
    <row r="287" spans="1:14" ht="15" customHeight="1" x14ac:dyDescent="0.2">
      <c r="A287" s="109">
        <v>1</v>
      </c>
      <c r="B287" s="574" t="s">
        <v>410</v>
      </c>
      <c r="C287" s="576" t="s">
        <v>324</v>
      </c>
      <c r="D287" s="106" t="str">
        <f t="shared" ref="D287:D296" si="114">IF(G287&lt;&gt;"rumus","Lulusan","")</f>
        <v>Lulusan</v>
      </c>
      <c r="E287" s="398">
        <f t="shared" ref="E287:E296" si="115">IF(I287&lt;&gt;"",1,"")</f>
        <v>1</v>
      </c>
      <c r="F287" s="398">
        <f t="shared" ref="F287:F296" si="116">IF(I287&lt;&gt;"",K287,"")</f>
        <v>1</v>
      </c>
      <c r="G287" s="399" t="str">
        <f t="shared" ref="G287:G296" si="117">IF(K287&lt;&gt;"rumus","1 x "&amp;K287&amp;" = "&amp;K287,"rumus")</f>
        <v>1 x 1 = 1</v>
      </c>
      <c r="H287" s="106" t="s">
        <v>411</v>
      </c>
      <c r="I287" s="577" t="s">
        <v>393</v>
      </c>
      <c r="J287" s="577" t="s">
        <v>394</v>
      </c>
      <c r="K287" s="418">
        <f t="shared" ref="K287:K296" si="118">IF(AND(I287&lt;&gt;"",J287&lt;&gt;""),IF(I287="Pembimbing Utama",IF(J287="Disertasi",8,IF(J287="Tesis",3,IF(J287="Skripsi",1,IF(J287="Laporan akhir studi",1,"")))),IF(I287="Pembimbing Pendamping",IF(J287="Disertasi",6,IF(J287="Tesis",2,IF(J287="Skripsi",0.5,IF(J287="Laporan akhir studi",0.5,"")))))),"rumus")</f>
        <v>1</v>
      </c>
      <c r="L287" s="419" t="str">
        <f t="shared" ref="L287:L296" si="119">I287&amp;" "&amp;J287</f>
        <v>Pembimbing Utama Laporan akhir studi</v>
      </c>
      <c r="M287" s="116"/>
    </row>
    <row r="288" spans="1:14" ht="15" customHeight="1" x14ac:dyDescent="0.2">
      <c r="A288" s="109">
        <v>2</v>
      </c>
      <c r="B288" s="575" t="s">
        <v>412</v>
      </c>
      <c r="C288" s="576" t="s">
        <v>324</v>
      </c>
      <c r="D288" s="106" t="str">
        <f t="shared" si="114"/>
        <v>Lulusan</v>
      </c>
      <c r="E288" s="398">
        <f t="shared" si="115"/>
        <v>1</v>
      </c>
      <c r="F288" s="398">
        <f t="shared" si="116"/>
        <v>1</v>
      </c>
      <c r="G288" s="399" t="str">
        <f t="shared" si="117"/>
        <v>1 x 1 = 1</v>
      </c>
      <c r="H288" s="106" t="s">
        <v>413</v>
      </c>
      <c r="I288" s="577" t="s">
        <v>393</v>
      </c>
      <c r="J288" s="577" t="s">
        <v>394</v>
      </c>
      <c r="K288" s="418">
        <f t="shared" si="118"/>
        <v>1</v>
      </c>
      <c r="L288" s="419" t="str">
        <f t="shared" si="119"/>
        <v>Pembimbing Utama Laporan akhir studi</v>
      </c>
      <c r="M288" s="116"/>
    </row>
    <row r="289" spans="1:14" ht="15" customHeight="1" x14ac:dyDescent="0.2">
      <c r="A289" s="109">
        <v>3</v>
      </c>
      <c r="B289" s="575" t="s">
        <v>414</v>
      </c>
      <c r="C289" s="576" t="s">
        <v>324</v>
      </c>
      <c r="D289" s="106" t="str">
        <f t="shared" si="114"/>
        <v>Lulusan</v>
      </c>
      <c r="E289" s="398">
        <f t="shared" si="115"/>
        <v>1</v>
      </c>
      <c r="F289" s="398">
        <f t="shared" si="116"/>
        <v>0.5</v>
      </c>
      <c r="G289" s="399" t="str">
        <f t="shared" si="117"/>
        <v>1 x 0.5 = 0.5</v>
      </c>
      <c r="H289" s="106" t="s">
        <v>415</v>
      </c>
      <c r="I289" s="577" t="s">
        <v>402</v>
      </c>
      <c r="J289" s="577" t="s">
        <v>394</v>
      </c>
      <c r="K289" s="418">
        <f t="shared" si="118"/>
        <v>0.5</v>
      </c>
      <c r="L289" s="419" t="str">
        <f t="shared" si="119"/>
        <v>Pembimbing Pendamping Laporan akhir studi</v>
      </c>
      <c r="M289" s="116"/>
    </row>
    <row r="290" spans="1:14" ht="15" customHeight="1" x14ac:dyDescent="0.2">
      <c r="A290" s="109">
        <v>4</v>
      </c>
      <c r="B290" s="575" t="s">
        <v>416</v>
      </c>
      <c r="C290" s="576" t="s">
        <v>324</v>
      </c>
      <c r="D290" s="106" t="str">
        <f t="shared" si="114"/>
        <v>Lulusan</v>
      </c>
      <c r="E290" s="398">
        <f t="shared" si="115"/>
        <v>1</v>
      </c>
      <c r="F290" s="398">
        <f t="shared" si="116"/>
        <v>1</v>
      </c>
      <c r="G290" s="399" t="str">
        <f t="shared" si="117"/>
        <v>1 x 1 = 1</v>
      </c>
      <c r="H290" s="106" t="s">
        <v>417</v>
      </c>
      <c r="I290" s="577" t="s">
        <v>393</v>
      </c>
      <c r="J290" s="577" t="s">
        <v>394</v>
      </c>
      <c r="K290" s="418">
        <f t="shared" si="118"/>
        <v>1</v>
      </c>
      <c r="L290" s="419" t="str">
        <f t="shared" si="119"/>
        <v>Pembimbing Utama Laporan akhir studi</v>
      </c>
      <c r="M290" s="116"/>
    </row>
    <row r="291" spans="1:14" ht="15" customHeight="1" x14ac:dyDescent="0.2">
      <c r="A291" s="109">
        <v>5</v>
      </c>
      <c r="B291" s="575" t="s">
        <v>418</v>
      </c>
      <c r="C291" s="576" t="s">
        <v>324</v>
      </c>
      <c r="D291" s="106" t="str">
        <f t="shared" si="114"/>
        <v>Lulusan</v>
      </c>
      <c r="E291" s="398">
        <f t="shared" si="115"/>
        <v>1</v>
      </c>
      <c r="F291" s="398">
        <f t="shared" si="116"/>
        <v>1</v>
      </c>
      <c r="G291" s="399" t="str">
        <f t="shared" si="117"/>
        <v>1 x 1 = 1</v>
      </c>
      <c r="H291" s="106" t="s">
        <v>419</v>
      </c>
      <c r="I291" s="577" t="s">
        <v>393</v>
      </c>
      <c r="J291" s="577" t="s">
        <v>394</v>
      </c>
      <c r="K291" s="418">
        <f t="shared" si="118"/>
        <v>1</v>
      </c>
      <c r="L291" s="419" t="str">
        <f t="shared" si="119"/>
        <v>Pembimbing Utama Laporan akhir studi</v>
      </c>
      <c r="M291" s="116"/>
    </row>
    <row r="292" spans="1:14" ht="15" customHeight="1" x14ac:dyDescent="0.2">
      <c r="A292" s="109">
        <v>6</v>
      </c>
      <c r="B292" s="397" t="s">
        <v>399</v>
      </c>
      <c r="C292" s="576" t="s">
        <v>324</v>
      </c>
      <c r="D292" s="106" t="str">
        <f t="shared" si="114"/>
        <v/>
      </c>
      <c r="E292" s="398" t="str">
        <f t="shared" si="115"/>
        <v/>
      </c>
      <c r="F292" s="398" t="str">
        <f t="shared" si="116"/>
        <v/>
      </c>
      <c r="G292" s="399" t="str">
        <f t="shared" si="117"/>
        <v>rumus</v>
      </c>
      <c r="H292" s="114" t="s">
        <v>26</v>
      </c>
      <c r="I292" s="417"/>
      <c r="J292" s="417"/>
      <c r="K292" s="418" t="str">
        <f t="shared" si="118"/>
        <v>rumus</v>
      </c>
      <c r="L292" s="419" t="str">
        <f t="shared" si="119"/>
        <v xml:space="preserve"> </v>
      </c>
      <c r="M292" s="116"/>
    </row>
    <row r="293" spans="1:14" ht="15" customHeight="1" x14ac:dyDescent="0.2">
      <c r="A293" s="109">
        <v>7</v>
      </c>
      <c r="B293" s="397" t="s">
        <v>399</v>
      </c>
      <c r="C293" s="576" t="s">
        <v>324</v>
      </c>
      <c r="D293" s="106" t="str">
        <f t="shared" si="114"/>
        <v/>
      </c>
      <c r="E293" s="398" t="str">
        <f t="shared" si="115"/>
        <v/>
      </c>
      <c r="F293" s="398" t="str">
        <f t="shared" si="116"/>
        <v/>
      </c>
      <c r="G293" s="399" t="str">
        <f t="shared" si="117"/>
        <v>rumus</v>
      </c>
      <c r="H293" s="114" t="s">
        <v>26</v>
      </c>
      <c r="I293" s="417"/>
      <c r="J293" s="417"/>
      <c r="K293" s="418" t="str">
        <f t="shared" si="118"/>
        <v>rumus</v>
      </c>
      <c r="L293" s="419" t="str">
        <f t="shared" si="119"/>
        <v xml:space="preserve"> </v>
      </c>
      <c r="M293" s="116"/>
    </row>
    <row r="294" spans="1:14" ht="15" customHeight="1" x14ac:dyDescent="0.2">
      <c r="A294" s="109">
        <v>8</v>
      </c>
      <c r="B294" s="397" t="s">
        <v>399</v>
      </c>
      <c r="C294" s="576" t="s">
        <v>324</v>
      </c>
      <c r="D294" s="106" t="str">
        <f t="shared" si="114"/>
        <v/>
      </c>
      <c r="E294" s="398" t="str">
        <f t="shared" si="115"/>
        <v/>
      </c>
      <c r="F294" s="398" t="str">
        <f t="shared" si="116"/>
        <v/>
      </c>
      <c r="G294" s="399" t="str">
        <f t="shared" si="117"/>
        <v>rumus</v>
      </c>
      <c r="H294" s="114" t="s">
        <v>26</v>
      </c>
      <c r="I294" s="417"/>
      <c r="J294" s="417"/>
      <c r="K294" s="418" t="str">
        <f t="shared" si="118"/>
        <v>rumus</v>
      </c>
      <c r="L294" s="419" t="str">
        <f t="shared" si="119"/>
        <v xml:space="preserve"> </v>
      </c>
      <c r="M294" s="116"/>
    </row>
    <row r="295" spans="1:14" ht="15" customHeight="1" x14ac:dyDescent="0.2">
      <c r="A295" s="109">
        <v>9</v>
      </c>
      <c r="B295" s="397" t="s">
        <v>399</v>
      </c>
      <c r="C295" s="576" t="s">
        <v>324</v>
      </c>
      <c r="D295" s="106" t="str">
        <f t="shared" si="114"/>
        <v/>
      </c>
      <c r="E295" s="398" t="str">
        <f t="shared" si="115"/>
        <v/>
      </c>
      <c r="F295" s="398" t="str">
        <f t="shared" si="116"/>
        <v/>
      </c>
      <c r="G295" s="399" t="str">
        <f t="shared" si="117"/>
        <v>rumus</v>
      </c>
      <c r="H295" s="114" t="s">
        <v>26</v>
      </c>
      <c r="I295" s="417"/>
      <c r="J295" s="417"/>
      <c r="K295" s="418" t="str">
        <f t="shared" si="118"/>
        <v>rumus</v>
      </c>
      <c r="L295" s="419" t="str">
        <f t="shared" si="119"/>
        <v xml:space="preserve"> </v>
      </c>
      <c r="M295" s="116"/>
    </row>
    <row r="296" spans="1:14" ht="15" customHeight="1" x14ac:dyDescent="0.2">
      <c r="A296" s="109">
        <v>10</v>
      </c>
      <c r="B296" s="397" t="s">
        <v>399</v>
      </c>
      <c r="C296" s="576" t="s">
        <v>324</v>
      </c>
      <c r="D296" s="106" t="str">
        <f t="shared" si="114"/>
        <v/>
      </c>
      <c r="E296" s="398" t="str">
        <f t="shared" si="115"/>
        <v/>
      </c>
      <c r="F296" s="398" t="str">
        <f t="shared" si="116"/>
        <v/>
      </c>
      <c r="G296" s="399" t="str">
        <f t="shared" si="117"/>
        <v>rumus</v>
      </c>
      <c r="H296" s="114" t="s">
        <v>26</v>
      </c>
      <c r="I296" s="417"/>
      <c r="J296" s="417"/>
      <c r="K296" s="418" t="str">
        <f t="shared" si="118"/>
        <v>rumus</v>
      </c>
      <c r="L296" s="419" t="str">
        <f t="shared" si="119"/>
        <v xml:space="preserve"> </v>
      </c>
      <c r="M296" s="116"/>
    </row>
    <row r="297" spans="1:14" ht="15.75" customHeight="1" x14ac:dyDescent="0.2">
      <c r="A297" s="109"/>
      <c r="B297" s="406" t="str">
        <f>"a. Semester Gasal "&amp;IF(C298&lt;&gt;"",C298,"")&amp;" :"</f>
        <v>a. Semester Gasal 2017/2018 :</v>
      </c>
      <c r="C297" s="415"/>
      <c r="D297" s="415"/>
      <c r="E297" s="415"/>
      <c r="F297" s="415"/>
      <c r="G297" s="415"/>
      <c r="H297" s="416"/>
      <c r="I297" s="116"/>
      <c r="M297" s="118">
        <f>IF(IF((COUNTIF(L287:L296,"Pembimbing Utama Laporan akhir studi"))&lt;=10,(SUMIF(L287:L296,"Pembimbing Utama Laporan akhir studi",K287:K296)),1*10)+IF((COUNTIF(L287:L296,"Pembimbing Pendamping Laporan akhir studi"))&lt;=10,(SUMIF(L287:L296,"Pembimbing Pendamping Laporan akhir studi",K287:K296)),0.5*10)+IF((COUNTIF(L287:L296,"Pembimbing Utama Skripsi"))&lt;=8,(SUMIF(L287:L296,"Pembimbing Utama Skripsi",K287:K296)),1*8)+IF((COUNTIF(L287:L296,"Pembimbing Pendamping Skripsi"))&lt;=8,(SUMIF(L287:L296,"Pembimbing Pendamping Skripsi",K287:K296)),1*8)+IF((COUNTIF(L287:L296,"Pembimbing Utama Tesis"))&lt;=6,(SUMIF(L287:L296,"Pembimbing Utama Tesis",K287:K296)),3*6)+IF((COUNTIF(L287:L296,"Pembimbing Pendamping Tesis"))&lt;=6,(SUMIF(L287:L296,"Pembimbing Pendamping Tesis",K287:K296)),2*6)+IF((COUNTIF(L287:L296,"Pembimbing Utama Disertasi"))&lt;=4,(SUMIF(L287:L296,"Pembimbing Utama Disertasi",K287:K296)),8*4)+IF((COUNTIF(L287:L296,"Pembimbing Pendamping Disertasi"))&lt;=4,(SUMIF(L287:L296,"Pembimbing Pendamping Disertasi",K287:K296)),6*4)&lt;=32,IF((COUNTIF(L287:L296,"Pembimbing Utama Laporan akhir studi"))&lt;=10,(SUMIF(L287:L296,"Pembimbing Utama Laporan akhir studi",K287:K296)),1*10)+IF((COUNTIF(L287:L296,"Pembimbing Pendamping Laporan akhir studi"))&lt;=10,(SUMIF(L287:L296,"Pembimbing Pendamping Laporan akhir studi",K287:K296)),0.5*10)+IF((COUNTIF(L287:L296,"Pembimbing Utama Skripsi"))&lt;=8,(SUMIF(L287:L296,"Pembimbing Utama Skripsi",K287:K296)),1*8)+IF((COUNTIF(L287:L296,"Pembimbing Pendamping Skripsi"))&lt;=8,(SUMIF(L287:L296,"Pembimbing Pendamping Skripsi",K287:K296)),1*8)+IF((COUNTIF(L287:L296,"Pembimbing Utama Tesis"))&lt;=6,(SUMIF(L287:L296,"Pembimbing Utama Tesis",K287:K296)),3*6)+IF((COUNTIF(L287:L296,"Pembimbing Pendamping Tesis"))&lt;=6,(SUMIF(L287:L296,"Pembimbing Pendamping Tesis",K287:K296)),2*6)+IF((COUNTIF(L287:L296,"Pembimbing Utama Disertasi"))&lt;=4,(SUMIF(L287:L296,"Pembimbing Utama Disertasi",K287:K296)),8*4)+IF((COUNTIF(L287:L296,"Pembimbing Pendamping Disertasi"))&lt;=4,(SUMIF(L287:L296,"Pembimbing Pendamping Disertasi",K287:K296)),6*4),32)</f>
        <v>4.5</v>
      </c>
      <c r="N297" s="103" t="str">
        <f>"Max 32"</f>
        <v>Max 32</v>
      </c>
    </row>
    <row r="298" spans="1:14" ht="15" customHeight="1" x14ac:dyDescent="0.2">
      <c r="A298" s="109">
        <v>1</v>
      </c>
      <c r="B298" s="574" t="s">
        <v>420</v>
      </c>
      <c r="C298" s="576" t="s">
        <v>327</v>
      </c>
      <c r="D298" s="106" t="str">
        <f t="shared" ref="D298:D307" si="120">IF(G298&lt;&gt;"rumus","Lulusan","")</f>
        <v>Lulusan</v>
      </c>
      <c r="E298" s="398">
        <f t="shared" ref="E298:E307" si="121">IF(I298&lt;&gt;"",1,"")</f>
        <v>1</v>
      </c>
      <c r="F298" s="398">
        <f t="shared" ref="F298:F307" si="122">IF(I298&lt;&gt;"",K298,"")</f>
        <v>0.5</v>
      </c>
      <c r="G298" s="399" t="str">
        <f t="shared" ref="G298:G307" si="123">IF(K298&lt;&gt;"rumus","1 x "&amp;K298&amp;" = "&amp;K298,"rumus")</f>
        <v>1 x 0.5 = 0.5</v>
      </c>
      <c r="H298" s="106" t="s">
        <v>421</v>
      </c>
      <c r="I298" s="577" t="s">
        <v>402</v>
      </c>
      <c r="J298" s="577" t="s">
        <v>394</v>
      </c>
      <c r="K298" s="418">
        <f t="shared" ref="K298:K307" si="124">IF(AND(I298&lt;&gt;"",J298&lt;&gt;""),IF(I298="Pembimbing Utama",IF(J298="Disertasi",8,IF(J298="Tesis",3,IF(J298="Skripsi",1,IF(J298="Laporan akhir studi",1,"")))),IF(I298="Pembimbing Pendamping",IF(J298="Disertasi",6,IF(J298="Tesis",2,IF(J298="Skripsi",0.5,IF(J298="Laporan akhir studi",0.5,"")))))),"rumus")</f>
        <v>0.5</v>
      </c>
      <c r="L298" s="419" t="str">
        <f t="shared" ref="L298:L307" si="125">I298&amp;" "&amp;J298</f>
        <v>Pembimbing Pendamping Laporan akhir studi</v>
      </c>
      <c r="M298" s="116"/>
    </row>
    <row r="299" spans="1:14" ht="15" customHeight="1" x14ac:dyDescent="0.2">
      <c r="A299" s="109">
        <v>2</v>
      </c>
      <c r="B299" s="575" t="s">
        <v>422</v>
      </c>
      <c r="C299" s="576" t="s">
        <v>327</v>
      </c>
      <c r="D299" s="106" t="str">
        <f t="shared" si="120"/>
        <v>Lulusan</v>
      </c>
      <c r="E299" s="398">
        <f t="shared" si="121"/>
        <v>1</v>
      </c>
      <c r="F299" s="398">
        <f t="shared" si="122"/>
        <v>1</v>
      </c>
      <c r="G299" s="399" t="str">
        <f t="shared" si="123"/>
        <v>1 x 1 = 1</v>
      </c>
      <c r="H299" s="106" t="s">
        <v>423</v>
      </c>
      <c r="I299" s="577" t="s">
        <v>393</v>
      </c>
      <c r="J299" s="577" t="s">
        <v>394</v>
      </c>
      <c r="K299" s="418">
        <f t="shared" si="124"/>
        <v>1</v>
      </c>
      <c r="L299" s="419" t="str">
        <f t="shared" si="125"/>
        <v>Pembimbing Utama Laporan akhir studi</v>
      </c>
      <c r="M299" s="116"/>
    </row>
    <row r="300" spans="1:14" ht="15" customHeight="1" x14ac:dyDescent="0.2">
      <c r="A300" s="109">
        <v>3</v>
      </c>
      <c r="B300" s="575" t="s">
        <v>424</v>
      </c>
      <c r="C300" s="576" t="s">
        <v>327</v>
      </c>
      <c r="D300" s="106" t="str">
        <f t="shared" si="120"/>
        <v>Lulusan</v>
      </c>
      <c r="E300" s="398">
        <f t="shared" si="121"/>
        <v>1</v>
      </c>
      <c r="F300" s="398">
        <f t="shared" si="122"/>
        <v>0.5</v>
      </c>
      <c r="G300" s="399" t="str">
        <f t="shared" si="123"/>
        <v>1 x 0.5 = 0.5</v>
      </c>
      <c r="H300" s="106" t="s">
        <v>425</v>
      </c>
      <c r="I300" s="577" t="s">
        <v>402</v>
      </c>
      <c r="J300" s="577" t="s">
        <v>394</v>
      </c>
      <c r="K300" s="418">
        <f t="shared" si="124"/>
        <v>0.5</v>
      </c>
      <c r="L300" s="419" t="str">
        <f t="shared" si="125"/>
        <v>Pembimbing Pendamping Laporan akhir studi</v>
      </c>
      <c r="M300" s="116"/>
    </row>
    <row r="301" spans="1:14" ht="15" customHeight="1" x14ac:dyDescent="0.2">
      <c r="A301" s="109">
        <v>4</v>
      </c>
      <c r="B301" s="397" t="s">
        <v>399</v>
      </c>
      <c r="C301" s="576" t="s">
        <v>327</v>
      </c>
      <c r="D301" s="106" t="str">
        <f t="shared" si="120"/>
        <v/>
      </c>
      <c r="E301" s="398" t="str">
        <f t="shared" si="121"/>
        <v/>
      </c>
      <c r="F301" s="398" t="str">
        <f t="shared" si="122"/>
        <v/>
      </c>
      <c r="G301" s="399" t="str">
        <f t="shared" si="123"/>
        <v>rumus</v>
      </c>
      <c r="H301" s="114" t="s">
        <v>26</v>
      </c>
      <c r="I301" s="417"/>
      <c r="J301" s="417"/>
      <c r="K301" s="418" t="str">
        <f t="shared" si="124"/>
        <v>rumus</v>
      </c>
      <c r="L301" s="419" t="str">
        <f t="shared" si="125"/>
        <v xml:space="preserve"> </v>
      </c>
      <c r="M301" s="116"/>
    </row>
    <row r="302" spans="1:14" ht="15" customHeight="1" x14ac:dyDescent="0.2">
      <c r="A302" s="109">
        <v>5</v>
      </c>
      <c r="B302" s="397" t="s">
        <v>399</v>
      </c>
      <c r="C302" s="576" t="s">
        <v>327</v>
      </c>
      <c r="D302" s="106" t="str">
        <f t="shared" si="120"/>
        <v/>
      </c>
      <c r="E302" s="398" t="str">
        <f t="shared" si="121"/>
        <v/>
      </c>
      <c r="F302" s="398" t="str">
        <f t="shared" si="122"/>
        <v/>
      </c>
      <c r="G302" s="399" t="str">
        <f t="shared" si="123"/>
        <v>rumus</v>
      </c>
      <c r="H302" s="114" t="s">
        <v>26</v>
      </c>
      <c r="I302" s="417"/>
      <c r="J302" s="417"/>
      <c r="K302" s="418" t="str">
        <f t="shared" si="124"/>
        <v>rumus</v>
      </c>
      <c r="L302" s="419" t="str">
        <f t="shared" si="125"/>
        <v xml:space="preserve"> </v>
      </c>
      <c r="M302" s="116"/>
    </row>
    <row r="303" spans="1:14" ht="15" customHeight="1" x14ac:dyDescent="0.2">
      <c r="A303" s="109">
        <v>6</v>
      </c>
      <c r="B303" s="397" t="s">
        <v>399</v>
      </c>
      <c r="C303" s="576" t="s">
        <v>327</v>
      </c>
      <c r="D303" s="106" t="str">
        <f t="shared" si="120"/>
        <v/>
      </c>
      <c r="E303" s="398" t="str">
        <f t="shared" si="121"/>
        <v/>
      </c>
      <c r="F303" s="398" t="str">
        <f t="shared" si="122"/>
        <v/>
      </c>
      <c r="G303" s="399" t="str">
        <f t="shared" si="123"/>
        <v>rumus</v>
      </c>
      <c r="H303" s="114" t="s">
        <v>26</v>
      </c>
      <c r="I303" s="417"/>
      <c r="J303" s="417"/>
      <c r="K303" s="418" t="str">
        <f t="shared" si="124"/>
        <v>rumus</v>
      </c>
      <c r="L303" s="419" t="str">
        <f t="shared" si="125"/>
        <v xml:space="preserve"> </v>
      </c>
      <c r="M303" s="116"/>
    </row>
    <row r="304" spans="1:14" ht="15" customHeight="1" x14ac:dyDescent="0.2">
      <c r="A304" s="109">
        <v>7</v>
      </c>
      <c r="B304" s="397" t="s">
        <v>399</v>
      </c>
      <c r="C304" s="576" t="s">
        <v>327</v>
      </c>
      <c r="D304" s="106" t="str">
        <f t="shared" si="120"/>
        <v/>
      </c>
      <c r="E304" s="398" t="str">
        <f t="shared" si="121"/>
        <v/>
      </c>
      <c r="F304" s="398" t="str">
        <f t="shared" si="122"/>
        <v/>
      </c>
      <c r="G304" s="399" t="str">
        <f t="shared" si="123"/>
        <v>rumus</v>
      </c>
      <c r="H304" s="114" t="s">
        <v>26</v>
      </c>
      <c r="I304" s="417"/>
      <c r="J304" s="417"/>
      <c r="K304" s="418" t="str">
        <f t="shared" si="124"/>
        <v>rumus</v>
      </c>
      <c r="L304" s="419" t="str">
        <f t="shared" si="125"/>
        <v xml:space="preserve"> </v>
      </c>
      <c r="M304" s="116"/>
    </row>
    <row r="305" spans="1:14" ht="15" customHeight="1" x14ac:dyDescent="0.2">
      <c r="A305" s="109">
        <v>8</v>
      </c>
      <c r="B305" s="397" t="s">
        <v>399</v>
      </c>
      <c r="C305" s="576" t="s">
        <v>327</v>
      </c>
      <c r="D305" s="106" t="str">
        <f t="shared" si="120"/>
        <v/>
      </c>
      <c r="E305" s="398" t="str">
        <f t="shared" si="121"/>
        <v/>
      </c>
      <c r="F305" s="398" t="str">
        <f t="shared" si="122"/>
        <v/>
      </c>
      <c r="G305" s="399" t="str">
        <f t="shared" si="123"/>
        <v>rumus</v>
      </c>
      <c r="H305" s="114" t="s">
        <v>26</v>
      </c>
      <c r="I305" s="417"/>
      <c r="J305" s="417"/>
      <c r="K305" s="418" t="str">
        <f t="shared" si="124"/>
        <v>rumus</v>
      </c>
      <c r="L305" s="419" t="str">
        <f t="shared" si="125"/>
        <v xml:space="preserve"> </v>
      </c>
      <c r="M305" s="116"/>
    </row>
    <row r="306" spans="1:14" ht="15" customHeight="1" x14ac:dyDescent="0.2">
      <c r="A306" s="109">
        <v>9</v>
      </c>
      <c r="B306" s="397" t="s">
        <v>399</v>
      </c>
      <c r="C306" s="576" t="s">
        <v>327</v>
      </c>
      <c r="D306" s="106" t="str">
        <f t="shared" si="120"/>
        <v/>
      </c>
      <c r="E306" s="398" t="str">
        <f t="shared" si="121"/>
        <v/>
      </c>
      <c r="F306" s="398" t="str">
        <f t="shared" si="122"/>
        <v/>
      </c>
      <c r="G306" s="399" t="str">
        <f t="shared" si="123"/>
        <v>rumus</v>
      </c>
      <c r="H306" s="114" t="s">
        <v>26</v>
      </c>
      <c r="I306" s="417"/>
      <c r="J306" s="417"/>
      <c r="K306" s="418" t="str">
        <f t="shared" si="124"/>
        <v>rumus</v>
      </c>
      <c r="L306" s="419" t="str">
        <f t="shared" si="125"/>
        <v xml:space="preserve"> </v>
      </c>
      <c r="M306" s="116"/>
    </row>
    <row r="307" spans="1:14" ht="15" customHeight="1" x14ac:dyDescent="0.2">
      <c r="A307" s="109">
        <v>10</v>
      </c>
      <c r="B307" s="397" t="s">
        <v>399</v>
      </c>
      <c r="C307" s="576" t="s">
        <v>327</v>
      </c>
      <c r="D307" s="106" t="str">
        <f t="shared" si="120"/>
        <v/>
      </c>
      <c r="E307" s="398" t="str">
        <f t="shared" si="121"/>
        <v/>
      </c>
      <c r="F307" s="398" t="str">
        <f t="shared" si="122"/>
        <v/>
      </c>
      <c r="G307" s="399" t="str">
        <f t="shared" si="123"/>
        <v>rumus</v>
      </c>
      <c r="H307" s="114" t="s">
        <v>26</v>
      </c>
      <c r="I307" s="417"/>
      <c r="J307" s="417"/>
      <c r="K307" s="418" t="str">
        <f t="shared" si="124"/>
        <v>rumus</v>
      </c>
      <c r="L307" s="419" t="str">
        <f t="shared" si="125"/>
        <v xml:space="preserve"> </v>
      </c>
      <c r="M307" s="116"/>
    </row>
    <row r="308" spans="1:14" ht="15.75" customHeight="1" x14ac:dyDescent="0.2">
      <c r="A308" s="109"/>
      <c r="B308" s="406" t="str">
        <f>"a. Semester Gasal "&amp;IF(C309&lt;&gt;"",C309,"")&amp;" :"</f>
        <v>a. Semester Gasal 2018/2019 :</v>
      </c>
      <c r="C308" s="415"/>
      <c r="D308" s="415"/>
      <c r="E308" s="415"/>
      <c r="F308" s="415"/>
      <c r="G308" s="415"/>
      <c r="H308" s="416"/>
      <c r="I308" s="116"/>
      <c r="M308" s="118">
        <f>IF(IF((COUNTIF(L298:L307,"Pembimbing Utama Laporan akhir studi"))&lt;=10,(SUMIF(L298:L307,"Pembimbing Utama Laporan akhir studi",K298:K307)),1*10)+IF((COUNTIF(L298:L307,"Pembimbing Pendamping Laporan akhir studi"))&lt;=10,(SUMIF(L298:L307,"Pembimbing Pendamping Laporan akhir studi",K298:K307)),0.5*10)+IF((COUNTIF(L298:L307,"Pembimbing Utama Skripsi"))&lt;=8,(SUMIF(L298:L307,"Pembimbing Utama Skripsi",K298:K307)),1*8)+IF((COUNTIF(L298:L307,"Pembimbing Pendamping Skripsi"))&lt;=8,(SUMIF(L298:L307,"Pembimbing Pendamping Skripsi",K298:K307)),1*8)+IF((COUNTIF(L298:L307,"Pembimbing Utama Tesis"))&lt;=6,(SUMIF(L298:L307,"Pembimbing Utama Tesis",K298:K307)),3*6)+IF((COUNTIF(L298:L307,"Pembimbing Pendamping Tesis"))&lt;=6,(SUMIF(L298:L307,"Pembimbing Pendamping Tesis",K298:K307)),2*6)+IF((COUNTIF(L298:L307,"Pembimbing Utama Disertasi"))&lt;=4,(SUMIF(L298:L307,"Pembimbing Utama Disertasi",K298:K307)),8*4)+IF((COUNTIF(L298:L307,"Pembimbing Pendamping Disertasi"))&lt;=4,(SUMIF(L298:L307,"Pembimbing Pendamping Disertasi",K298:K307)),6*4)&lt;=32,IF((COUNTIF(L298:L307,"Pembimbing Utama Laporan akhir studi"))&lt;=10,(SUMIF(L298:L307,"Pembimbing Utama Laporan akhir studi",K298:K307)),1*10)+IF((COUNTIF(L298:L307,"Pembimbing Pendamping Laporan akhir studi"))&lt;=10,(SUMIF(L298:L307,"Pembimbing Pendamping Laporan akhir studi",K298:K307)),0.5*10)+IF((COUNTIF(L298:L307,"Pembimbing Utama Skripsi"))&lt;=8,(SUMIF(L298:L307,"Pembimbing Utama Skripsi",K298:K307)),1*8)+IF((COUNTIF(L298:L307,"Pembimbing Pendamping Skripsi"))&lt;=8,(SUMIF(L298:L307,"Pembimbing Pendamping Skripsi",K298:K307)),1*8)+IF((COUNTIF(L298:L307,"Pembimbing Utama Tesis"))&lt;=6,(SUMIF(L298:L307,"Pembimbing Utama Tesis",K298:K307)),3*6)+IF((COUNTIF(L298:L307,"Pembimbing Pendamping Tesis"))&lt;=6,(SUMIF(L298:L307,"Pembimbing Pendamping Tesis",K298:K307)),2*6)+IF((COUNTIF(L298:L307,"Pembimbing Utama Disertasi"))&lt;=4,(SUMIF(L298:L307,"Pembimbing Utama Disertasi",K298:K307)),8*4)+IF((COUNTIF(L298:L307,"Pembimbing Pendamping Disertasi"))&lt;=4,(SUMIF(L298:L307,"Pembimbing Pendamping Disertasi",K298:K307)),6*4),32)</f>
        <v>2</v>
      </c>
      <c r="N308" s="103" t="str">
        <f>"Max 32"</f>
        <v>Max 32</v>
      </c>
    </row>
    <row r="309" spans="1:14" ht="15" customHeight="1" x14ac:dyDescent="0.2">
      <c r="A309" s="109">
        <v>1</v>
      </c>
      <c r="B309" s="574" t="s">
        <v>426</v>
      </c>
      <c r="C309" s="576" t="s">
        <v>331</v>
      </c>
      <c r="D309" s="106" t="str">
        <f t="shared" ref="D309:D318" si="126">IF(G309&lt;&gt;"rumus","Lulusan","")</f>
        <v>Lulusan</v>
      </c>
      <c r="E309" s="398">
        <f t="shared" ref="E309:E318" si="127">IF(I309&lt;&gt;"",1,"")</f>
        <v>1</v>
      </c>
      <c r="F309" s="398">
        <f t="shared" ref="F309:F318" si="128">IF(I309&lt;&gt;"",K309,"")</f>
        <v>1</v>
      </c>
      <c r="G309" s="399" t="str">
        <f t="shared" ref="G309:G318" si="129">IF(K309&lt;&gt;"rumus","1 x "&amp;K309&amp;" = "&amp;K309,"rumus")</f>
        <v>1 x 1 = 1</v>
      </c>
      <c r="H309" s="106" t="s">
        <v>427</v>
      </c>
      <c r="I309" s="577" t="s">
        <v>393</v>
      </c>
      <c r="J309" s="577" t="s">
        <v>394</v>
      </c>
      <c r="K309" s="418">
        <f t="shared" ref="K309:K318" si="130">IF(AND(I309&lt;&gt;"",J309&lt;&gt;""),IF(I309="Pembimbing Utama",IF(J309="Disertasi",8,IF(J309="Tesis",3,IF(J309="Skripsi",1,IF(J309="Laporan akhir studi",1,"")))),IF(I309="Pembimbing Pendamping",IF(J309="Disertasi",6,IF(J309="Tesis",2,IF(J309="Skripsi",0.5,IF(J309="Laporan akhir studi",0.5,"")))))),"rumus")</f>
        <v>1</v>
      </c>
      <c r="L309" s="419" t="str">
        <f t="shared" ref="L309:L318" si="131">I309&amp;" "&amp;J309</f>
        <v>Pembimbing Utama Laporan akhir studi</v>
      </c>
      <c r="M309" s="116"/>
    </row>
    <row r="310" spans="1:14" ht="15" customHeight="1" x14ac:dyDescent="0.2">
      <c r="A310" s="109">
        <v>2</v>
      </c>
      <c r="B310" s="575" t="s">
        <v>428</v>
      </c>
      <c r="C310" s="576" t="s">
        <v>331</v>
      </c>
      <c r="D310" s="106" t="str">
        <f t="shared" si="126"/>
        <v>Lulusan</v>
      </c>
      <c r="E310" s="398">
        <f t="shared" si="127"/>
        <v>1</v>
      </c>
      <c r="F310" s="398">
        <f t="shared" si="128"/>
        <v>0.5</v>
      </c>
      <c r="G310" s="399" t="str">
        <f t="shared" si="129"/>
        <v>1 x 0.5 = 0.5</v>
      </c>
      <c r="H310" s="106" t="s">
        <v>429</v>
      </c>
      <c r="I310" s="577" t="s">
        <v>402</v>
      </c>
      <c r="J310" s="577" t="s">
        <v>394</v>
      </c>
      <c r="K310" s="418">
        <f t="shared" si="130"/>
        <v>0.5</v>
      </c>
      <c r="L310" s="419" t="str">
        <f t="shared" si="131"/>
        <v>Pembimbing Pendamping Laporan akhir studi</v>
      </c>
      <c r="M310" s="116"/>
    </row>
    <row r="311" spans="1:14" ht="15" customHeight="1" x14ac:dyDescent="0.2">
      <c r="A311" s="109">
        <v>3</v>
      </c>
      <c r="B311" s="575" t="s">
        <v>430</v>
      </c>
      <c r="C311" s="576" t="s">
        <v>331</v>
      </c>
      <c r="D311" s="106" t="str">
        <f t="shared" si="126"/>
        <v>Lulusan</v>
      </c>
      <c r="E311" s="398">
        <f t="shared" si="127"/>
        <v>1</v>
      </c>
      <c r="F311" s="398">
        <f t="shared" si="128"/>
        <v>1</v>
      </c>
      <c r="G311" s="399" t="str">
        <f t="shared" si="129"/>
        <v>1 x 1 = 1</v>
      </c>
      <c r="H311" s="106" t="s">
        <v>431</v>
      </c>
      <c r="I311" s="577" t="s">
        <v>393</v>
      </c>
      <c r="J311" s="577" t="s">
        <v>394</v>
      </c>
      <c r="K311" s="418">
        <f t="shared" si="130"/>
        <v>1</v>
      </c>
      <c r="L311" s="419" t="str">
        <f t="shared" si="131"/>
        <v>Pembimbing Utama Laporan akhir studi</v>
      </c>
      <c r="M311" s="116"/>
    </row>
    <row r="312" spans="1:14" ht="15" customHeight="1" x14ac:dyDescent="0.2">
      <c r="A312" s="109">
        <v>4</v>
      </c>
      <c r="B312" s="575" t="s">
        <v>432</v>
      </c>
      <c r="C312" s="576" t="s">
        <v>331</v>
      </c>
      <c r="D312" s="106" t="str">
        <f t="shared" si="126"/>
        <v>Lulusan</v>
      </c>
      <c r="E312" s="398">
        <f t="shared" si="127"/>
        <v>1</v>
      </c>
      <c r="F312" s="398">
        <f t="shared" si="128"/>
        <v>0.5</v>
      </c>
      <c r="G312" s="399" t="str">
        <f t="shared" si="129"/>
        <v>1 x 0.5 = 0.5</v>
      </c>
      <c r="H312" s="106" t="s">
        <v>433</v>
      </c>
      <c r="I312" s="577" t="s">
        <v>402</v>
      </c>
      <c r="J312" s="577" t="s">
        <v>394</v>
      </c>
      <c r="K312" s="418">
        <f t="shared" si="130"/>
        <v>0.5</v>
      </c>
      <c r="L312" s="419" t="str">
        <f t="shared" si="131"/>
        <v>Pembimbing Pendamping Laporan akhir studi</v>
      </c>
      <c r="M312" s="116"/>
    </row>
    <row r="313" spans="1:14" ht="15" customHeight="1" x14ac:dyDescent="0.2">
      <c r="A313" s="109">
        <v>5</v>
      </c>
      <c r="B313" s="575" t="s">
        <v>434</v>
      </c>
      <c r="C313" s="576" t="s">
        <v>331</v>
      </c>
      <c r="D313" s="106" t="str">
        <f t="shared" si="126"/>
        <v>Lulusan</v>
      </c>
      <c r="E313" s="398">
        <f t="shared" si="127"/>
        <v>1</v>
      </c>
      <c r="F313" s="398">
        <f t="shared" si="128"/>
        <v>1</v>
      </c>
      <c r="G313" s="399" t="str">
        <f t="shared" si="129"/>
        <v>1 x 1 = 1</v>
      </c>
      <c r="H313" s="106" t="s">
        <v>435</v>
      </c>
      <c r="I313" s="577" t="s">
        <v>393</v>
      </c>
      <c r="J313" s="577" t="s">
        <v>394</v>
      </c>
      <c r="K313" s="418">
        <f t="shared" si="130"/>
        <v>1</v>
      </c>
      <c r="L313" s="419" t="str">
        <f t="shared" si="131"/>
        <v>Pembimbing Utama Laporan akhir studi</v>
      </c>
      <c r="M313" s="116"/>
    </row>
    <row r="314" spans="1:14" ht="15" customHeight="1" x14ac:dyDescent="0.2">
      <c r="A314" s="109">
        <v>6</v>
      </c>
      <c r="B314" s="575" t="s">
        <v>436</v>
      </c>
      <c r="C314" s="576" t="s">
        <v>331</v>
      </c>
      <c r="D314" s="106" t="str">
        <f t="shared" si="126"/>
        <v>Lulusan</v>
      </c>
      <c r="E314" s="398">
        <f t="shared" si="127"/>
        <v>1</v>
      </c>
      <c r="F314" s="398">
        <f t="shared" si="128"/>
        <v>0.5</v>
      </c>
      <c r="G314" s="399" t="str">
        <f t="shared" si="129"/>
        <v>1 x 0.5 = 0.5</v>
      </c>
      <c r="H314" s="106" t="s">
        <v>437</v>
      </c>
      <c r="I314" s="577" t="s">
        <v>402</v>
      </c>
      <c r="J314" s="577" t="s">
        <v>394</v>
      </c>
      <c r="K314" s="418">
        <f t="shared" si="130"/>
        <v>0.5</v>
      </c>
      <c r="L314" s="419" t="str">
        <f t="shared" si="131"/>
        <v>Pembimbing Pendamping Laporan akhir studi</v>
      </c>
      <c r="M314" s="116"/>
    </row>
    <row r="315" spans="1:14" ht="15" customHeight="1" x14ac:dyDescent="0.2">
      <c r="A315" s="109">
        <v>7</v>
      </c>
      <c r="B315" s="575" t="s">
        <v>438</v>
      </c>
      <c r="C315" s="576" t="s">
        <v>331</v>
      </c>
      <c r="D315" s="106" t="str">
        <f t="shared" si="126"/>
        <v>Lulusan</v>
      </c>
      <c r="E315" s="398">
        <f t="shared" si="127"/>
        <v>1</v>
      </c>
      <c r="F315" s="398">
        <f t="shared" si="128"/>
        <v>1</v>
      </c>
      <c r="G315" s="399" t="str">
        <f t="shared" si="129"/>
        <v>1 x 1 = 1</v>
      </c>
      <c r="H315" s="106" t="s">
        <v>439</v>
      </c>
      <c r="I315" s="577" t="s">
        <v>393</v>
      </c>
      <c r="J315" s="577" t="s">
        <v>394</v>
      </c>
      <c r="K315" s="418">
        <f t="shared" si="130"/>
        <v>1</v>
      </c>
      <c r="L315" s="419" t="str">
        <f t="shared" si="131"/>
        <v>Pembimbing Utama Laporan akhir studi</v>
      </c>
      <c r="M315" s="116"/>
    </row>
    <row r="316" spans="1:14" ht="15" customHeight="1" x14ac:dyDescent="0.2">
      <c r="A316" s="109">
        <v>8</v>
      </c>
      <c r="B316" s="575" t="s">
        <v>440</v>
      </c>
      <c r="C316" s="576" t="s">
        <v>331</v>
      </c>
      <c r="D316" s="106" t="str">
        <f t="shared" si="126"/>
        <v>Lulusan</v>
      </c>
      <c r="E316" s="398">
        <f t="shared" si="127"/>
        <v>1</v>
      </c>
      <c r="F316" s="398">
        <f t="shared" si="128"/>
        <v>0.5</v>
      </c>
      <c r="G316" s="399" t="str">
        <f t="shared" si="129"/>
        <v>1 x 0.5 = 0.5</v>
      </c>
      <c r="H316" s="106" t="s">
        <v>441</v>
      </c>
      <c r="I316" s="577" t="s">
        <v>402</v>
      </c>
      <c r="J316" s="577" t="s">
        <v>394</v>
      </c>
      <c r="K316" s="418">
        <f t="shared" si="130"/>
        <v>0.5</v>
      </c>
      <c r="L316" s="419" t="str">
        <f t="shared" si="131"/>
        <v>Pembimbing Pendamping Laporan akhir studi</v>
      </c>
      <c r="M316" s="116"/>
    </row>
    <row r="317" spans="1:14" ht="15" customHeight="1" x14ac:dyDescent="0.2">
      <c r="A317" s="109">
        <v>9</v>
      </c>
      <c r="B317" s="397" t="s">
        <v>399</v>
      </c>
      <c r="C317" s="576" t="s">
        <v>331</v>
      </c>
      <c r="D317" s="106" t="str">
        <f t="shared" si="126"/>
        <v/>
      </c>
      <c r="E317" s="398" t="str">
        <f t="shared" si="127"/>
        <v/>
      </c>
      <c r="F317" s="398" t="str">
        <f t="shared" si="128"/>
        <v/>
      </c>
      <c r="G317" s="399" t="str">
        <f t="shared" si="129"/>
        <v>rumus</v>
      </c>
      <c r="H317" s="114" t="s">
        <v>26</v>
      </c>
      <c r="I317" s="417"/>
      <c r="J317" s="417"/>
      <c r="K317" s="418" t="str">
        <f t="shared" si="130"/>
        <v>rumus</v>
      </c>
      <c r="L317" s="419" t="str">
        <f t="shared" si="131"/>
        <v xml:space="preserve"> </v>
      </c>
      <c r="M317" s="116"/>
    </row>
    <row r="318" spans="1:14" ht="15" customHeight="1" x14ac:dyDescent="0.2">
      <c r="A318" s="109">
        <v>10</v>
      </c>
      <c r="B318" s="397" t="s">
        <v>399</v>
      </c>
      <c r="C318" s="576" t="s">
        <v>331</v>
      </c>
      <c r="D318" s="106" t="str">
        <f t="shared" si="126"/>
        <v/>
      </c>
      <c r="E318" s="398" t="str">
        <f t="shared" si="127"/>
        <v/>
      </c>
      <c r="F318" s="398" t="str">
        <f t="shared" si="128"/>
        <v/>
      </c>
      <c r="G318" s="399" t="str">
        <f t="shared" si="129"/>
        <v>rumus</v>
      </c>
      <c r="H318" s="114" t="s">
        <v>26</v>
      </c>
      <c r="I318" s="417"/>
      <c r="J318" s="417"/>
      <c r="K318" s="418" t="str">
        <f t="shared" si="130"/>
        <v>rumus</v>
      </c>
      <c r="L318" s="419" t="str">
        <f t="shared" si="131"/>
        <v xml:space="preserve"> </v>
      </c>
      <c r="M318" s="116"/>
    </row>
    <row r="319" spans="1:14" ht="15.75" customHeight="1" x14ac:dyDescent="0.2">
      <c r="A319" s="109"/>
      <c r="B319" s="406" t="str">
        <f>"a. Semester Gasal "&amp;IF(C320&lt;&gt;"",C320,"")&amp;" :"</f>
        <v>a. Semester Gasal 2020/2021 :</v>
      </c>
      <c r="C319" s="415"/>
      <c r="D319" s="415"/>
      <c r="E319" s="415"/>
      <c r="F319" s="415"/>
      <c r="G319" s="415"/>
      <c r="H319" s="416"/>
      <c r="I319" s="116"/>
      <c r="M319" s="118">
        <f>IF(IF((COUNTIF(L309:L318,"Pembimbing Utama Laporan akhir studi"))&lt;=10,(SUMIF(L309:L318,"Pembimbing Utama Laporan akhir studi",K309:K318)),1*10)+IF((COUNTIF(L309:L318,"Pembimbing Pendamping Laporan akhir studi"))&lt;=10,(SUMIF(L309:L318,"Pembimbing Pendamping Laporan akhir studi",K309:K318)),0.5*10)+IF((COUNTIF(L309:L318,"Pembimbing Utama Skripsi"))&lt;=8,(SUMIF(L309:L318,"Pembimbing Utama Skripsi",K309:K318)),1*8)+IF((COUNTIF(L309:L318,"Pembimbing Pendamping Skripsi"))&lt;=8,(SUMIF(L309:L318,"Pembimbing Pendamping Skripsi",K309:K318)),1*8)+IF((COUNTIF(L309:L318,"Pembimbing Utama Tesis"))&lt;=6,(SUMIF(L309:L318,"Pembimbing Utama Tesis",K309:K318)),3*6)+IF((COUNTIF(L309:L318,"Pembimbing Pendamping Tesis"))&lt;=6,(SUMIF(L309:L318,"Pembimbing Pendamping Tesis",K309:K318)),2*6)+IF((COUNTIF(L309:L318,"Pembimbing Utama Disertasi"))&lt;=4,(SUMIF(L309:L318,"Pembimbing Utama Disertasi",K309:K318)),8*4)+IF((COUNTIF(L309:L318,"Pembimbing Pendamping Disertasi"))&lt;=4,(SUMIF(L309:L318,"Pembimbing Pendamping Disertasi",K309:K318)),6*4)&lt;=32,IF((COUNTIF(L309:L318,"Pembimbing Utama Laporan akhir studi"))&lt;=10,(SUMIF(L309:L318,"Pembimbing Utama Laporan akhir studi",K309:K318)),1*10)+IF((COUNTIF(L309:L318,"Pembimbing Pendamping Laporan akhir studi"))&lt;=10,(SUMIF(L309:L318,"Pembimbing Pendamping Laporan akhir studi",K309:K318)),0.5*10)+IF((COUNTIF(L309:L318,"Pembimbing Utama Skripsi"))&lt;=8,(SUMIF(L309:L318,"Pembimbing Utama Skripsi",K309:K318)),1*8)+IF((COUNTIF(L309:L318,"Pembimbing Pendamping Skripsi"))&lt;=8,(SUMIF(L309:L318,"Pembimbing Pendamping Skripsi",K309:K318)),1*8)+IF((COUNTIF(L309:L318,"Pembimbing Utama Tesis"))&lt;=6,(SUMIF(L309:L318,"Pembimbing Utama Tesis",K309:K318)),3*6)+IF((COUNTIF(L309:L318,"Pembimbing Pendamping Tesis"))&lt;=6,(SUMIF(L309:L318,"Pembimbing Pendamping Tesis",K309:K318)),2*6)+IF((COUNTIF(L309:L318,"Pembimbing Utama Disertasi"))&lt;=4,(SUMIF(L309:L318,"Pembimbing Utama Disertasi",K309:K318)),8*4)+IF((COUNTIF(L309:L318,"Pembimbing Pendamping Disertasi"))&lt;=4,(SUMIF(L309:L318,"Pembimbing Pendamping Disertasi",K309:K318)),6*4),32)</f>
        <v>6</v>
      </c>
      <c r="N319" s="103" t="str">
        <f>"Max 32"</f>
        <v>Max 32</v>
      </c>
    </row>
    <row r="320" spans="1:14" ht="15" customHeight="1" x14ac:dyDescent="0.2">
      <c r="A320" s="109">
        <v>1</v>
      </c>
      <c r="B320" s="574" t="s">
        <v>442</v>
      </c>
      <c r="C320" s="576" t="s">
        <v>337</v>
      </c>
      <c r="D320" s="106" t="str">
        <f t="shared" ref="D320:D329" si="132">IF(G320&lt;&gt;"rumus","Lulusan","")</f>
        <v>Lulusan</v>
      </c>
      <c r="E320" s="398">
        <f t="shared" ref="E320:E329" si="133">IF(I320&lt;&gt;"",1,"")</f>
        <v>1</v>
      </c>
      <c r="F320" s="398">
        <f t="shared" ref="F320:F329" si="134">IF(I320&lt;&gt;"",K320,"")</f>
        <v>1</v>
      </c>
      <c r="G320" s="399" t="str">
        <f t="shared" ref="G320:G329" si="135">IF(K320&lt;&gt;"rumus","1 x "&amp;K320&amp;" = "&amp;K320,"rumus")</f>
        <v>1 x 1 = 1</v>
      </c>
      <c r="H320" s="106" t="s">
        <v>443</v>
      </c>
      <c r="I320" s="417" t="s">
        <v>393</v>
      </c>
      <c r="J320" s="417" t="s">
        <v>394</v>
      </c>
      <c r="K320" s="418">
        <f t="shared" ref="K320:K329" si="136">IF(AND(I320&lt;&gt;"",J320&lt;&gt;""),IF(I320="Pembimbing Utama",IF(J320="Disertasi",8,IF(J320="Tesis",3,IF(J320="Skripsi",1,IF(J320="Laporan akhir studi",1,"")))),IF(I320="Pembimbing Pendamping",IF(J320="Disertasi",6,IF(J320="Tesis",2,IF(J320="Skripsi",0.5,IF(J320="Laporan akhir studi",0.5,"")))))),"rumus")</f>
        <v>1</v>
      </c>
      <c r="L320" s="419" t="str">
        <f t="shared" ref="L320:L329" si="137">I320&amp;" "&amp;J320</f>
        <v>Pembimbing Utama Laporan akhir studi</v>
      </c>
      <c r="M320" s="116"/>
    </row>
    <row r="321" spans="1:14" ht="15" customHeight="1" x14ac:dyDescent="0.2">
      <c r="A321" s="109">
        <v>2</v>
      </c>
      <c r="B321" s="397" t="s">
        <v>399</v>
      </c>
      <c r="C321" s="106" t="s">
        <v>355</v>
      </c>
      <c r="D321" s="106" t="str">
        <f t="shared" si="132"/>
        <v/>
      </c>
      <c r="E321" s="398" t="str">
        <f t="shared" si="133"/>
        <v/>
      </c>
      <c r="F321" s="398" t="str">
        <f t="shared" si="134"/>
        <v/>
      </c>
      <c r="G321" s="399" t="str">
        <f t="shared" si="135"/>
        <v>rumus</v>
      </c>
      <c r="H321" s="114" t="s">
        <v>26</v>
      </c>
      <c r="I321" s="417"/>
      <c r="J321" s="417"/>
      <c r="K321" s="418" t="str">
        <f t="shared" si="136"/>
        <v>rumus</v>
      </c>
      <c r="L321" s="419" t="str">
        <f t="shared" si="137"/>
        <v xml:space="preserve"> </v>
      </c>
      <c r="M321" s="116"/>
    </row>
    <row r="322" spans="1:14" ht="15" customHeight="1" x14ac:dyDescent="0.2">
      <c r="A322" s="109">
        <v>3</v>
      </c>
      <c r="B322" s="397" t="s">
        <v>399</v>
      </c>
      <c r="C322" s="106" t="s">
        <v>355</v>
      </c>
      <c r="D322" s="106" t="str">
        <f t="shared" si="132"/>
        <v/>
      </c>
      <c r="E322" s="398" t="str">
        <f t="shared" si="133"/>
        <v/>
      </c>
      <c r="F322" s="398" t="str">
        <f t="shared" si="134"/>
        <v/>
      </c>
      <c r="G322" s="399" t="str">
        <f t="shared" si="135"/>
        <v>rumus</v>
      </c>
      <c r="H322" s="114" t="s">
        <v>26</v>
      </c>
      <c r="I322" s="417"/>
      <c r="J322" s="417"/>
      <c r="K322" s="418" t="str">
        <f t="shared" si="136"/>
        <v>rumus</v>
      </c>
      <c r="L322" s="419" t="str">
        <f t="shared" si="137"/>
        <v xml:space="preserve"> </v>
      </c>
      <c r="M322" s="116"/>
    </row>
    <row r="323" spans="1:14" ht="15" customHeight="1" x14ac:dyDescent="0.2">
      <c r="A323" s="109">
        <v>4</v>
      </c>
      <c r="B323" s="397" t="s">
        <v>399</v>
      </c>
      <c r="C323" s="106" t="s">
        <v>355</v>
      </c>
      <c r="D323" s="106" t="str">
        <f t="shared" si="132"/>
        <v/>
      </c>
      <c r="E323" s="398" t="str">
        <f t="shared" si="133"/>
        <v/>
      </c>
      <c r="F323" s="398" t="str">
        <f t="shared" si="134"/>
        <v/>
      </c>
      <c r="G323" s="399" t="str">
        <f t="shared" si="135"/>
        <v>rumus</v>
      </c>
      <c r="H323" s="114" t="s">
        <v>26</v>
      </c>
      <c r="I323" s="417"/>
      <c r="J323" s="417"/>
      <c r="K323" s="418" t="str">
        <f t="shared" si="136"/>
        <v>rumus</v>
      </c>
      <c r="L323" s="419" t="str">
        <f t="shared" si="137"/>
        <v xml:space="preserve"> </v>
      </c>
      <c r="M323" s="116"/>
    </row>
    <row r="324" spans="1:14" ht="15" customHeight="1" x14ac:dyDescent="0.2">
      <c r="A324" s="109">
        <v>5</v>
      </c>
      <c r="B324" s="397" t="s">
        <v>399</v>
      </c>
      <c r="C324" s="106" t="s">
        <v>355</v>
      </c>
      <c r="D324" s="106" t="str">
        <f t="shared" si="132"/>
        <v/>
      </c>
      <c r="E324" s="398" t="str">
        <f t="shared" si="133"/>
        <v/>
      </c>
      <c r="F324" s="398" t="str">
        <f t="shared" si="134"/>
        <v/>
      </c>
      <c r="G324" s="399" t="str">
        <f t="shared" si="135"/>
        <v>rumus</v>
      </c>
      <c r="H324" s="114" t="s">
        <v>26</v>
      </c>
      <c r="I324" s="417"/>
      <c r="J324" s="417"/>
      <c r="K324" s="418" t="str">
        <f t="shared" si="136"/>
        <v>rumus</v>
      </c>
      <c r="L324" s="419" t="str">
        <f t="shared" si="137"/>
        <v xml:space="preserve"> </v>
      </c>
      <c r="M324" s="116"/>
    </row>
    <row r="325" spans="1:14" ht="15" customHeight="1" x14ac:dyDescent="0.2">
      <c r="A325" s="109">
        <v>6</v>
      </c>
      <c r="B325" s="397" t="s">
        <v>399</v>
      </c>
      <c r="C325" s="106" t="s">
        <v>355</v>
      </c>
      <c r="D325" s="106" t="str">
        <f t="shared" si="132"/>
        <v/>
      </c>
      <c r="E325" s="398" t="str">
        <f t="shared" si="133"/>
        <v/>
      </c>
      <c r="F325" s="398" t="str">
        <f t="shared" si="134"/>
        <v/>
      </c>
      <c r="G325" s="399" t="str">
        <f t="shared" si="135"/>
        <v>rumus</v>
      </c>
      <c r="H325" s="114" t="s">
        <v>26</v>
      </c>
      <c r="I325" s="417"/>
      <c r="J325" s="417"/>
      <c r="K325" s="418" t="str">
        <f t="shared" si="136"/>
        <v>rumus</v>
      </c>
      <c r="L325" s="419" t="str">
        <f t="shared" si="137"/>
        <v xml:space="preserve"> </v>
      </c>
      <c r="M325" s="116"/>
    </row>
    <row r="326" spans="1:14" ht="15" customHeight="1" x14ac:dyDescent="0.2">
      <c r="A326" s="109">
        <v>7</v>
      </c>
      <c r="B326" s="397" t="s">
        <v>399</v>
      </c>
      <c r="C326" s="106" t="s">
        <v>355</v>
      </c>
      <c r="D326" s="106" t="str">
        <f t="shared" si="132"/>
        <v/>
      </c>
      <c r="E326" s="398" t="str">
        <f t="shared" si="133"/>
        <v/>
      </c>
      <c r="F326" s="398" t="str">
        <f t="shared" si="134"/>
        <v/>
      </c>
      <c r="G326" s="399" t="str">
        <f t="shared" si="135"/>
        <v>rumus</v>
      </c>
      <c r="H326" s="114" t="s">
        <v>26</v>
      </c>
      <c r="I326" s="417"/>
      <c r="J326" s="417"/>
      <c r="K326" s="418" t="str">
        <f t="shared" si="136"/>
        <v>rumus</v>
      </c>
      <c r="L326" s="419" t="str">
        <f t="shared" si="137"/>
        <v xml:space="preserve"> </v>
      </c>
      <c r="M326" s="116"/>
    </row>
    <row r="327" spans="1:14" ht="15" customHeight="1" x14ac:dyDescent="0.2">
      <c r="A327" s="109">
        <v>8</v>
      </c>
      <c r="B327" s="397" t="s">
        <v>399</v>
      </c>
      <c r="C327" s="106" t="s">
        <v>355</v>
      </c>
      <c r="D327" s="106" t="str">
        <f t="shared" si="132"/>
        <v/>
      </c>
      <c r="E327" s="398" t="str">
        <f t="shared" si="133"/>
        <v/>
      </c>
      <c r="F327" s="398" t="str">
        <f t="shared" si="134"/>
        <v/>
      </c>
      <c r="G327" s="399" t="str">
        <f t="shared" si="135"/>
        <v>rumus</v>
      </c>
      <c r="H327" s="114" t="s">
        <v>26</v>
      </c>
      <c r="I327" s="417"/>
      <c r="J327" s="417"/>
      <c r="K327" s="418" t="str">
        <f t="shared" si="136"/>
        <v>rumus</v>
      </c>
      <c r="L327" s="419" t="str">
        <f t="shared" si="137"/>
        <v xml:space="preserve"> </v>
      </c>
      <c r="M327" s="116"/>
    </row>
    <row r="328" spans="1:14" ht="15" customHeight="1" x14ac:dyDescent="0.2">
      <c r="A328" s="109">
        <v>9</v>
      </c>
      <c r="B328" s="397" t="s">
        <v>399</v>
      </c>
      <c r="C328" s="106" t="s">
        <v>355</v>
      </c>
      <c r="D328" s="106" t="str">
        <f t="shared" si="132"/>
        <v/>
      </c>
      <c r="E328" s="398" t="str">
        <f t="shared" si="133"/>
        <v/>
      </c>
      <c r="F328" s="398" t="str">
        <f t="shared" si="134"/>
        <v/>
      </c>
      <c r="G328" s="399" t="str">
        <f t="shared" si="135"/>
        <v>rumus</v>
      </c>
      <c r="H328" s="114" t="s">
        <v>26</v>
      </c>
      <c r="I328" s="417"/>
      <c r="J328" s="417"/>
      <c r="K328" s="418" t="str">
        <f t="shared" si="136"/>
        <v>rumus</v>
      </c>
      <c r="L328" s="419" t="str">
        <f t="shared" si="137"/>
        <v xml:space="preserve"> </v>
      </c>
      <c r="M328" s="116"/>
    </row>
    <row r="329" spans="1:14" ht="15" customHeight="1" x14ac:dyDescent="0.2">
      <c r="A329" s="109">
        <v>10</v>
      </c>
      <c r="B329" s="397" t="s">
        <v>399</v>
      </c>
      <c r="C329" s="106" t="s">
        <v>355</v>
      </c>
      <c r="D329" s="106" t="str">
        <f t="shared" si="132"/>
        <v/>
      </c>
      <c r="E329" s="398" t="str">
        <f t="shared" si="133"/>
        <v/>
      </c>
      <c r="F329" s="398" t="str">
        <f t="shared" si="134"/>
        <v/>
      </c>
      <c r="G329" s="399" t="str">
        <f t="shared" si="135"/>
        <v>rumus</v>
      </c>
      <c r="H329" s="114" t="s">
        <v>26</v>
      </c>
      <c r="I329" s="417"/>
      <c r="J329" s="417"/>
      <c r="K329" s="418" t="str">
        <f t="shared" si="136"/>
        <v>rumus</v>
      </c>
      <c r="L329" s="419" t="str">
        <f t="shared" si="137"/>
        <v xml:space="preserve"> </v>
      </c>
      <c r="M329" s="116"/>
    </row>
    <row r="330" spans="1:14" ht="15.75" customHeight="1" x14ac:dyDescent="0.2">
      <c r="A330" s="109"/>
      <c r="B330" s="406" t="str">
        <f>"a. Semester Gasal "&amp;IF(C331&lt;&gt;"",C331,"")&amp;" :"</f>
        <v>a. Semester Gasal 2012/2013 :</v>
      </c>
      <c r="C330" s="415"/>
      <c r="D330" s="415"/>
      <c r="E330" s="415"/>
      <c r="F330" s="415"/>
      <c r="G330" s="415"/>
      <c r="H330" s="416"/>
      <c r="I330" s="116"/>
      <c r="M330" s="118">
        <f>IF(IF((COUNTIF(L320:L329,"Pembimbing Utama Laporan akhir studi"))&lt;=10,(SUMIF(L320:L329,"Pembimbing Utama Laporan akhir studi",K320:K329)),1*10)+IF((COUNTIF(L320:L329,"Pembimbing Pendamping Laporan akhir studi"))&lt;=10,(SUMIF(L320:L329,"Pembimbing Pendamping Laporan akhir studi",K320:K329)),0.5*10)+IF((COUNTIF(L320:L329,"Pembimbing Utama Skripsi"))&lt;=8,(SUMIF(L320:L329,"Pembimbing Utama Skripsi",K320:K329)),1*8)+IF((COUNTIF(L320:L329,"Pembimbing Pendamping Skripsi"))&lt;=8,(SUMIF(L320:L329,"Pembimbing Pendamping Skripsi",K320:K329)),1*8)+IF((COUNTIF(L320:L329,"Pembimbing Utama Tesis"))&lt;=6,(SUMIF(L320:L329,"Pembimbing Utama Tesis",K320:K329)),3*6)+IF((COUNTIF(L320:L329,"Pembimbing Pendamping Tesis"))&lt;=6,(SUMIF(L320:L329,"Pembimbing Pendamping Tesis",K320:K329)),2*6)+IF((COUNTIF(L320:L329,"Pembimbing Utama Disertasi"))&lt;=4,(SUMIF(L320:L329,"Pembimbing Utama Disertasi",K320:K329)),8*4)+IF((COUNTIF(L320:L329,"Pembimbing Pendamping Disertasi"))&lt;=4,(SUMIF(L320:L329,"Pembimbing Pendamping Disertasi",K320:K329)),6*4)&lt;=32,IF((COUNTIF(L320:L329,"Pembimbing Utama Laporan akhir studi"))&lt;=10,(SUMIF(L320:L329,"Pembimbing Utama Laporan akhir studi",K320:K329)),1*10)+IF((COUNTIF(L320:L329,"Pembimbing Pendamping Laporan akhir studi"))&lt;=10,(SUMIF(L320:L329,"Pembimbing Pendamping Laporan akhir studi",K320:K329)),0.5*10)+IF((COUNTIF(L320:L329,"Pembimbing Utama Skripsi"))&lt;=8,(SUMIF(L320:L329,"Pembimbing Utama Skripsi",K320:K329)),1*8)+IF((COUNTIF(L320:L329,"Pembimbing Pendamping Skripsi"))&lt;=8,(SUMIF(L320:L329,"Pembimbing Pendamping Skripsi",K320:K329)),1*8)+IF((COUNTIF(L320:L329,"Pembimbing Utama Tesis"))&lt;=6,(SUMIF(L320:L329,"Pembimbing Utama Tesis",K320:K329)),3*6)+IF((COUNTIF(L320:L329,"Pembimbing Pendamping Tesis"))&lt;=6,(SUMIF(L320:L329,"Pembimbing Pendamping Tesis",K320:K329)),2*6)+IF((COUNTIF(L320:L329,"Pembimbing Utama Disertasi"))&lt;=4,(SUMIF(L320:L329,"Pembimbing Utama Disertasi",K320:K329)),8*4)+IF((COUNTIF(L320:L329,"Pembimbing Pendamping Disertasi"))&lt;=4,(SUMIF(L320:L329,"Pembimbing Pendamping Disertasi",K320:K329)),6*4),32)</f>
        <v>1</v>
      </c>
      <c r="N330" s="103" t="str">
        <f>"Max 32"</f>
        <v>Max 32</v>
      </c>
    </row>
    <row r="331" spans="1:14" ht="15" customHeight="1" x14ac:dyDescent="0.2">
      <c r="A331" s="109">
        <v>1</v>
      </c>
      <c r="B331" s="397" t="s">
        <v>399</v>
      </c>
      <c r="C331" s="106" t="s">
        <v>312</v>
      </c>
      <c r="D331" s="106" t="str">
        <f t="shared" ref="D331:D340" si="138">IF(G331&lt;&gt;"rumus","Lulusan","")</f>
        <v/>
      </c>
      <c r="E331" s="398" t="str">
        <f t="shared" ref="E331:E340" si="139">IF(I331&lt;&gt;"",1,"")</f>
        <v/>
      </c>
      <c r="F331" s="398" t="str">
        <f t="shared" ref="F331:F340" si="140">IF(I331&lt;&gt;"",K331,"")</f>
        <v/>
      </c>
      <c r="G331" s="399" t="str">
        <f t="shared" ref="G331:G340" si="141">IF(K331&lt;&gt;"rumus","1 x "&amp;K331&amp;" = "&amp;K331,"rumus")</f>
        <v>rumus</v>
      </c>
      <c r="H331" s="106" t="s">
        <v>315</v>
      </c>
      <c r="I331" s="417"/>
      <c r="J331" s="417"/>
      <c r="K331" s="418" t="str">
        <f t="shared" ref="K331:K340" si="142">IF(AND(I331&lt;&gt;"",J331&lt;&gt;""),IF(I331="Pembimbing Utama",IF(J331="Disertasi",8,IF(J331="Tesis",3,IF(J331="Skripsi",1,IF(J331="Laporan akhir studi",1,"")))),IF(I331="Pembimbing Pendamping",IF(J331="Disertasi",6,IF(J331="Tesis",2,IF(J331="Skripsi",0.5,IF(J331="Laporan akhir studi",0.5,"")))))),"rumus")</f>
        <v>rumus</v>
      </c>
      <c r="L331" s="419" t="str">
        <f t="shared" ref="L331:L340" si="143">I331&amp;" "&amp;J331</f>
        <v xml:space="preserve"> </v>
      </c>
      <c r="M331" s="116"/>
    </row>
    <row r="332" spans="1:14" ht="15" customHeight="1" x14ac:dyDescent="0.2">
      <c r="A332" s="109">
        <v>2</v>
      </c>
      <c r="B332" s="397" t="s">
        <v>399</v>
      </c>
      <c r="C332" s="106" t="s">
        <v>312</v>
      </c>
      <c r="D332" s="106" t="str">
        <f t="shared" si="138"/>
        <v/>
      </c>
      <c r="E332" s="398" t="str">
        <f t="shared" si="139"/>
        <v/>
      </c>
      <c r="F332" s="398" t="str">
        <f t="shared" si="140"/>
        <v/>
      </c>
      <c r="G332" s="399" t="str">
        <f t="shared" si="141"/>
        <v>rumus</v>
      </c>
      <c r="H332" s="114" t="s">
        <v>26</v>
      </c>
      <c r="I332" s="417"/>
      <c r="J332" s="417"/>
      <c r="K332" s="418" t="str">
        <f t="shared" si="142"/>
        <v>rumus</v>
      </c>
      <c r="L332" s="419" t="str">
        <f t="shared" si="143"/>
        <v xml:space="preserve"> </v>
      </c>
      <c r="M332" s="116"/>
    </row>
    <row r="333" spans="1:14" ht="15" customHeight="1" x14ac:dyDescent="0.2">
      <c r="A333" s="109">
        <v>3</v>
      </c>
      <c r="B333" s="397" t="s">
        <v>399</v>
      </c>
      <c r="C333" s="106" t="s">
        <v>312</v>
      </c>
      <c r="D333" s="106" t="str">
        <f t="shared" si="138"/>
        <v/>
      </c>
      <c r="E333" s="398" t="str">
        <f t="shared" si="139"/>
        <v/>
      </c>
      <c r="F333" s="398" t="str">
        <f t="shared" si="140"/>
        <v/>
      </c>
      <c r="G333" s="399" t="str">
        <f t="shared" si="141"/>
        <v>rumus</v>
      </c>
      <c r="H333" s="114" t="s">
        <v>26</v>
      </c>
      <c r="I333" s="417"/>
      <c r="J333" s="417"/>
      <c r="K333" s="418" t="str">
        <f t="shared" si="142"/>
        <v>rumus</v>
      </c>
      <c r="L333" s="419" t="str">
        <f t="shared" si="143"/>
        <v xml:space="preserve"> </v>
      </c>
      <c r="M333" s="116"/>
    </row>
    <row r="334" spans="1:14" ht="15" customHeight="1" x14ac:dyDescent="0.2">
      <c r="A334" s="109">
        <v>4</v>
      </c>
      <c r="B334" s="397" t="s">
        <v>399</v>
      </c>
      <c r="C334" s="106" t="s">
        <v>312</v>
      </c>
      <c r="D334" s="106" t="str">
        <f t="shared" si="138"/>
        <v/>
      </c>
      <c r="E334" s="398" t="str">
        <f t="shared" si="139"/>
        <v/>
      </c>
      <c r="F334" s="398" t="str">
        <f t="shared" si="140"/>
        <v/>
      </c>
      <c r="G334" s="399" t="str">
        <f t="shared" si="141"/>
        <v>rumus</v>
      </c>
      <c r="H334" s="114" t="s">
        <v>26</v>
      </c>
      <c r="I334" s="417"/>
      <c r="J334" s="417"/>
      <c r="K334" s="418" t="str">
        <f t="shared" si="142"/>
        <v>rumus</v>
      </c>
      <c r="L334" s="419" t="str">
        <f t="shared" si="143"/>
        <v xml:space="preserve"> </v>
      </c>
      <c r="M334" s="116"/>
    </row>
    <row r="335" spans="1:14" ht="15" customHeight="1" x14ac:dyDescent="0.2">
      <c r="A335" s="109">
        <v>5</v>
      </c>
      <c r="B335" s="397" t="s">
        <v>399</v>
      </c>
      <c r="C335" s="106" t="s">
        <v>312</v>
      </c>
      <c r="D335" s="106" t="str">
        <f t="shared" si="138"/>
        <v/>
      </c>
      <c r="E335" s="398" t="str">
        <f t="shared" si="139"/>
        <v/>
      </c>
      <c r="F335" s="398" t="str">
        <f t="shared" si="140"/>
        <v/>
      </c>
      <c r="G335" s="399" t="str">
        <f t="shared" si="141"/>
        <v>rumus</v>
      </c>
      <c r="H335" s="114" t="s">
        <v>26</v>
      </c>
      <c r="I335" s="417"/>
      <c r="J335" s="417"/>
      <c r="K335" s="418" t="str">
        <f t="shared" si="142"/>
        <v>rumus</v>
      </c>
      <c r="L335" s="419" t="str">
        <f t="shared" si="143"/>
        <v xml:space="preserve"> </v>
      </c>
      <c r="M335" s="116"/>
    </row>
    <row r="336" spans="1:14" ht="15" customHeight="1" x14ac:dyDescent="0.2">
      <c r="A336" s="109">
        <v>6</v>
      </c>
      <c r="B336" s="397" t="s">
        <v>399</v>
      </c>
      <c r="C336" s="106" t="s">
        <v>312</v>
      </c>
      <c r="D336" s="106" t="str">
        <f t="shared" si="138"/>
        <v/>
      </c>
      <c r="E336" s="398" t="str">
        <f t="shared" si="139"/>
        <v/>
      </c>
      <c r="F336" s="398" t="str">
        <f t="shared" si="140"/>
        <v/>
      </c>
      <c r="G336" s="399" t="str">
        <f t="shared" si="141"/>
        <v>rumus</v>
      </c>
      <c r="H336" s="114" t="s">
        <v>26</v>
      </c>
      <c r="I336" s="417"/>
      <c r="J336" s="417"/>
      <c r="K336" s="418" t="str">
        <f t="shared" si="142"/>
        <v>rumus</v>
      </c>
      <c r="L336" s="419" t="str">
        <f t="shared" si="143"/>
        <v xml:space="preserve"> </v>
      </c>
      <c r="M336" s="116"/>
    </row>
    <row r="337" spans="1:14" ht="15" customHeight="1" x14ac:dyDescent="0.2">
      <c r="A337" s="109">
        <v>7</v>
      </c>
      <c r="B337" s="397" t="s">
        <v>399</v>
      </c>
      <c r="C337" s="106" t="s">
        <v>312</v>
      </c>
      <c r="D337" s="106" t="str">
        <f t="shared" si="138"/>
        <v/>
      </c>
      <c r="E337" s="398" t="str">
        <f t="shared" si="139"/>
        <v/>
      </c>
      <c r="F337" s="398" t="str">
        <f t="shared" si="140"/>
        <v/>
      </c>
      <c r="G337" s="399" t="str">
        <f t="shared" si="141"/>
        <v>rumus</v>
      </c>
      <c r="H337" s="114" t="s">
        <v>26</v>
      </c>
      <c r="I337" s="417"/>
      <c r="J337" s="417"/>
      <c r="K337" s="418" t="str">
        <f t="shared" si="142"/>
        <v>rumus</v>
      </c>
      <c r="L337" s="419" t="str">
        <f t="shared" si="143"/>
        <v xml:space="preserve"> </v>
      </c>
      <c r="M337" s="116"/>
    </row>
    <row r="338" spans="1:14" ht="15" customHeight="1" x14ac:dyDescent="0.2">
      <c r="A338" s="109">
        <v>8</v>
      </c>
      <c r="B338" s="397" t="s">
        <v>399</v>
      </c>
      <c r="C338" s="106" t="s">
        <v>312</v>
      </c>
      <c r="D338" s="106" t="str">
        <f t="shared" si="138"/>
        <v/>
      </c>
      <c r="E338" s="398" t="str">
        <f t="shared" si="139"/>
        <v/>
      </c>
      <c r="F338" s="398" t="str">
        <f t="shared" si="140"/>
        <v/>
      </c>
      <c r="G338" s="399" t="str">
        <f t="shared" si="141"/>
        <v>rumus</v>
      </c>
      <c r="H338" s="114" t="s">
        <v>26</v>
      </c>
      <c r="I338" s="417"/>
      <c r="J338" s="417"/>
      <c r="K338" s="418" t="str">
        <f t="shared" si="142"/>
        <v>rumus</v>
      </c>
      <c r="L338" s="419" t="str">
        <f t="shared" si="143"/>
        <v xml:space="preserve"> </v>
      </c>
      <c r="M338" s="116"/>
    </row>
    <row r="339" spans="1:14" ht="15" customHeight="1" x14ac:dyDescent="0.2">
      <c r="A339" s="109">
        <v>9</v>
      </c>
      <c r="B339" s="397" t="s">
        <v>399</v>
      </c>
      <c r="C339" s="106" t="s">
        <v>312</v>
      </c>
      <c r="D339" s="106" t="str">
        <f t="shared" si="138"/>
        <v/>
      </c>
      <c r="E339" s="398" t="str">
        <f t="shared" si="139"/>
        <v/>
      </c>
      <c r="F339" s="398" t="str">
        <f t="shared" si="140"/>
        <v/>
      </c>
      <c r="G339" s="399" t="str">
        <f t="shared" si="141"/>
        <v>rumus</v>
      </c>
      <c r="H339" s="114" t="s">
        <v>26</v>
      </c>
      <c r="I339" s="417"/>
      <c r="J339" s="417"/>
      <c r="K339" s="418" t="str">
        <f t="shared" si="142"/>
        <v>rumus</v>
      </c>
      <c r="L339" s="419" t="str">
        <f t="shared" si="143"/>
        <v xml:space="preserve"> </v>
      </c>
      <c r="M339" s="116"/>
    </row>
    <row r="340" spans="1:14" ht="15" customHeight="1" x14ac:dyDescent="0.2">
      <c r="A340" s="109">
        <v>10</v>
      </c>
      <c r="B340" s="397" t="s">
        <v>399</v>
      </c>
      <c r="C340" s="106" t="s">
        <v>312</v>
      </c>
      <c r="D340" s="106" t="str">
        <f t="shared" si="138"/>
        <v/>
      </c>
      <c r="E340" s="398" t="str">
        <f t="shared" si="139"/>
        <v/>
      </c>
      <c r="F340" s="398" t="str">
        <f t="shared" si="140"/>
        <v/>
      </c>
      <c r="G340" s="399" t="str">
        <f t="shared" si="141"/>
        <v>rumus</v>
      </c>
      <c r="H340" s="114" t="s">
        <v>26</v>
      </c>
      <c r="I340" s="417"/>
      <c r="J340" s="417"/>
      <c r="K340" s="418" t="str">
        <f t="shared" si="142"/>
        <v>rumus</v>
      </c>
      <c r="L340" s="419" t="str">
        <f t="shared" si="143"/>
        <v xml:space="preserve"> </v>
      </c>
      <c r="M340" s="116"/>
    </row>
    <row r="341" spans="1:14" ht="15.75" customHeight="1" x14ac:dyDescent="0.2">
      <c r="A341" s="109"/>
      <c r="B341" s="406" t="str">
        <f>"a. Semester Gasal "&amp;IF(C342&lt;&gt;"",C342,"")&amp;" :"</f>
        <v>a. Semester Gasal 2013/2014 :</v>
      </c>
      <c r="C341" s="415"/>
      <c r="D341" s="415"/>
      <c r="E341" s="415"/>
      <c r="F341" s="415"/>
      <c r="G341" s="415"/>
      <c r="H341" s="416"/>
      <c r="I341" s="116"/>
      <c r="M341" s="118">
        <f>IF(IF((COUNTIF(L331:L340,"Pembimbing Utama Laporan akhir studi"))&lt;=10,(SUMIF(L331:L340,"Pembimbing Utama Laporan akhir studi",K331:K340)),1*10)+IF((COUNTIF(L331:L340,"Pembimbing Pendamping Laporan akhir studi"))&lt;=10,(SUMIF(L331:L340,"Pembimbing Pendamping Laporan akhir studi",K331:K340)),0.5*10)+IF((COUNTIF(L331:L340,"Pembimbing Utama Skripsi"))&lt;=8,(SUMIF(L331:L340,"Pembimbing Utama Skripsi",K331:K340)),1*8)+IF((COUNTIF(L331:L340,"Pembimbing Pendamping Skripsi"))&lt;=8,(SUMIF(L331:L340,"Pembimbing Pendamping Skripsi",K331:K340)),1*8)+IF((COUNTIF(L331:L340,"Pembimbing Utama Tesis"))&lt;=6,(SUMIF(L331:L340,"Pembimbing Utama Tesis",K331:K340)),3*6)+IF((COUNTIF(L331:L340,"Pembimbing Pendamping Tesis"))&lt;=6,(SUMIF(L331:L340,"Pembimbing Pendamping Tesis",K331:K340)),2*6)+IF((COUNTIF(L331:L340,"Pembimbing Utama Disertasi"))&lt;=4,(SUMIF(L331:L340,"Pembimbing Utama Disertasi",K331:K340)),8*4)+IF((COUNTIF(L331:L340,"Pembimbing Pendamping Disertasi"))&lt;=4,(SUMIF(L331:L340,"Pembimbing Pendamping Disertasi",K331:K340)),6*4)&lt;=32,IF((COUNTIF(L331:L340,"Pembimbing Utama Laporan akhir studi"))&lt;=10,(SUMIF(L331:L340,"Pembimbing Utama Laporan akhir studi",K331:K340)),1*10)+IF((COUNTIF(L331:L340,"Pembimbing Pendamping Laporan akhir studi"))&lt;=10,(SUMIF(L331:L340,"Pembimbing Pendamping Laporan akhir studi",K331:K340)),0.5*10)+IF((COUNTIF(L331:L340,"Pembimbing Utama Skripsi"))&lt;=8,(SUMIF(L331:L340,"Pembimbing Utama Skripsi",K331:K340)),1*8)+IF((COUNTIF(L331:L340,"Pembimbing Pendamping Skripsi"))&lt;=8,(SUMIF(L331:L340,"Pembimbing Pendamping Skripsi",K331:K340)),1*8)+IF((COUNTIF(L331:L340,"Pembimbing Utama Tesis"))&lt;=6,(SUMIF(L331:L340,"Pembimbing Utama Tesis",K331:K340)),3*6)+IF((COUNTIF(L331:L340,"Pembimbing Pendamping Tesis"))&lt;=6,(SUMIF(L331:L340,"Pembimbing Pendamping Tesis",K331:K340)),2*6)+IF((COUNTIF(L331:L340,"Pembimbing Utama Disertasi"))&lt;=4,(SUMIF(L331:L340,"Pembimbing Utama Disertasi",K331:K340)),8*4)+IF((COUNTIF(L331:L340,"Pembimbing Pendamping Disertasi"))&lt;=4,(SUMIF(L331:L340,"Pembimbing Pendamping Disertasi",K331:K340)),6*4),32)</f>
        <v>0</v>
      </c>
      <c r="N341" s="103" t="str">
        <f>"Max 32"</f>
        <v>Max 32</v>
      </c>
    </row>
    <row r="342" spans="1:14" ht="15" customHeight="1" x14ac:dyDescent="0.2">
      <c r="A342" s="109">
        <v>1</v>
      </c>
      <c r="B342" s="397" t="s">
        <v>399</v>
      </c>
      <c r="C342" s="106" t="s">
        <v>317</v>
      </c>
      <c r="D342" s="106" t="str">
        <f t="shared" ref="D342:D351" si="144">IF(G342&lt;&gt;"rumus","Lulusan","")</f>
        <v/>
      </c>
      <c r="E342" s="398" t="str">
        <f t="shared" ref="E342:E351" si="145">IF(I342&lt;&gt;"",1,"")</f>
        <v/>
      </c>
      <c r="F342" s="398" t="str">
        <f t="shared" ref="F342:F351" si="146">IF(I342&lt;&gt;"",K342,"")</f>
        <v/>
      </c>
      <c r="G342" s="399" t="str">
        <f t="shared" ref="G342:G351" si="147">IF(K342&lt;&gt;"rumus","1 x "&amp;K342&amp;" = "&amp;K342,"rumus")</f>
        <v>rumus</v>
      </c>
      <c r="H342" s="106" t="s">
        <v>315</v>
      </c>
      <c r="I342" s="417"/>
      <c r="J342" s="417"/>
      <c r="K342" s="418" t="str">
        <f t="shared" ref="K342:K351" si="148">IF(AND(I342&lt;&gt;"",J342&lt;&gt;""),IF(I342="Pembimbing Utama",IF(J342="Disertasi",8,IF(J342="Tesis",3,IF(J342="Skripsi",1,IF(J342="Laporan akhir studi",1,"")))),IF(I342="Pembimbing Pendamping",IF(J342="Disertasi",6,IF(J342="Tesis",2,IF(J342="Skripsi",0.5,IF(J342="Laporan akhir studi",0.5,"")))))),"rumus")</f>
        <v>rumus</v>
      </c>
      <c r="L342" s="419" t="str">
        <f t="shared" ref="L342:L351" si="149">I342&amp;" "&amp;J342</f>
        <v xml:space="preserve"> </v>
      </c>
      <c r="M342" s="116"/>
    </row>
    <row r="343" spans="1:14" ht="15" customHeight="1" x14ac:dyDescent="0.2">
      <c r="A343" s="109">
        <v>2</v>
      </c>
      <c r="B343" s="397" t="s">
        <v>399</v>
      </c>
      <c r="C343" s="106" t="s">
        <v>317</v>
      </c>
      <c r="D343" s="106" t="str">
        <f t="shared" si="144"/>
        <v/>
      </c>
      <c r="E343" s="398" t="str">
        <f t="shared" si="145"/>
        <v/>
      </c>
      <c r="F343" s="398" t="str">
        <f t="shared" si="146"/>
        <v/>
      </c>
      <c r="G343" s="399" t="str">
        <f t="shared" si="147"/>
        <v>rumus</v>
      </c>
      <c r="H343" s="114" t="s">
        <v>26</v>
      </c>
      <c r="I343" s="417"/>
      <c r="J343" s="417"/>
      <c r="K343" s="418" t="str">
        <f t="shared" si="148"/>
        <v>rumus</v>
      </c>
      <c r="L343" s="419" t="str">
        <f t="shared" si="149"/>
        <v xml:space="preserve"> </v>
      </c>
      <c r="M343" s="116"/>
    </row>
    <row r="344" spans="1:14" ht="15" customHeight="1" x14ac:dyDescent="0.2">
      <c r="A344" s="109">
        <v>3</v>
      </c>
      <c r="B344" s="397" t="s">
        <v>399</v>
      </c>
      <c r="C344" s="106" t="s">
        <v>317</v>
      </c>
      <c r="D344" s="106" t="str">
        <f t="shared" si="144"/>
        <v/>
      </c>
      <c r="E344" s="398" t="str">
        <f t="shared" si="145"/>
        <v/>
      </c>
      <c r="F344" s="398" t="str">
        <f t="shared" si="146"/>
        <v/>
      </c>
      <c r="G344" s="399" t="str">
        <f t="shared" si="147"/>
        <v>rumus</v>
      </c>
      <c r="H344" s="114" t="s">
        <v>26</v>
      </c>
      <c r="I344" s="417"/>
      <c r="J344" s="417"/>
      <c r="K344" s="418" t="str">
        <f t="shared" si="148"/>
        <v>rumus</v>
      </c>
      <c r="L344" s="419" t="str">
        <f t="shared" si="149"/>
        <v xml:space="preserve"> </v>
      </c>
      <c r="M344" s="116"/>
    </row>
    <row r="345" spans="1:14" ht="15" customHeight="1" x14ac:dyDescent="0.2">
      <c r="A345" s="109">
        <v>4</v>
      </c>
      <c r="B345" s="397" t="s">
        <v>399</v>
      </c>
      <c r="C345" s="106" t="s">
        <v>317</v>
      </c>
      <c r="D345" s="106" t="str">
        <f t="shared" si="144"/>
        <v/>
      </c>
      <c r="E345" s="398" t="str">
        <f t="shared" si="145"/>
        <v/>
      </c>
      <c r="F345" s="398" t="str">
        <f t="shared" si="146"/>
        <v/>
      </c>
      <c r="G345" s="399" t="str">
        <f t="shared" si="147"/>
        <v>rumus</v>
      </c>
      <c r="H345" s="114" t="s">
        <v>26</v>
      </c>
      <c r="I345" s="417"/>
      <c r="J345" s="417"/>
      <c r="K345" s="418" t="str">
        <f t="shared" si="148"/>
        <v>rumus</v>
      </c>
      <c r="L345" s="419" t="str">
        <f t="shared" si="149"/>
        <v xml:space="preserve"> </v>
      </c>
      <c r="M345" s="116"/>
    </row>
    <row r="346" spans="1:14" ht="15" customHeight="1" x14ac:dyDescent="0.2">
      <c r="A346" s="109">
        <v>5</v>
      </c>
      <c r="B346" s="397" t="s">
        <v>399</v>
      </c>
      <c r="C346" s="106" t="s">
        <v>317</v>
      </c>
      <c r="D346" s="106" t="str">
        <f t="shared" si="144"/>
        <v/>
      </c>
      <c r="E346" s="398" t="str">
        <f t="shared" si="145"/>
        <v/>
      </c>
      <c r="F346" s="398" t="str">
        <f t="shared" si="146"/>
        <v/>
      </c>
      <c r="G346" s="399" t="str">
        <f t="shared" si="147"/>
        <v>rumus</v>
      </c>
      <c r="H346" s="114" t="s">
        <v>26</v>
      </c>
      <c r="I346" s="417"/>
      <c r="J346" s="417"/>
      <c r="K346" s="418" t="str">
        <f t="shared" si="148"/>
        <v>rumus</v>
      </c>
      <c r="L346" s="419" t="str">
        <f t="shared" si="149"/>
        <v xml:space="preserve"> </v>
      </c>
      <c r="M346" s="116"/>
    </row>
    <row r="347" spans="1:14" ht="15" customHeight="1" x14ac:dyDescent="0.2">
      <c r="A347" s="109">
        <v>6</v>
      </c>
      <c r="B347" s="397" t="s">
        <v>399</v>
      </c>
      <c r="C347" s="106" t="s">
        <v>317</v>
      </c>
      <c r="D347" s="106" t="str">
        <f t="shared" si="144"/>
        <v/>
      </c>
      <c r="E347" s="398" t="str">
        <f t="shared" si="145"/>
        <v/>
      </c>
      <c r="F347" s="398" t="str">
        <f t="shared" si="146"/>
        <v/>
      </c>
      <c r="G347" s="399" t="str">
        <f t="shared" si="147"/>
        <v>rumus</v>
      </c>
      <c r="H347" s="114" t="s">
        <v>26</v>
      </c>
      <c r="I347" s="417"/>
      <c r="J347" s="417"/>
      <c r="K347" s="418" t="str">
        <f t="shared" si="148"/>
        <v>rumus</v>
      </c>
      <c r="L347" s="419" t="str">
        <f t="shared" si="149"/>
        <v xml:space="preserve"> </v>
      </c>
      <c r="M347" s="116"/>
    </row>
    <row r="348" spans="1:14" ht="15" customHeight="1" x14ac:dyDescent="0.2">
      <c r="A348" s="109">
        <v>7</v>
      </c>
      <c r="B348" s="397" t="s">
        <v>399</v>
      </c>
      <c r="C348" s="106" t="s">
        <v>317</v>
      </c>
      <c r="D348" s="106" t="str">
        <f t="shared" si="144"/>
        <v/>
      </c>
      <c r="E348" s="398" t="str">
        <f t="shared" si="145"/>
        <v/>
      </c>
      <c r="F348" s="398" t="str">
        <f t="shared" si="146"/>
        <v/>
      </c>
      <c r="G348" s="399" t="str">
        <f t="shared" si="147"/>
        <v>rumus</v>
      </c>
      <c r="H348" s="114" t="s">
        <v>26</v>
      </c>
      <c r="I348" s="417"/>
      <c r="J348" s="417"/>
      <c r="K348" s="418" t="str">
        <f t="shared" si="148"/>
        <v>rumus</v>
      </c>
      <c r="L348" s="419" t="str">
        <f t="shared" si="149"/>
        <v xml:space="preserve"> </v>
      </c>
      <c r="M348" s="116"/>
    </row>
    <row r="349" spans="1:14" ht="15" customHeight="1" x14ac:dyDescent="0.2">
      <c r="A349" s="109">
        <v>8</v>
      </c>
      <c r="B349" s="397" t="s">
        <v>399</v>
      </c>
      <c r="C349" s="106" t="s">
        <v>317</v>
      </c>
      <c r="D349" s="106" t="str">
        <f t="shared" si="144"/>
        <v/>
      </c>
      <c r="E349" s="398" t="str">
        <f t="shared" si="145"/>
        <v/>
      </c>
      <c r="F349" s="398" t="str">
        <f t="shared" si="146"/>
        <v/>
      </c>
      <c r="G349" s="399" t="str">
        <f t="shared" si="147"/>
        <v>rumus</v>
      </c>
      <c r="H349" s="114" t="s">
        <v>26</v>
      </c>
      <c r="I349" s="417"/>
      <c r="J349" s="417"/>
      <c r="K349" s="418" t="str">
        <f t="shared" si="148"/>
        <v>rumus</v>
      </c>
      <c r="L349" s="419" t="str">
        <f t="shared" si="149"/>
        <v xml:space="preserve"> </v>
      </c>
      <c r="M349" s="116"/>
    </row>
    <row r="350" spans="1:14" ht="15" customHeight="1" x14ac:dyDescent="0.2">
      <c r="A350" s="109">
        <v>9</v>
      </c>
      <c r="B350" s="397" t="s">
        <v>399</v>
      </c>
      <c r="C350" s="106" t="s">
        <v>317</v>
      </c>
      <c r="D350" s="106" t="str">
        <f t="shared" si="144"/>
        <v/>
      </c>
      <c r="E350" s="398" t="str">
        <f t="shared" si="145"/>
        <v/>
      </c>
      <c r="F350" s="398" t="str">
        <f t="shared" si="146"/>
        <v/>
      </c>
      <c r="G350" s="399" t="str">
        <f t="shared" si="147"/>
        <v>rumus</v>
      </c>
      <c r="H350" s="114" t="s">
        <v>26</v>
      </c>
      <c r="I350" s="417"/>
      <c r="J350" s="417"/>
      <c r="K350" s="418" t="str">
        <f t="shared" si="148"/>
        <v>rumus</v>
      </c>
      <c r="L350" s="419" t="str">
        <f t="shared" si="149"/>
        <v xml:space="preserve"> </v>
      </c>
      <c r="M350" s="116"/>
    </row>
    <row r="351" spans="1:14" ht="15" customHeight="1" x14ac:dyDescent="0.2">
      <c r="A351" s="109">
        <v>10</v>
      </c>
      <c r="B351" s="397" t="s">
        <v>399</v>
      </c>
      <c r="C351" s="106" t="s">
        <v>317</v>
      </c>
      <c r="D351" s="106" t="str">
        <f t="shared" si="144"/>
        <v/>
      </c>
      <c r="E351" s="398" t="str">
        <f t="shared" si="145"/>
        <v/>
      </c>
      <c r="F351" s="398" t="str">
        <f t="shared" si="146"/>
        <v/>
      </c>
      <c r="G351" s="399" t="str">
        <f t="shared" si="147"/>
        <v>rumus</v>
      </c>
      <c r="H351" s="114" t="s">
        <v>26</v>
      </c>
      <c r="I351" s="417"/>
      <c r="J351" s="417"/>
      <c r="K351" s="418" t="str">
        <f t="shared" si="148"/>
        <v>rumus</v>
      </c>
      <c r="L351" s="419" t="str">
        <f t="shared" si="149"/>
        <v xml:space="preserve"> </v>
      </c>
      <c r="M351" s="116"/>
    </row>
    <row r="352" spans="1:14" ht="15.75" customHeight="1" x14ac:dyDescent="0.2">
      <c r="A352" s="109"/>
      <c r="B352" s="406" t="str">
        <f>"a. Semester Gasal "&amp;IF(C353&lt;&gt;"",C353,"")&amp;" :"</f>
        <v>a. Semester Gasal 2014/2015 :</v>
      </c>
      <c r="C352" s="415"/>
      <c r="D352" s="415"/>
      <c r="E352" s="415"/>
      <c r="F352" s="415"/>
      <c r="G352" s="415"/>
      <c r="H352" s="416"/>
      <c r="I352" s="116"/>
      <c r="M352" s="118">
        <f>IF(IF((COUNTIF(L342:L351,"Pembimbing Utama Laporan akhir studi"))&lt;=10,(SUMIF(L342:L351,"Pembimbing Utama Laporan akhir studi",K342:K351)),1*10)+IF((COUNTIF(L342:L351,"Pembimbing Pendamping Laporan akhir studi"))&lt;=10,(SUMIF(L342:L351,"Pembimbing Pendamping Laporan akhir studi",K342:K351)),0.5*10)+IF((COUNTIF(L342:L351,"Pembimbing Utama Skripsi"))&lt;=8,(SUMIF(L342:L351,"Pembimbing Utama Skripsi",K342:K351)),1*8)+IF((COUNTIF(L342:L351,"Pembimbing Pendamping Skripsi"))&lt;=8,(SUMIF(L342:L351,"Pembimbing Pendamping Skripsi",K342:K351)),1*8)+IF((COUNTIF(L342:L351,"Pembimbing Utama Tesis"))&lt;=6,(SUMIF(L342:L351,"Pembimbing Utama Tesis",K342:K351)),3*6)+IF((COUNTIF(L342:L351,"Pembimbing Pendamping Tesis"))&lt;=6,(SUMIF(L342:L351,"Pembimbing Pendamping Tesis",K342:K351)),2*6)+IF((COUNTIF(L342:L351,"Pembimbing Utama Disertasi"))&lt;=4,(SUMIF(L342:L351,"Pembimbing Utama Disertasi",K342:K351)),8*4)+IF((COUNTIF(L342:L351,"Pembimbing Pendamping Disertasi"))&lt;=4,(SUMIF(L342:L351,"Pembimbing Pendamping Disertasi",K342:K351)),6*4)&lt;=32,IF((COUNTIF(L342:L351,"Pembimbing Utama Laporan akhir studi"))&lt;=10,(SUMIF(L342:L351,"Pembimbing Utama Laporan akhir studi",K342:K351)),1*10)+IF((COUNTIF(L342:L351,"Pembimbing Pendamping Laporan akhir studi"))&lt;=10,(SUMIF(L342:L351,"Pembimbing Pendamping Laporan akhir studi",K342:K351)),0.5*10)+IF((COUNTIF(L342:L351,"Pembimbing Utama Skripsi"))&lt;=8,(SUMIF(L342:L351,"Pembimbing Utama Skripsi",K342:K351)),1*8)+IF((COUNTIF(L342:L351,"Pembimbing Pendamping Skripsi"))&lt;=8,(SUMIF(L342:L351,"Pembimbing Pendamping Skripsi",K342:K351)),1*8)+IF((COUNTIF(L342:L351,"Pembimbing Utama Tesis"))&lt;=6,(SUMIF(L342:L351,"Pembimbing Utama Tesis",K342:K351)),3*6)+IF((COUNTIF(L342:L351,"Pembimbing Pendamping Tesis"))&lt;=6,(SUMIF(L342:L351,"Pembimbing Pendamping Tesis",K342:K351)),2*6)+IF((COUNTIF(L342:L351,"Pembimbing Utama Disertasi"))&lt;=4,(SUMIF(L342:L351,"Pembimbing Utama Disertasi",K342:K351)),8*4)+IF((COUNTIF(L342:L351,"Pembimbing Pendamping Disertasi"))&lt;=4,(SUMIF(L342:L351,"Pembimbing Pendamping Disertasi",K342:K351)),6*4),32)</f>
        <v>0</v>
      </c>
      <c r="N352" s="103" t="str">
        <f>"Max 32"</f>
        <v>Max 32</v>
      </c>
    </row>
    <row r="353" spans="1:17" ht="15.75" customHeight="1" x14ac:dyDescent="0.2">
      <c r="A353" s="109">
        <v>1</v>
      </c>
      <c r="B353" s="397" t="s">
        <v>399</v>
      </c>
      <c r="C353" s="106" t="s">
        <v>319</v>
      </c>
      <c r="D353" s="106" t="str">
        <f t="shared" ref="D353:D362" si="150">IF(G353&lt;&gt;"rumus","Lulusan","")</f>
        <v/>
      </c>
      <c r="E353" s="398" t="str">
        <f t="shared" ref="E353:E362" si="151">IF(I353&lt;&gt;"",1,"")</f>
        <v/>
      </c>
      <c r="F353" s="398" t="str">
        <f t="shared" ref="F353:F362" si="152">IF(I353&lt;&gt;"",K353,"")</f>
        <v/>
      </c>
      <c r="G353" s="399" t="str">
        <f t="shared" ref="G353:G362" si="153">IF(K353&lt;&gt;"rumus","1 x "&amp;K353&amp;" = "&amp;K353,"rumus")</f>
        <v>rumus</v>
      </c>
      <c r="H353" s="106" t="s">
        <v>315</v>
      </c>
      <c r="I353" s="417"/>
      <c r="J353" s="417"/>
      <c r="K353" s="418" t="str">
        <f t="shared" ref="K353:K362" si="154">IF(AND(I353&lt;&gt;"",J353&lt;&gt;""),IF(I353="Pembimbing Utama",IF(J353="Disertasi",8,IF(J353="Tesis",3,IF(J353="Skripsi",1,IF(J353="Laporan akhir studi",1,"")))),IF(I353="Pembimbing Pendamping",IF(J353="Disertasi",6,IF(J353="Tesis",2,IF(J353="Skripsi",0.5,IF(J353="Laporan akhir studi",0.5,"")))))),"rumus")</f>
        <v>rumus</v>
      </c>
      <c r="L353" s="419" t="str">
        <f t="shared" ref="L353:L362" si="155">I353&amp;" "&amp;J353</f>
        <v xml:space="preserve"> </v>
      </c>
      <c r="M353" s="116"/>
    </row>
    <row r="354" spans="1:17" ht="15.75" customHeight="1" x14ac:dyDescent="0.2">
      <c r="A354" s="109">
        <v>2</v>
      </c>
      <c r="B354" s="397" t="s">
        <v>399</v>
      </c>
      <c r="C354" s="106" t="s">
        <v>319</v>
      </c>
      <c r="D354" s="106" t="str">
        <f t="shared" si="150"/>
        <v/>
      </c>
      <c r="E354" s="398" t="str">
        <f t="shared" si="151"/>
        <v/>
      </c>
      <c r="F354" s="398" t="str">
        <f t="shared" si="152"/>
        <v/>
      </c>
      <c r="G354" s="399" t="str">
        <f t="shared" si="153"/>
        <v>rumus</v>
      </c>
      <c r="H354" s="114" t="s">
        <v>26</v>
      </c>
      <c r="I354" s="417"/>
      <c r="J354" s="417"/>
      <c r="K354" s="418" t="str">
        <f t="shared" si="154"/>
        <v>rumus</v>
      </c>
      <c r="L354" s="419" t="str">
        <f t="shared" si="155"/>
        <v xml:space="preserve"> </v>
      </c>
      <c r="M354" s="116"/>
    </row>
    <row r="355" spans="1:17" ht="15.75" customHeight="1" x14ac:dyDescent="0.2">
      <c r="A355" s="109">
        <v>3</v>
      </c>
      <c r="B355" s="397" t="s">
        <v>399</v>
      </c>
      <c r="C355" s="106" t="s">
        <v>319</v>
      </c>
      <c r="D355" s="106" t="str">
        <f t="shared" si="150"/>
        <v/>
      </c>
      <c r="E355" s="398" t="str">
        <f t="shared" si="151"/>
        <v/>
      </c>
      <c r="F355" s="398" t="str">
        <f t="shared" si="152"/>
        <v/>
      </c>
      <c r="G355" s="399" t="str">
        <f t="shared" si="153"/>
        <v>rumus</v>
      </c>
      <c r="H355" s="114" t="s">
        <v>26</v>
      </c>
      <c r="I355" s="417"/>
      <c r="J355" s="417"/>
      <c r="K355" s="418" t="str">
        <f t="shared" si="154"/>
        <v>rumus</v>
      </c>
      <c r="L355" s="419" t="str">
        <f t="shared" si="155"/>
        <v xml:space="preserve"> </v>
      </c>
      <c r="M355" s="116"/>
    </row>
    <row r="356" spans="1:17" ht="15.75" customHeight="1" x14ac:dyDescent="0.2">
      <c r="A356" s="109">
        <v>4</v>
      </c>
      <c r="B356" s="397" t="s">
        <v>399</v>
      </c>
      <c r="C356" s="106" t="s">
        <v>319</v>
      </c>
      <c r="D356" s="106" t="str">
        <f t="shared" si="150"/>
        <v/>
      </c>
      <c r="E356" s="398" t="str">
        <f t="shared" si="151"/>
        <v/>
      </c>
      <c r="F356" s="398" t="str">
        <f t="shared" si="152"/>
        <v/>
      </c>
      <c r="G356" s="399" t="str">
        <f t="shared" si="153"/>
        <v>rumus</v>
      </c>
      <c r="H356" s="114" t="s">
        <v>26</v>
      </c>
      <c r="I356" s="417"/>
      <c r="J356" s="417"/>
      <c r="K356" s="418" t="str">
        <f t="shared" si="154"/>
        <v>rumus</v>
      </c>
      <c r="L356" s="419" t="str">
        <f t="shared" si="155"/>
        <v xml:space="preserve"> </v>
      </c>
      <c r="M356" s="116"/>
    </row>
    <row r="357" spans="1:17" ht="15.75" customHeight="1" x14ac:dyDescent="0.2">
      <c r="A357" s="109">
        <v>5</v>
      </c>
      <c r="B357" s="397" t="s">
        <v>399</v>
      </c>
      <c r="C357" s="106" t="s">
        <v>319</v>
      </c>
      <c r="D357" s="106" t="str">
        <f t="shared" si="150"/>
        <v/>
      </c>
      <c r="E357" s="398" t="str">
        <f t="shared" si="151"/>
        <v/>
      </c>
      <c r="F357" s="398" t="str">
        <f t="shared" si="152"/>
        <v/>
      </c>
      <c r="G357" s="399" t="str">
        <f t="shared" si="153"/>
        <v>rumus</v>
      </c>
      <c r="H357" s="114" t="s">
        <v>26</v>
      </c>
      <c r="I357" s="417"/>
      <c r="J357" s="417"/>
      <c r="K357" s="418" t="str">
        <f t="shared" si="154"/>
        <v>rumus</v>
      </c>
      <c r="L357" s="419" t="str">
        <f t="shared" si="155"/>
        <v xml:space="preserve"> </v>
      </c>
      <c r="M357" s="116"/>
    </row>
    <row r="358" spans="1:17" ht="15.75" customHeight="1" x14ac:dyDescent="0.2">
      <c r="A358" s="109">
        <v>6</v>
      </c>
      <c r="B358" s="397" t="s">
        <v>399</v>
      </c>
      <c r="C358" s="106" t="s">
        <v>319</v>
      </c>
      <c r="D358" s="106" t="str">
        <f t="shared" si="150"/>
        <v/>
      </c>
      <c r="E358" s="398" t="str">
        <f t="shared" si="151"/>
        <v/>
      </c>
      <c r="F358" s="398" t="str">
        <f t="shared" si="152"/>
        <v/>
      </c>
      <c r="G358" s="399" t="str">
        <f t="shared" si="153"/>
        <v>rumus</v>
      </c>
      <c r="H358" s="114" t="s">
        <v>26</v>
      </c>
      <c r="I358" s="417"/>
      <c r="J358" s="417"/>
      <c r="K358" s="418" t="str">
        <f t="shared" si="154"/>
        <v>rumus</v>
      </c>
      <c r="L358" s="419" t="str">
        <f t="shared" si="155"/>
        <v xml:space="preserve"> </v>
      </c>
      <c r="M358" s="116"/>
    </row>
    <row r="359" spans="1:17" ht="15.75" customHeight="1" x14ac:dyDescent="0.2">
      <c r="A359" s="109">
        <v>7</v>
      </c>
      <c r="B359" s="397" t="s">
        <v>399</v>
      </c>
      <c r="C359" s="106" t="s">
        <v>319</v>
      </c>
      <c r="D359" s="106" t="str">
        <f t="shared" si="150"/>
        <v/>
      </c>
      <c r="E359" s="398" t="str">
        <f t="shared" si="151"/>
        <v/>
      </c>
      <c r="F359" s="398" t="str">
        <f t="shared" si="152"/>
        <v/>
      </c>
      <c r="G359" s="399" t="str">
        <f t="shared" si="153"/>
        <v>rumus</v>
      </c>
      <c r="H359" s="114" t="s">
        <v>26</v>
      </c>
      <c r="I359" s="417"/>
      <c r="J359" s="417"/>
      <c r="K359" s="418" t="str">
        <f t="shared" si="154"/>
        <v>rumus</v>
      </c>
      <c r="L359" s="419" t="str">
        <f t="shared" si="155"/>
        <v xml:space="preserve"> </v>
      </c>
      <c r="M359" s="116"/>
    </row>
    <row r="360" spans="1:17" ht="15.75" customHeight="1" x14ac:dyDescent="0.2">
      <c r="A360" s="109">
        <v>8</v>
      </c>
      <c r="B360" s="397" t="s">
        <v>399</v>
      </c>
      <c r="C360" s="106" t="s">
        <v>319</v>
      </c>
      <c r="D360" s="106" t="str">
        <f t="shared" si="150"/>
        <v/>
      </c>
      <c r="E360" s="398" t="str">
        <f t="shared" si="151"/>
        <v/>
      </c>
      <c r="F360" s="398" t="str">
        <f t="shared" si="152"/>
        <v/>
      </c>
      <c r="G360" s="399" t="str">
        <f t="shared" si="153"/>
        <v>rumus</v>
      </c>
      <c r="H360" s="114" t="s">
        <v>26</v>
      </c>
      <c r="I360" s="417"/>
      <c r="J360" s="417"/>
      <c r="K360" s="418" t="str">
        <f t="shared" si="154"/>
        <v>rumus</v>
      </c>
      <c r="L360" s="419" t="str">
        <f t="shared" si="155"/>
        <v xml:space="preserve"> </v>
      </c>
      <c r="M360" s="116"/>
    </row>
    <row r="361" spans="1:17" ht="15.75" customHeight="1" x14ac:dyDescent="0.2">
      <c r="A361" s="109">
        <v>9</v>
      </c>
      <c r="B361" s="397" t="s">
        <v>399</v>
      </c>
      <c r="C361" s="106" t="s">
        <v>319</v>
      </c>
      <c r="D361" s="106" t="str">
        <f t="shared" si="150"/>
        <v/>
      </c>
      <c r="E361" s="398" t="str">
        <f t="shared" si="151"/>
        <v/>
      </c>
      <c r="F361" s="398" t="str">
        <f t="shared" si="152"/>
        <v/>
      </c>
      <c r="G361" s="399" t="str">
        <f t="shared" si="153"/>
        <v>rumus</v>
      </c>
      <c r="H361" s="114" t="s">
        <v>26</v>
      </c>
      <c r="I361" s="417"/>
      <c r="J361" s="417"/>
      <c r="K361" s="418" t="str">
        <f t="shared" si="154"/>
        <v>rumus</v>
      </c>
      <c r="L361" s="419" t="str">
        <f t="shared" si="155"/>
        <v xml:space="preserve"> </v>
      </c>
      <c r="M361" s="116"/>
    </row>
    <row r="362" spans="1:17" ht="15.75" customHeight="1" x14ac:dyDescent="0.2">
      <c r="A362" s="109">
        <v>10</v>
      </c>
      <c r="B362" s="397" t="s">
        <v>399</v>
      </c>
      <c r="C362" s="106" t="s">
        <v>319</v>
      </c>
      <c r="D362" s="106" t="str">
        <f t="shared" si="150"/>
        <v/>
      </c>
      <c r="E362" s="398" t="str">
        <f t="shared" si="151"/>
        <v/>
      </c>
      <c r="F362" s="398" t="str">
        <f t="shared" si="152"/>
        <v/>
      </c>
      <c r="G362" s="399" t="str">
        <f t="shared" si="153"/>
        <v>rumus</v>
      </c>
      <c r="H362" s="114" t="s">
        <v>26</v>
      </c>
      <c r="I362" s="417"/>
      <c r="J362" s="417"/>
      <c r="K362" s="418" t="str">
        <f t="shared" si="154"/>
        <v>rumus</v>
      </c>
      <c r="L362" s="419" t="str">
        <f t="shared" si="155"/>
        <v xml:space="preserve"> </v>
      </c>
      <c r="M362" s="116"/>
    </row>
    <row r="363" spans="1:17" ht="15" customHeight="1" x14ac:dyDescent="0.25">
      <c r="A363" s="109"/>
      <c r="B363" s="406" t="str">
        <f>"a. Semester Gasal "&amp;IF(C364&lt;&gt;"",C364,"")&amp;" :"</f>
        <v>a. Semester Gasal 2015/2016 :</v>
      </c>
      <c r="C363" s="407"/>
      <c r="D363" s="407"/>
      <c r="E363" s="407"/>
      <c r="F363" s="407"/>
      <c r="G363" s="407"/>
      <c r="H363" s="408"/>
      <c r="I363" s="123"/>
      <c r="J363" s="111"/>
      <c r="M363" s="118">
        <f>IF(IF((COUNTIF(L353:L362,"Pembimbing Utama Laporan akhir studi"))&lt;=10,(SUMIF(L353:L362,"Pembimbing Utama Laporan akhir studi",K353:K362)),1*10)+IF((COUNTIF(L353:L362,"Pembimbing Pendamping Laporan akhir studi"))&lt;=10,(SUMIF(L353:L362,"Pembimbing Pendamping Laporan akhir studi",K353:K362)),0.5*10)+IF((COUNTIF(L353:L362,"Pembimbing Utama Skripsi"))&lt;=8,(SUMIF(L353:L362,"Pembimbing Utama Skripsi",K353:K362)),1*8)+IF((COUNTIF(L353:L362,"Pembimbing Pendamping Skripsi"))&lt;=8,(SUMIF(L353:L362,"Pembimbing Pendamping Skripsi",K353:K362)),1*8)+IF((COUNTIF(L353:L362,"Pembimbing Utama Tesis"))&lt;=6,(SUMIF(L353:L362,"Pembimbing Utama Tesis",K353:K362)),3*6)+IF((COUNTIF(L353:L362,"Pembimbing Pendamping Tesis"))&lt;=6,(SUMIF(L353:L362,"Pembimbing Pendamping Tesis",K353:K362)),2*6)+IF((COUNTIF(L353:L362,"Pembimbing Utama Disertasi"))&lt;=4,(SUMIF(L353:L362,"Pembimbing Utama Disertasi",K353:K362)),8*4)+IF((COUNTIF(L353:L362,"Pembimbing Pendamping Disertasi"))&lt;=4,(SUMIF(L353:L362,"Pembimbing Pendamping Disertasi",K353:K362)),6*4)&lt;=32,IF((COUNTIF(L353:L362,"Pembimbing Utama Laporan akhir studi"))&lt;=10,(SUMIF(L353:L362,"Pembimbing Utama Laporan akhir studi",K353:K362)),1*10)+IF((COUNTIF(L353:L362,"Pembimbing Pendamping Laporan akhir studi"))&lt;=10,(SUMIF(L353:L362,"Pembimbing Pendamping Laporan akhir studi",K353:K362)),0.5*10)+IF((COUNTIF(L353:L362,"Pembimbing Utama Skripsi"))&lt;=8,(SUMIF(L353:L362,"Pembimbing Utama Skripsi",K353:K362)),1*8)+IF((COUNTIF(L353:L362,"Pembimbing Pendamping Skripsi"))&lt;=8,(SUMIF(L353:L362,"Pembimbing Pendamping Skripsi",K353:K362)),1*8)+IF((COUNTIF(L353:L362,"Pembimbing Utama Tesis"))&lt;=6,(SUMIF(L353:L362,"Pembimbing Utama Tesis",K353:K362)),3*6)+IF((COUNTIF(L353:L362,"Pembimbing Pendamping Tesis"))&lt;=6,(SUMIF(L353:L362,"Pembimbing Pendamping Tesis",K353:K362)),2*6)+IF((COUNTIF(L353:L362,"Pembimbing Utama Disertasi"))&lt;=4,(SUMIF(L353:L362,"Pembimbing Utama Disertasi",K353:K362)),8*4)+IF((COUNTIF(L353:L362,"Pembimbing Pendamping Disertasi"))&lt;=4,(SUMIF(L353:L362,"Pembimbing Pendamping Disertasi",K353:K362)),6*4),32)</f>
        <v>0</v>
      </c>
      <c r="N363" s="103" t="str">
        <f>"Max 32"</f>
        <v>Max 32</v>
      </c>
      <c r="Q363" s="108"/>
    </row>
    <row r="364" spans="1:17" ht="15.75" customHeight="1" x14ac:dyDescent="0.2">
      <c r="A364" s="109">
        <v>1</v>
      </c>
      <c r="B364" s="397" t="s">
        <v>399</v>
      </c>
      <c r="C364" s="106" t="s">
        <v>321</v>
      </c>
      <c r="D364" s="106" t="str">
        <f t="shared" ref="D364:D373" si="156">IF(G364&lt;&gt;"rumus","Lulusan","")</f>
        <v/>
      </c>
      <c r="E364" s="398" t="str">
        <f t="shared" ref="E364:E373" si="157">IF(I364&lt;&gt;"",1,"")</f>
        <v/>
      </c>
      <c r="F364" s="398" t="str">
        <f t="shared" ref="F364:F373" si="158">IF(I364&lt;&gt;"",K364,"")</f>
        <v/>
      </c>
      <c r="G364" s="399" t="str">
        <f t="shared" ref="G364:G373" si="159">IF(K364&lt;&gt;"rumus","1 x "&amp;K364&amp;" = "&amp;K364,"rumus")</f>
        <v>rumus</v>
      </c>
      <c r="H364" s="106" t="s">
        <v>315</v>
      </c>
      <c r="I364" s="417"/>
      <c r="J364" s="417"/>
      <c r="K364" s="418" t="str">
        <f t="shared" ref="K364:K373" si="160">IF(AND(I364&lt;&gt;"",J364&lt;&gt;""),IF(I364="Pembimbing Utama",IF(J364="Disertasi",8,IF(J364="Tesis",3,IF(J364="Skripsi",1,IF(J364="Laporan akhir studi",1,"")))),IF(I364="Pembimbing Pendamping",IF(J364="Disertasi",6,IF(J364="Tesis",2,IF(J364="Skripsi",0.5,IF(J364="Laporan akhir studi",0.5,"")))))),"rumus")</f>
        <v>rumus</v>
      </c>
      <c r="L364" s="419" t="str">
        <f t="shared" ref="L364:L373" si="161">I364&amp;" "&amp;J364</f>
        <v xml:space="preserve"> </v>
      </c>
      <c r="M364" s="116"/>
    </row>
    <row r="365" spans="1:17" ht="15.75" customHeight="1" x14ac:dyDescent="0.2">
      <c r="A365" s="109">
        <v>2</v>
      </c>
      <c r="B365" s="397" t="s">
        <v>399</v>
      </c>
      <c r="C365" s="106" t="s">
        <v>321</v>
      </c>
      <c r="D365" s="106" t="str">
        <f t="shared" si="156"/>
        <v/>
      </c>
      <c r="E365" s="398" t="str">
        <f t="shared" si="157"/>
        <v/>
      </c>
      <c r="F365" s="398" t="str">
        <f t="shared" si="158"/>
        <v/>
      </c>
      <c r="G365" s="399" t="str">
        <f t="shared" si="159"/>
        <v>rumus</v>
      </c>
      <c r="H365" s="114" t="s">
        <v>26</v>
      </c>
      <c r="I365" s="417"/>
      <c r="J365" s="417"/>
      <c r="K365" s="418" t="str">
        <f t="shared" si="160"/>
        <v>rumus</v>
      </c>
      <c r="L365" s="419" t="str">
        <f t="shared" si="161"/>
        <v xml:space="preserve"> </v>
      </c>
      <c r="M365" s="116"/>
    </row>
    <row r="366" spans="1:17" ht="15.75" customHeight="1" x14ac:dyDescent="0.2">
      <c r="A366" s="109">
        <v>3</v>
      </c>
      <c r="B366" s="397" t="s">
        <v>399</v>
      </c>
      <c r="C366" s="106" t="s">
        <v>321</v>
      </c>
      <c r="D366" s="106" t="str">
        <f t="shared" si="156"/>
        <v/>
      </c>
      <c r="E366" s="398" t="str">
        <f t="shared" si="157"/>
        <v/>
      </c>
      <c r="F366" s="398" t="str">
        <f t="shared" si="158"/>
        <v/>
      </c>
      <c r="G366" s="399" t="str">
        <f t="shared" si="159"/>
        <v>rumus</v>
      </c>
      <c r="H366" s="114" t="s">
        <v>26</v>
      </c>
      <c r="I366" s="417"/>
      <c r="J366" s="417"/>
      <c r="K366" s="418" t="str">
        <f t="shared" si="160"/>
        <v>rumus</v>
      </c>
      <c r="L366" s="419" t="str">
        <f t="shared" si="161"/>
        <v xml:space="preserve"> </v>
      </c>
      <c r="M366" s="116"/>
    </row>
    <row r="367" spans="1:17" ht="15.75" customHeight="1" x14ac:dyDescent="0.2">
      <c r="A367" s="109">
        <v>4</v>
      </c>
      <c r="B367" s="397" t="s">
        <v>399</v>
      </c>
      <c r="C367" s="106" t="s">
        <v>321</v>
      </c>
      <c r="D367" s="106" t="str">
        <f t="shared" si="156"/>
        <v/>
      </c>
      <c r="E367" s="398" t="str">
        <f t="shared" si="157"/>
        <v/>
      </c>
      <c r="F367" s="398" t="str">
        <f t="shared" si="158"/>
        <v/>
      </c>
      <c r="G367" s="399" t="str">
        <f t="shared" si="159"/>
        <v>rumus</v>
      </c>
      <c r="H367" s="114" t="s">
        <v>26</v>
      </c>
      <c r="I367" s="417"/>
      <c r="J367" s="417"/>
      <c r="K367" s="418" t="str">
        <f t="shared" si="160"/>
        <v>rumus</v>
      </c>
      <c r="L367" s="419" t="str">
        <f t="shared" si="161"/>
        <v xml:space="preserve"> </v>
      </c>
      <c r="M367" s="116"/>
    </row>
    <row r="368" spans="1:17" ht="15.75" customHeight="1" x14ac:dyDescent="0.2">
      <c r="A368" s="109">
        <v>5</v>
      </c>
      <c r="B368" s="397" t="s">
        <v>399</v>
      </c>
      <c r="C368" s="106" t="s">
        <v>321</v>
      </c>
      <c r="D368" s="106" t="str">
        <f t="shared" si="156"/>
        <v/>
      </c>
      <c r="E368" s="398" t="str">
        <f t="shared" si="157"/>
        <v/>
      </c>
      <c r="F368" s="398" t="str">
        <f t="shared" si="158"/>
        <v/>
      </c>
      <c r="G368" s="399" t="str">
        <f t="shared" si="159"/>
        <v>rumus</v>
      </c>
      <c r="H368" s="114" t="s">
        <v>26</v>
      </c>
      <c r="I368" s="417"/>
      <c r="J368" s="417"/>
      <c r="K368" s="418" t="str">
        <f t="shared" si="160"/>
        <v>rumus</v>
      </c>
      <c r="L368" s="419" t="str">
        <f t="shared" si="161"/>
        <v xml:space="preserve"> </v>
      </c>
      <c r="M368" s="116"/>
    </row>
    <row r="369" spans="1:17" ht="15.75" customHeight="1" x14ac:dyDescent="0.2">
      <c r="A369" s="109">
        <v>6</v>
      </c>
      <c r="B369" s="397" t="s">
        <v>399</v>
      </c>
      <c r="C369" s="106" t="s">
        <v>321</v>
      </c>
      <c r="D369" s="106" t="str">
        <f t="shared" si="156"/>
        <v/>
      </c>
      <c r="E369" s="398" t="str">
        <f t="shared" si="157"/>
        <v/>
      </c>
      <c r="F369" s="398" t="str">
        <f t="shared" si="158"/>
        <v/>
      </c>
      <c r="G369" s="399" t="str">
        <f t="shared" si="159"/>
        <v>rumus</v>
      </c>
      <c r="H369" s="114" t="s">
        <v>26</v>
      </c>
      <c r="I369" s="417"/>
      <c r="J369" s="417"/>
      <c r="K369" s="418" t="str">
        <f t="shared" si="160"/>
        <v>rumus</v>
      </c>
      <c r="L369" s="419" t="str">
        <f t="shared" si="161"/>
        <v xml:space="preserve"> </v>
      </c>
      <c r="M369" s="116"/>
    </row>
    <row r="370" spans="1:17" ht="15.75" customHeight="1" x14ac:dyDescent="0.2">
      <c r="A370" s="109">
        <v>7</v>
      </c>
      <c r="B370" s="397" t="s">
        <v>399</v>
      </c>
      <c r="C370" s="106" t="s">
        <v>321</v>
      </c>
      <c r="D370" s="106" t="str">
        <f t="shared" si="156"/>
        <v/>
      </c>
      <c r="E370" s="398" t="str">
        <f t="shared" si="157"/>
        <v/>
      </c>
      <c r="F370" s="398" t="str">
        <f t="shared" si="158"/>
        <v/>
      </c>
      <c r="G370" s="399" t="str">
        <f t="shared" si="159"/>
        <v>rumus</v>
      </c>
      <c r="H370" s="114" t="s">
        <v>26</v>
      </c>
      <c r="I370" s="417"/>
      <c r="J370" s="417"/>
      <c r="K370" s="418" t="str">
        <f t="shared" si="160"/>
        <v>rumus</v>
      </c>
      <c r="L370" s="419" t="str">
        <f t="shared" si="161"/>
        <v xml:space="preserve"> </v>
      </c>
      <c r="M370" s="116"/>
    </row>
    <row r="371" spans="1:17" ht="15.75" customHeight="1" x14ac:dyDescent="0.2">
      <c r="A371" s="109">
        <v>8</v>
      </c>
      <c r="B371" s="397" t="s">
        <v>399</v>
      </c>
      <c r="C371" s="106" t="s">
        <v>321</v>
      </c>
      <c r="D371" s="106" t="str">
        <f t="shared" si="156"/>
        <v/>
      </c>
      <c r="E371" s="398" t="str">
        <f t="shared" si="157"/>
        <v/>
      </c>
      <c r="F371" s="398" t="str">
        <f t="shared" si="158"/>
        <v/>
      </c>
      <c r="G371" s="399" t="str">
        <f t="shared" si="159"/>
        <v>rumus</v>
      </c>
      <c r="H371" s="114" t="s">
        <v>26</v>
      </c>
      <c r="I371" s="417"/>
      <c r="J371" s="417"/>
      <c r="K371" s="418" t="str">
        <f t="shared" si="160"/>
        <v>rumus</v>
      </c>
      <c r="L371" s="419" t="str">
        <f t="shared" si="161"/>
        <v xml:space="preserve"> </v>
      </c>
      <c r="M371" s="116"/>
    </row>
    <row r="372" spans="1:17" ht="15.75" customHeight="1" x14ac:dyDescent="0.2">
      <c r="A372" s="109">
        <v>9</v>
      </c>
      <c r="B372" s="397" t="s">
        <v>399</v>
      </c>
      <c r="C372" s="106" t="s">
        <v>321</v>
      </c>
      <c r="D372" s="106" t="str">
        <f t="shared" si="156"/>
        <v/>
      </c>
      <c r="E372" s="398" t="str">
        <f t="shared" si="157"/>
        <v/>
      </c>
      <c r="F372" s="398" t="str">
        <f t="shared" si="158"/>
        <v/>
      </c>
      <c r="G372" s="399" t="str">
        <f t="shared" si="159"/>
        <v>rumus</v>
      </c>
      <c r="H372" s="114" t="s">
        <v>26</v>
      </c>
      <c r="I372" s="417"/>
      <c r="J372" s="417"/>
      <c r="K372" s="418" t="str">
        <f t="shared" si="160"/>
        <v>rumus</v>
      </c>
      <c r="L372" s="419" t="str">
        <f t="shared" si="161"/>
        <v xml:space="preserve"> </v>
      </c>
      <c r="M372" s="116"/>
    </row>
    <row r="373" spans="1:17" ht="15.75" customHeight="1" x14ac:dyDescent="0.2">
      <c r="A373" s="109">
        <v>10</v>
      </c>
      <c r="B373" s="397" t="s">
        <v>399</v>
      </c>
      <c r="C373" s="106" t="s">
        <v>321</v>
      </c>
      <c r="D373" s="106" t="str">
        <f t="shared" si="156"/>
        <v/>
      </c>
      <c r="E373" s="398" t="str">
        <f t="shared" si="157"/>
        <v/>
      </c>
      <c r="F373" s="398" t="str">
        <f t="shared" si="158"/>
        <v/>
      </c>
      <c r="G373" s="399" t="str">
        <f t="shared" si="159"/>
        <v>rumus</v>
      </c>
      <c r="H373" s="114" t="s">
        <v>26</v>
      </c>
      <c r="I373" s="417"/>
      <c r="J373" s="417"/>
      <c r="K373" s="418" t="str">
        <f t="shared" si="160"/>
        <v>rumus</v>
      </c>
      <c r="L373" s="419" t="str">
        <f t="shared" si="161"/>
        <v xml:space="preserve"> </v>
      </c>
      <c r="M373" s="116"/>
    </row>
    <row r="374" spans="1:17" ht="15" customHeight="1" x14ac:dyDescent="0.25">
      <c r="A374" s="109"/>
      <c r="B374" s="406" t="str">
        <f>"a. Semester Gasal "&amp;IF(C375&lt;&gt;"",C375,"")&amp;" :"</f>
        <v>a. Semester Gasal 2016/2017 :</v>
      </c>
      <c r="C374" s="407"/>
      <c r="D374" s="407"/>
      <c r="E374" s="407"/>
      <c r="F374" s="407"/>
      <c r="G374" s="407"/>
      <c r="H374" s="408"/>
      <c r="I374" s="123"/>
      <c r="J374" s="111"/>
      <c r="M374" s="118">
        <f>IF(IF((COUNTIF(L364:L373,"Pembimbing Utama Laporan akhir studi"))&lt;=10,(SUMIF(L364:L373,"Pembimbing Utama Laporan akhir studi",K364:K373)),1*10)+IF((COUNTIF(L364:L373,"Pembimbing Pendamping Laporan akhir studi"))&lt;=10,(SUMIF(L364:L373,"Pembimbing Pendamping Laporan akhir studi",K364:K373)),0.5*10)+IF((COUNTIF(L364:L373,"Pembimbing Utama Skripsi"))&lt;=8,(SUMIF(L364:L373,"Pembimbing Utama Skripsi",K364:K373)),1*8)+IF((COUNTIF(L364:L373,"Pembimbing Pendamping Skripsi"))&lt;=8,(SUMIF(L364:L373,"Pembimbing Pendamping Skripsi",K364:K373)),1*8)+IF((COUNTIF(L364:L373,"Pembimbing Utama Tesis"))&lt;=6,(SUMIF(L364:L373,"Pembimbing Utama Tesis",K364:K373)),3*6)+IF((COUNTIF(L364:L373,"Pembimbing Pendamping Tesis"))&lt;=6,(SUMIF(L364:L373,"Pembimbing Pendamping Tesis",K364:K373)),2*6)+IF((COUNTIF(L364:L373,"Pembimbing Utama Disertasi"))&lt;=4,(SUMIF(L364:L373,"Pembimbing Utama Disertasi",K364:K373)),8*4)+IF((COUNTIF(L364:L373,"Pembimbing Pendamping Disertasi"))&lt;=4,(SUMIF(L364:L373,"Pembimbing Pendamping Disertasi",K364:K373)),6*4)&lt;=32,IF((COUNTIF(L364:L373,"Pembimbing Utama Laporan akhir studi"))&lt;=10,(SUMIF(L364:L373,"Pembimbing Utama Laporan akhir studi",K364:K373)),1*10)+IF((COUNTIF(L364:L373,"Pembimbing Pendamping Laporan akhir studi"))&lt;=10,(SUMIF(L364:L373,"Pembimbing Pendamping Laporan akhir studi",K364:K373)),0.5*10)+IF((COUNTIF(L364:L373,"Pembimbing Utama Skripsi"))&lt;=8,(SUMIF(L364:L373,"Pembimbing Utama Skripsi",K364:K373)),1*8)+IF((COUNTIF(L364:L373,"Pembimbing Pendamping Skripsi"))&lt;=8,(SUMIF(L364:L373,"Pembimbing Pendamping Skripsi",K364:K373)),1*8)+IF((COUNTIF(L364:L373,"Pembimbing Utama Tesis"))&lt;=6,(SUMIF(L364:L373,"Pembimbing Utama Tesis",K364:K373)),3*6)+IF((COUNTIF(L364:L373,"Pembimbing Pendamping Tesis"))&lt;=6,(SUMIF(L364:L373,"Pembimbing Pendamping Tesis",K364:K373)),2*6)+IF((COUNTIF(L364:L373,"Pembimbing Utama Disertasi"))&lt;=4,(SUMIF(L364:L373,"Pembimbing Utama Disertasi",K364:K373)),8*4)+IF((COUNTIF(L364:L373,"Pembimbing Pendamping Disertasi"))&lt;=4,(SUMIF(L364:L373,"Pembimbing Pendamping Disertasi",K364:K373)),6*4),32)</f>
        <v>0</v>
      </c>
      <c r="N374" s="103" t="str">
        <f>"Max 32"</f>
        <v>Max 32</v>
      </c>
      <c r="Q374" s="108"/>
    </row>
    <row r="375" spans="1:17" ht="15.75" customHeight="1" x14ac:dyDescent="0.2">
      <c r="A375" s="109">
        <v>1</v>
      </c>
      <c r="B375" s="397" t="s">
        <v>399</v>
      </c>
      <c r="C375" s="106" t="s">
        <v>324</v>
      </c>
      <c r="D375" s="106" t="str">
        <f t="shared" ref="D375:D384" si="162">IF(G375&lt;&gt;"rumus","Lulusan","")</f>
        <v/>
      </c>
      <c r="E375" s="398" t="str">
        <f t="shared" ref="E375:E384" si="163">IF(I375&lt;&gt;"",1,"")</f>
        <v/>
      </c>
      <c r="F375" s="398" t="str">
        <f t="shared" ref="F375:F384" si="164">IF(I375&lt;&gt;"",K375,"")</f>
        <v/>
      </c>
      <c r="G375" s="399" t="str">
        <f t="shared" ref="G375:G384" si="165">IF(K375&lt;&gt;"rumus","1 x "&amp;K375&amp;" = "&amp;K375,"rumus")</f>
        <v>rumus</v>
      </c>
      <c r="H375" s="106" t="s">
        <v>315</v>
      </c>
      <c r="I375" s="417"/>
      <c r="J375" s="417"/>
      <c r="K375" s="418" t="str">
        <f t="shared" ref="K375:K384" si="166">IF(AND(I375&lt;&gt;"",J375&lt;&gt;""),IF(I375="Pembimbing Utama",IF(J375="Disertasi",8,IF(J375="Tesis",3,IF(J375="Skripsi",1,IF(J375="Laporan akhir studi",1,"")))),IF(I375="Pembimbing Pendamping",IF(J375="Disertasi",6,IF(J375="Tesis",2,IF(J375="Skripsi",0.5,IF(J375="Laporan akhir studi",0.5,"")))))),"rumus")</f>
        <v>rumus</v>
      </c>
      <c r="L375" s="419" t="str">
        <f t="shared" ref="L375:L384" si="167">I375&amp;" "&amp;J375</f>
        <v xml:space="preserve"> </v>
      </c>
      <c r="M375" s="116"/>
    </row>
    <row r="376" spans="1:17" ht="15.75" customHeight="1" x14ac:dyDescent="0.2">
      <c r="A376" s="109">
        <v>2</v>
      </c>
      <c r="B376" s="397" t="s">
        <v>399</v>
      </c>
      <c r="C376" s="106" t="s">
        <v>324</v>
      </c>
      <c r="D376" s="106" t="str">
        <f t="shared" si="162"/>
        <v/>
      </c>
      <c r="E376" s="398" t="str">
        <f t="shared" si="163"/>
        <v/>
      </c>
      <c r="F376" s="398" t="str">
        <f t="shared" si="164"/>
        <v/>
      </c>
      <c r="G376" s="399" t="str">
        <f t="shared" si="165"/>
        <v>rumus</v>
      </c>
      <c r="H376" s="114" t="s">
        <v>26</v>
      </c>
      <c r="I376" s="417"/>
      <c r="J376" s="417"/>
      <c r="K376" s="418" t="str">
        <f t="shared" si="166"/>
        <v>rumus</v>
      </c>
      <c r="L376" s="419" t="str">
        <f t="shared" si="167"/>
        <v xml:space="preserve"> </v>
      </c>
      <c r="M376" s="116"/>
    </row>
    <row r="377" spans="1:17" ht="15.75" customHeight="1" x14ac:dyDescent="0.2">
      <c r="A377" s="109">
        <v>3</v>
      </c>
      <c r="B377" s="397" t="s">
        <v>399</v>
      </c>
      <c r="C377" s="106" t="s">
        <v>324</v>
      </c>
      <c r="D377" s="106" t="str">
        <f t="shared" si="162"/>
        <v/>
      </c>
      <c r="E377" s="398" t="str">
        <f t="shared" si="163"/>
        <v/>
      </c>
      <c r="F377" s="398" t="str">
        <f t="shared" si="164"/>
        <v/>
      </c>
      <c r="G377" s="399" t="str">
        <f t="shared" si="165"/>
        <v>rumus</v>
      </c>
      <c r="H377" s="114" t="s">
        <v>26</v>
      </c>
      <c r="I377" s="417"/>
      <c r="J377" s="417"/>
      <c r="K377" s="418" t="str">
        <f t="shared" si="166"/>
        <v>rumus</v>
      </c>
      <c r="L377" s="419" t="str">
        <f t="shared" si="167"/>
        <v xml:space="preserve"> </v>
      </c>
      <c r="M377" s="116"/>
    </row>
    <row r="378" spans="1:17" ht="15.75" customHeight="1" x14ac:dyDescent="0.2">
      <c r="A378" s="109">
        <v>4</v>
      </c>
      <c r="B378" s="397" t="s">
        <v>399</v>
      </c>
      <c r="C378" s="106" t="s">
        <v>324</v>
      </c>
      <c r="D378" s="106" t="str">
        <f t="shared" si="162"/>
        <v/>
      </c>
      <c r="E378" s="398" t="str">
        <f t="shared" si="163"/>
        <v/>
      </c>
      <c r="F378" s="398" t="str">
        <f t="shared" si="164"/>
        <v/>
      </c>
      <c r="G378" s="399" t="str">
        <f t="shared" si="165"/>
        <v>rumus</v>
      </c>
      <c r="H378" s="114" t="s">
        <v>26</v>
      </c>
      <c r="I378" s="417"/>
      <c r="J378" s="417"/>
      <c r="K378" s="418" t="str">
        <f t="shared" si="166"/>
        <v>rumus</v>
      </c>
      <c r="L378" s="419" t="str">
        <f t="shared" si="167"/>
        <v xml:space="preserve"> </v>
      </c>
      <c r="M378" s="116"/>
    </row>
    <row r="379" spans="1:17" ht="15.75" customHeight="1" x14ac:dyDescent="0.2">
      <c r="A379" s="109">
        <v>5</v>
      </c>
      <c r="B379" s="397" t="s">
        <v>399</v>
      </c>
      <c r="C379" s="106" t="s">
        <v>324</v>
      </c>
      <c r="D379" s="106" t="str">
        <f t="shared" si="162"/>
        <v/>
      </c>
      <c r="E379" s="398" t="str">
        <f t="shared" si="163"/>
        <v/>
      </c>
      <c r="F379" s="398" t="str">
        <f t="shared" si="164"/>
        <v/>
      </c>
      <c r="G379" s="399" t="str">
        <f t="shared" si="165"/>
        <v>rumus</v>
      </c>
      <c r="H379" s="114" t="s">
        <v>26</v>
      </c>
      <c r="I379" s="417"/>
      <c r="J379" s="417"/>
      <c r="K379" s="418" t="str">
        <f t="shared" si="166"/>
        <v>rumus</v>
      </c>
      <c r="L379" s="419" t="str">
        <f t="shared" si="167"/>
        <v xml:space="preserve"> </v>
      </c>
      <c r="M379" s="116"/>
    </row>
    <row r="380" spans="1:17" ht="15.75" customHeight="1" x14ac:dyDescent="0.2">
      <c r="A380" s="109">
        <v>6</v>
      </c>
      <c r="B380" s="397" t="s">
        <v>399</v>
      </c>
      <c r="C380" s="106" t="s">
        <v>324</v>
      </c>
      <c r="D380" s="106" t="str">
        <f t="shared" si="162"/>
        <v/>
      </c>
      <c r="E380" s="398" t="str">
        <f t="shared" si="163"/>
        <v/>
      </c>
      <c r="F380" s="398" t="str">
        <f t="shared" si="164"/>
        <v/>
      </c>
      <c r="G380" s="399" t="str">
        <f t="shared" si="165"/>
        <v>rumus</v>
      </c>
      <c r="H380" s="114" t="s">
        <v>26</v>
      </c>
      <c r="I380" s="417"/>
      <c r="J380" s="417"/>
      <c r="K380" s="418" t="str">
        <f t="shared" si="166"/>
        <v>rumus</v>
      </c>
      <c r="L380" s="419" t="str">
        <f t="shared" si="167"/>
        <v xml:space="preserve"> </v>
      </c>
      <c r="M380" s="116"/>
    </row>
    <row r="381" spans="1:17" ht="15.75" customHeight="1" x14ac:dyDescent="0.2">
      <c r="A381" s="109">
        <v>7</v>
      </c>
      <c r="B381" s="397" t="s">
        <v>399</v>
      </c>
      <c r="C381" s="106" t="s">
        <v>324</v>
      </c>
      <c r="D381" s="106" t="str">
        <f t="shared" si="162"/>
        <v/>
      </c>
      <c r="E381" s="398" t="str">
        <f t="shared" si="163"/>
        <v/>
      </c>
      <c r="F381" s="398" t="str">
        <f t="shared" si="164"/>
        <v/>
      </c>
      <c r="G381" s="399" t="str">
        <f t="shared" si="165"/>
        <v>rumus</v>
      </c>
      <c r="H381" s="114" t="s">
        <v>26</v>
      </c>
      <c r="I381" s="417"/>
      <c r="J381" s="417"/>
      <c r="K381" s="418" t="str">
        <f t="shared" si="166"/>
        <v>rumus</v>
      </c>
      <c r="L381" s="419" t="str">
        <f t="shared" si="167"/>
        <v xml:space="preserve"> </v>
      </c>
      <c r="M381" s="116"/>
    </row>
    <row r="382" spans="1:17" ht="15.75" customHeight="1" x14ac:dyDescent="0.2">
      <c r="A382" s="109">
        <v>8</v>
      </c>
      <c r="B382" s="397" t="s">
        <v>399</v>
      </c>
      <c r="C382" s="106" t="s">
        <v>324</v>
      </c>
      <c r="D382" s="106" t="str">
        <f t="shared" si="162"/>
        <v/>
      </c>
      <c r="E382" s="398" t="str">
        <f t="shared" si="163"/>
        <v/>
      </c>
      <c r="F382" s="398" t="str">
        <f t="shared" si="164"/>
        <v/>
      </c>
      <c r="G382" s="399" t="str">
        <f t="shared" si="165"/>
        <v>rumus</v>
      </c>
      <c r="H382" s="114" t="s">
        <v>26</v>
      </c>
      <c r="I382" s="417"/>
      <c r="J382" s="417"/>
      <c r="K382" s="418" t="str">
        <f t="shared" si="166"/>
        <v>rumus</v>
      </c>
      <c r="L382" s="419" t="str">
        <f t="shared" si="167"/>
        <v xml:space="preserve"> </v>
      </c>
      <c r="M382" s="116"/>
    </row>
    <row r="383" spans="1:17" ht="15.75" customHeight="1" x14ac:dyDescent="0.2">
      <c r="A383" s="109">
        <v>9</v>
      </c>
      <c r="B383" s="397" t="s">
        <v>399</v>
      </c>
      <c r="C383" s="106" t="s">
        <v>324</v>
      </c>
      <c r="D383" s="106" t="str">
        <f t="shared" si="162"/>
        <v/>
      </c>
      <c r="E383" s="398" t="str">
        <f t="shared" si="163"/>
        <v/>
      </c>
      <c r="F383" s="398" t="str">
        <f t="shared" si="164"/>
        <v/>
      </c>
      <c r="G383" s="399" t="str">
        <f t="shared" si="165"/>
        <v>rumus</v>
      </c>
      <c r="H383" s="114" t="s">
        <v>26</v>
      </c>
      <c r="I383" s="417"/>
      <c r="J383" s="417"/>
      <c r="K383" s="418" t="str">
        <f t="shared" si="166"/>
        <v>rumus</v>
      </c>
      <c r="L383" s="419" t="str">
        <f t="shared" si="167"/>
        <v xml:space="preserve"> </v>
      </c>
      <c r="M383" s="116"/>
    </row>
    <row r="384" spans="1:17" ht="15.75" customHeight="1" x14ac:dyDescent="0.2">
      <c r="A384" s="109">
        <v>10</v>
      </c>
      <c r="B384" s="397" t="s">
        <v>399</v>
      </c>
      <c r="C384" s="106" t="s">
        <v>324</v>
      </c>
      <c r="D384" s="106" t="str">
        <f t="shared" si="162"/>
        <v/>
      </c>
      <c r="E384" s="398" t="str">
        <f t="shared" si="163"/>
        <v/>
      </c>
      <c r="F384" s="398" t="str">
        <f t="shared" si="164"/>
        <v/>
      </c>
      <c r="G384" s="399" t="str">
        <f t="shared" si="165"/>
        <v>rumus</v>
      </c>
      <c r="H384" s="114" t="s">
        <v>26</v>
      </c>
      <c r="I384" s="417"/>
      <c r="J384" s="417"/>
      <c r="K384" s="418" t="str">
        <f t="shared" si="166"/>
        <v>rumus</v>
      </c>
      <c r="L384" s="419" t="str">
        <f t="shared" si="167"/>
        <v xml:space="preserve"> </v>
      </c>
      <c r="M384" s="116"/>
    </row>
    <row r="385" spans="1:17" ht="15" customHeight="1" x14ac:dyDescent="0.25">
      <c r="A385" s="109"/>
      <c r="B385" s="406" t="str">
        <f>"a. Semester Gasal "&amp;IF(C386&lt;&gt;"",C386,"")&amp;" :"</f>
        <v>a. Semester Gasal 2017/2018 :</v>
      </c>
      <c r="C385" s="407"/>
      <c r="D385" s="407"/>
      <c r="E385" s="407"/>
      <c r="F385" s="407"/>
      <c r="G385" s="407"/>
      <c r="H385" s="408"/>
      <c r="I385" s="123"/>
      <c r="J385" s="111"/>
      <c r="M385" s="118">
        <f>IF(IF((COUNTIF(L375:L384,"Pembimbing Utama Laporan akhir studi"))&lt;=10,(SUMIF(L375:L384,"Pembimbing Utama Laporan akhir studi",K375:K384)),1*10)+IF((COUNTIF(L375:L384,"Pembimbing Pendamping Laporan akhir studi"))&lt;=10,(SUMIF(L375:L384,"Pembimbing Pendamping Laporan akhir studi",K375:K384)),0.5*10)+IF((COUNTIF(L375:L384,"Pembimbing Utama Skripsi"))&lt;=8,(SUMIF(L375:L384,"Pembimbing Utama Skripsi",K375:K384)),1*8)+IF((COUNTIF(L375:L384,"Pembimbing Pendamping Skripsi"))&lt;=8,(SUMIF(L375:L384,"Pembimbing Pendamping Skripsi",K375:K384)),1*8)+IF((COUNTIF(L375:L384,"Pembimbing Utama Tesis"))&lt;=6,(SUMIF(L375:L384,"Pembimbing Utama Tesis",K375:K384)),3*6)+IF((COUNTIF(L375:L384,"Pembimbing Pendamping Tesis"))&lt;=6,(SUMIF(L375:L384,"Pembimbing Pendamping Tesis",K375:K384)),2*6)+IF((COUNTIF(L375:L384,"Pembimbing Utama Disertasi"))&lt;=4,(SUMIF(L375:L384,"Pembimbing Utama Disertasi",K375:K384)),8*4)+IF((COUNTIF(L375:L384,"Pembimbing Pendamping Disertasi"))&lt;=4,(SUMIF(L375:L384,"Pembimbing Pendamping Disertasi",K375:K384)),6*4)&lt;=32,IF((COUNTIF(L375:L384,"Pembimbing Utama Laporan akhir studi"))&lt;=10,(SUMIF(L375:L384,"Pembimbing Utama Laporan akhir studi",K375:K384)),1*10)+IF((COUNTIF(L375:L384,"Pembimbing Pendamping Laporan akhir studi"))&lt;=10,(SUMIF(L375:L384,"Pembimbing Pendamping Laporan akhir studi",K375:K384)),0.5*10)+IF((COUNTIF(L375:L384,"Pembimbing Utama Skripsi"))&lt;=8,(SUMIF(L375:L384,"Pembimbing Utama Skripsi",K375:K384)),1*8)+IF((COUNTIF(L375:L384,"Pembimbing Pendamping Skripsi"))&lt;=8,(SUMIF(L375:L384,"Pembimbing Pendamping Skripsi",K375:K384)),1*8)+IF((COUNTIF(L375:L384,"Pembimbing Utama Tesis"))&lt;=6,(SUMIF(L375:L384,"Pembimbing Utama Tesis",K375:K384)),3*6)+IF((COUNTIF(L375:L384,"Pembimbing Pendamping Tesis"))&lt;=6,(SUMIF(L375:L384,"Pembimbing Pendamping Tesis",K375:K384)),2*6)+IF((COUNTIF(L375:L384,"Pembimbing Utama Disertasi"))&lt;=4,(SUMIF(L375:L384,"Pembimbing Utama Disertasi",K375:K384)),8*4)+IF((COUNTIF(L375:L384,"Pembimbing Pendamping Disertasi"))&lt;=4,(SUMIF(L375:L384,"Pembimbing Pendamping Disertasi",K375:K384)),6*4),32)</f>
        <v>0</v>
      </c>
      <c r="N385" s="103" t="str">
        <f>"Max 32"</f>
        <v>Max 32</v>
      </c>
      <c r="Q385" s="108"/>
    </row>
    <row r="386" spans="1:17" ht="15.75" customHeight="1" x14ac:dyDescent="0.2">
      <c r="A386" s="109">
        <v>1</v>
      </c>
      <c r="B386" s="397" t="s">
        <v>399</v>
      </c>
      <c r="C386" s="106" t="s">
        <v>327</v>
      </c>
      <c r="D386" s="106" t="str">
        <f t="shared" ref="D386:D395" si="168">IF(G386&lt;&gt;"rumus","Lulusan","")</f>
        <v/>
      </c>
      <c r="E386" s="398" t="str">
        <f t="shared" ref="E386:E395" si="169">IF(I386&lt;&gt;"",1,"")</f>
        <v/>
      </c>
      <c r="F386" s="398" t="str">
        <f t="shared" ref="F386:F395" si="170">IF(I386&lt;&gt;"",K386,"")</f>
        <v/>
      </c>
      <c r="G386" s="399" t="str">
        <f t="shared" ref="G386:G395" si="171">IF(K386&lt;&gt;"rumus","1 x "&amp;K386&amp;" = "&amp;K386,"rumus")</f>
        <v>rumus</v>
      </c>
      <c r="H386" s="106" t="s">
        <v>315</v>
      </c>
      <c r="I386" s="417"/>
      <c r="J386" s="417"/>
      <c r="K386" s="418" t="str">
        <f t="shared" ref="K386:K395" si="172">IF(AND(I386&lt;&gt;"",J386&lt;&gt;""),IF(I386="Pembimbing Utama",IF(J386="Disertasi",8,IF(J386="Tesis",3,IF(J386="Skripsi",1,IF(J386="Laporan akhir studi",1,"")))),IF(I386="Pembimbing Pendamping",IF(J386="Disertasi",6,IF(J386="Tesis",2,IF(J386="Skripsi",0.5,IF(J386="Laporan akhir studi",0.5,"")))))),"rumus")</f>
        <v>rumus</v>
      </c>
      <c r="L386" s="419" t="str">
        <f t="shared" ref="L386:L395" si="173">I386&amp;" "&amp;J386</f>
        <v xml:space="preserve"> </v>
      </c>
      <c r="M386" s="116"/>
    </row>
    <row r="387" spans="1:17" ht="15.75" customHeight="1" x14ac:dyDescent="0.2">
      <c r="A387" s="109">
        <v>2</v>
      </c>
      <c r="B387" s="397" t="s">
        <v>399</v>
      </c>
      <c r="C387" s="106" t="s">
        <v>327</v>
      </c>
      <c r="D387" s="106" t="str">
        <f t="shared" si="168"/>
        <v/>
      </c>
      <c r="E387" s="398" t="str">
        <f t="shared" si="169"/>
        <v/>
      </c>
      <c r="F387" s="398" t="str">
        <f t="shared" si="170"/>
        <v/>
      </c>
      <c r="G387" s="399" t="str">
        <f t="shared" si="171"/>
        <v>rumus</v>
      </c>
      <c r="H387" s="114" t="s">
        <v>26</v>
      </c>
      <c r="I387" s="417"/>
      <c r="J387" s="417"/>
      <c r="K387" s="418" t="str">
        <f t="shared" si="172"/>
        <v>rumus</v>
      </c>
      <c r="L387" s="419" t="str">
        <f t="shared" si="173"/>
        <v xml:space="preserve"> </v>
      </c>
      <c r="M387" s="116"/>
    </row>
    <row r="388" spans="1:17" ht="15.75" customHeight="1" x14ac:dyDescent="0.2">
      <c r="A388" s="109">
        <v>3</v>
      </c>
      <c r="B388" s="397" t="s">
        <v>399</v>
      </c>
      <c r="C388" s="106" t="s">
        <v>327</v>
      </c>
      <c r="D388" s="106" t="str">
        <f t="shared" si="168"/>
        <v/>
      </c>
      <c r="E388" s="398" t="str">
        <f t="shared" si="169"/>
        <v/>
      </c>
      <c r="F388" s="398" t="str">
        <f t="shared" si="170"/>
        <v/>
      </c>
      <c r="G388" s="399" t="str">
        <f t="shared" si="171"/>
        <v>rumus</v>
      </c>
      <c r="H388" s="114" t="s">
        <v>26</v>
      </c>
      <c r="I388" s="417"/>
      <c r="J388" s="417"/>
      <c r="K388" s="418" t="str">
        <f t="shared" si="172"/>
        <v>rumus</v>
      </c>
      <c r="L388" s="419" t="str">
        <f t="shared" si="173"/>
        <v xml:space="preserve"> </v>
      </c>
      <c r="M388" s="116"/>
    </row>
    <row r="389" spans="1:17" ht="15.75" customHeight="1" x14ac:dyDescent="0.2">
      <c r="A389" s="109">
        <v>4</v>
      </c>
      <c r="B389" s="397" t="s">
        <v>399</v>
      </c>
      <c r="C389" s="106" t="s">
        <v>327</v>
      </c>
      <c r="D389" s="106" t="str">
        <f t="shared" si="168"/>
        <v/>
      </c>
      <c r="E389" s="398" t="str">
        <f t="shared" si="169"/>
        <v/>
      </c>
      <c r="F389" s="398" t="str">
        <f t="shared" si="170"/>
        <v/>
      </c>
      <c r="G389" s="399" t="str">
        <f t="shared" si="171"/>
        <v>rumus</v>
      </c>
      <c r="H389" s="114" t="s">
        <v>26</v>
      </c>
      <c r="I389" s="417"/>
      <c r="J389" s="417"/>
      <c r="K389" s="418" t="str">
        <f t="shared" si="172"/>
        <v>rumus</v>
      </c>
      <c r="L389" s="419" t="str">
        <f t="shared" si="173"/>
        <v xml:space="preserve"> </v>
      </c>
      <c r="M389" s="116"/>
    </row>
    <row r="390" spans="1:17" ht="15.75" customHeight="1" x14ac:dyDescent="0.2">
      <c r="A390" s="109">
        <v>5</v>
      </c>
      <c r="B390" s="397" t="s">
        <v>399</v>
      </c>
      <c r="C390" s="106" t="s">
        <v>327</v>
      </c>
      <c r="D390" s="106" t="str">
        <f t="shared" si="168"/>
        <v/>
      </c>
      <c r="E390" s="398" t="str">
        <f t="shared" si="169"/>
        <v/>
      </c>
      <c r="F390" s="398" t="str">
        <f t="shared" si="170"/>
        <v/>
      </c>
      <c r="G390" s="399" t="str">
        <f t="shared" si="171"/>
        <v>rumus</v>
      </c>
      <c r="H390" s="114" t="s">
        <v>26</v>
      </c>
      <c r="I390" s="417"/>
      <c r="J390" s="417"/>
      <c r="K390" s="418" t="str">
        <f t="shared" si="172"/>
        <v>rumus</v>
      </c>
      <c r="L390" s="419" t="str">
        <f t="shared" si="173"/>
        <v xml:space="preserve"> </v>
      </c>
      <c r="M390" s="116"/>
    </row>
    <row r="391" spans="1:17" ht="15.75" customHeight="1" x14ac:dyDescent="0.2">
      <c r="A391" s="109">
        <v>6</v>
      </c>
      <c r="B391" s="397" t="s">
        <v>399</v>
      </c>
      <c r="C391" s="106" t="s">
        <v>327</v>
      </c>
      <c r="D391" s="106" t="str">
        <f t="shared" si="168"/>
        <v/>
      </c>
      <c r="E391" s="398" t="str">
        <f t="shared" si="169"/>
        <v/>
      </c>
      <c r="F391" s="398" t="str">
        <f t="shared" si="170"/>
        <v/>
      </c>
      <c r="G391" s="399" t="str">
        <f t="shared" si="171"/>
        <v>rumus</v>
      </c>
      <c r="H391" s="114" t="s">
        <v>26</v>
      </c>
      <c r="I391" s="417"/>
      <c r="J391" s="417"/>
      <c r="K391" s="418" t="str">
        <f t="shared" si="172"/>
        <v>rumus</v>
      </c>
      <c r="L391" s="419" t="str">
        <f t="shared" si="173"/>
        <v xml:space="preserve"> </v>
      </c>
      <c r="M391" s="116"/>
    </row>
    <row r="392" spans="1:17" ht="15.75" customHeight="1" x14ac:dyDescent="0.2">
      <c r="A392" s="109">
        <v>7</v>
      </c>
      <c r="B392" s="397" t="s">
        <v>399</v>
      </c>
      <c r="C392" s="106" t="s">
        <v>327</v>
      </c>
      <c r="D392" s="106" t="str">
        <f t="shared" si="168"/>
        <v/>
      </c>
      <c r="E392" s="398" t="str">
        <f t="shared" si="169"/>
        <v/>
      </c>
      <c r="F392" s="398" t="str">
        <f t="shared" si="170"/>
        <v/>
      </c>
      <c r="G392" s="399" t="str">
        <f t="shared" si="171"/>
        <v>rumus</v>
      </c>
      <c r="H392" s="114" t="s">
        <v>26</v>
      </c>
      <c r="I392" s="417"/>
      <c r="J392" s="417"/>
      <c r="K392" s="418" t="str">
        <f t="shared" si="172"/>
        <v>rumus</v>
      </c>
      <c r="L392" s="419" t="str">
        <f t="shared" si="173"/>
        <v xml:space="preserve"> </v>
      </c>
      <c r="M392" s="116"/>
    </row>
    <row r="393" spans="1:17" ht="15.75" customHeight="1" x14ac:dyDescent="0.2">
      <c r="A393" s="109">
        <v>8</v>
      </c>
      <c r="B393" s="397" t="s">
        <v>399</v>
      </c>
      <c r="C393" s="106" t="s">
        <v>327</v>
      </c>
      <c r="D393" s="106" t="str">
        <f t="shared" si="168"/>
        <v/>
      </c>
      <c r="E393" s="398" t="str">
        <f t="shared" si="169"/>
        <v/>
      </c>
      <c r="F393" s="398" t="str">
        <f t="shared" si="170"/>
        <v/>
      </c>
      <c r="G393" s="399" t="str">
        <f t="shared" si="171"/>
        <v>rumus</v>
      </c>
      <c r="H393" s="114" t="s">
        <v>26</v>
      </c>
      <c r="I393" s="417"/>
      <c r="J393" s="417"/>
      <c r="K393" s="418" t="str">
        <f t="shared" si="172"/>
        <v>rumus</v>
      </c>
      <c r="L393" s="419" t="str">
        <f t="shared" si="173"/>
        <v xml:space="preserve"> </v>
      </c>
      <c r="M393" s="116"/>
    </row>
    <row r="394" spans="1:17" ht="15.75" customHeight="1" x14ac:dyDescent="0.2">
      <c r="A394" s="109">
        <v>9</v>
      </c>
      <c r="B394" s="397" t="s">
        <v>399</v>
      </c>
      <c r="C394" s="106" t="s">
        <v>327</v>
      </c>
      <c r="D394" s="106" t="str">
        <f t="shared" si="168"/>
        <v/>
      </c>
      <c r="E394" s="398" t="str">
        <f t="shared" si="169"/>
        <v/>
      </c>
      <c r="F394" s="398" t="str">
        <f t="shared" si="170"/>
        <v/>
      </c>
      <c r="G394" s="399" t="str">
        <f t="shared" si="171"/>
        <v>rumus</v>
      </c>
      <c r="H394" s="114" t="s">
        <v>26</v>
      </c>
      <c r="I394" s="417"/>
      <c r="J394" s="417"/>
      <c r="K394" s="418" t="str">
        <f t="shared" si="172"/>
        <v>rumus</v>
      </c>
      <c r="L394" s="419" t="str">
        <f t="shared" si="173"/>
        <v xml:space="preserve"> </v>
      </c>
      <c r="M394" s="116"/>
    </row>
    <row r="395" spans="1:17" ht="15.75" customHeight="1" x14ac:dyDescent="0.2">
      <c r="A395" s="109">
        <v>10</v>
      </c>
      <c r="B395" s="397" t="s">
        <v>399</v>
      </c>
      <c r="C395" s="106" t="s">
        <v>327</v>
      </c>
      <c r="D395" s="106" t="str">
        <f t="shared" si="168"/>
        <v/>
      </c>
      <c r="E395" s="398" t="str">
        <f t="shared" si="169"/>
        <v/>
      </c>
      <c r="F395" s="398" t="str">
        <f t="shared" si="170"/>
        <v/>
      </c>
      <c r="G395" s="399" t="str">
        <f t="shared" si="171"/>
        <v>rumus</v>
      </c>
      <c r="H395" s="114" t="s">
        <v>26</v>
      </c>
      <c r="I395" s="417"/>
      <c r="J395" s="417"/>
      <c r="K395" s="418" t="str">
        <f t="shared" si="172"/>
        <v>rumus</v>
      </c>
      <c r="L395" s="419" t="str">
        <f t="shared" si="173"/>
        <v xml:space="preserve"> </v>
      </c>
      <c r="M395" s="116"/>
    </row>
    <row r="396" spans="1:17" ht="15.75" customHeight="1" x14ac:dyDescent="0.2">
      <c r="A396" s="109"/>
      <c r="B396" s="406" t="str">
        <f>"b. Semester Genap "&amp;IF(C397&lt;&gt;"",C397,"")&amp;" :"</f>
        <v>b. Semester Genap 2011/2012 :</v>
      </c>
      <c r="C396" s="415"/>
      <c r="D396" s="415"/>
      <c r="E396" s="415"/>
      <c r="F396" s="415"/>
      <c r="G396" s="415"/>
      <c r="H396" s="416"/>
      <c r="I396" s="116"/>
      <c r="M396" s="118">
        <f>IF(IF((COUNTIF(L386:L395,"Pembimbing Utama Laporan akhir studi"))&lt;=10,(SUMIF(L386:L395,"Pembimbing Utama Laporan akhir studi",K386:K395)),1*10)+IF((COUNTIF(L386:L395,"Pembimbing Pendamping Laporan akhir studi"))&lt;=10,(SUMIF(L386:L395,"Pembimbing Pendamping Laporan akhir studi",K386:K395)),0.5*10)+IF((COUNTIF(L386:L395,"Pembimbing Utama Skripsi"))&lt;=8,(SUMIF(L386:L395,"Pembimbing Utama Skripsi",K386:K395)),1*8)+IF((COUNTIF(L386:L395,"Pembimbing Pendamping Skripsi"))&lt;=8,(SUMIF(L386:L395,"Pembimbing Pendamping Skripsi",K386:K395)),1*8)+IF((COUNTIF(L386:L395,"Pembimbing Utama Tesis"))&lt;=6,(SUMIF(L386:L395,"Pembimbing Utama Tesis",K386:K395)),3*6)+IF((COUNTIF(L386:L395,"Pembimbing Pendamping Tesis"))&lt;=6,(SUMIF(L386:L395,"Pembimbing Pendamping Tesis",K386:K395)),2*6)+IF((COUNTIF(L386:L395,"Pembimbing Utama Disertasi"))&lt;=4,(SUMIF(L386:L395,"Pembimbing Utama Disertasi",K386:K395)),8*4)+IF((COUNTIF(L386:L395,"Pembimbing Pendamping Disertasi"))&lt;=4,(SUMIF(L386:L395,"Pembimbing Pendamping Disertasi",K386:K395)),6*4)&lt;=32,IF((COUNTIF(L386:L395,"Pembimbing Utama Laporan akhir studi"))&lt;=10,(SUMIF(L386:L395,"Pembimbing Utama Laporan akhir studi",K386:K395)),1*10)+IF((COUNTIF(L386:L395,"Pembimbing Pendamping Laporan akhir studi"))&lt;=10,(SUMIF(L386:L395,"Pembimbing Pendamping Laporan akhir studi",K386:K395)),0.5*10)+IF((COUNTIF(L386:L395,"Pembimbing Utama Skripsi"))&lt;=8,(SUMIF(L386:L395,"Pembimbing Utama Skripsi",K386:K395)),1*8)+IF((COUNTIF(L386:L395,"Pembimbing Pendamping Skripsi"))&lt;=8,(SUMIF(L386:L395,"Pembimbing Pendamping Skripsi",K386:K395)),1*8)+IF((COUNTIF(L386:L395,"Pembimbing Utama Tesis"))&lt;=6,(SUMIF(L386:L395,"Pembimbing Utama Tesis",K386:K395)),3*6)+IF((COUNTIF(L386:L395,"Pembimbing Pendamping Tesis"))&lt;=6,(SUMIF(L386:L395,"Pembimbing Pendamping Tesis",K386:K395)),2*6)+IF((COUNTIF(L386:L395,"Pembimbing Utama Disertasi"))&lt;=4,(SUMIF(L386:L395,"Pembimbing Utama Disertasi",K386:K395)),8*4)+IF((COUNTIF(L386:L395,"Pembimbing Pendamping Disertasi"))&lt;=4,(SUMIF(L386:L395,"Pembimbing Pendamping Disertasi",K386:K395)),6*4),32)</f>
        <v>0</v>
      </c>
      <c r="N396" s="103" t="str">
        <f>"Max 32"</f>
        <v>Max 32</v>
      </c>
    </row>
    <row r="397" spans="1:17" ht="15" customHeight="1" x14ac:dyDescent="0.2">
      <c r="A397" s="576">
        <v>1</v>
      </c>
      <c r="B397" s="609" t="s">
        <v>444</v>
      </c>
      <c r="C397" s="576" t="s">
        <v>355</v>
      </c>
      <c r="D397" s="106" t="str">
        <f t="shared" ref="D397:D411" si="174">IF(G397&lt;&gt;"rumus","Lulusan","")</f>
        <v>Lulusan</v>
      </c>
      <c r="E397" s="398">
        <f t="shared" ref="E397:E411" si="175">IF(I397&lt;&gt;"",1,"")</f>
        <v>1</v>
      </c>
      <c r="F397" s="398">
        <f t="shared" ref="F397:F411" si="176">IF(I397&lt;&gt;"",K397,"")</f>
        <v>1</v>
      </c>
      <c r="G397" s="399" t="str">
        <f t="shared" ref="G397:G411" si="177">IF(K397&lt;&gt;"rumus","1 x "&amp;K397&amp;" = "&amp;K397,"rumus")</f>
        <v>1 x 1 = 1</v>
      </c>
      <c r="H397" s="106" t="s">
        <v>445</v>
      </c>
      <c r="I397" s="577" t="s">
        <v>393</v>
      </c>
      <c r="J397" s="577" t="s">
        <v>394</v>
      </c>
      <c r="K397" s="418">
        <f t="shared" ref="K397:K411" si="178">IF(AND(I397&lt;&gt;"",J397&lt;&gt;""),IF(I397="Pembimbing Utama",IF(J397="Disertasi",8,IF(J397="Tesis",3,IF(J397="Skripsi",1,IF(J397="Laporan akhir studi",1,"")))),IF(I397="Pembimbing Pendamping",IF(J397="Disertasi",6,IF(J397="Tesis",2,IF(J397="Skripsi",0.5,IF(J397="Laporan akhir studi",0.5,"")))))),"rumus")</f>
        <v>1</v>
      </c>
      <c r="L397" s="419" t="str">
        <f t="shared" ref="L397:L411" si="179">I397&amp;" "&amp;J397</f>
        <v>Pembimbing Utama Laporan akhir studi</v>
      </c>
      <c r="M397" s="116"/>
    </row>
    <row r="398" spans="1:17" ht="15" customHeight="1" x14ac:dyDescent="0.2">
      <c r="A398" s="578">
        <v>2</v>
      </c>
      <c r="B398" s="610" t="s">
        <v>446</v>
      </c>
      <c r="C398" s="578" t="s">
        <v>355</v>
      </c>
      <c r="D398" s="106" t="str">
        <f t="shared" ref="D398:D402" si="180">IF(G398&lt;&gt;"rumus","Lulusan","")</f>
        <v>Lulusan</v>
      </c>
      <c r="E398" s="398">
        <f t="shared" ref="E398:E402" si="181">IF(I398&lt;&gt;"",1,"")</f>
        <v>1</v>
      </c>
      <c r="F398" s="398">
        <f t="shared" ref="F398:F402" si="182">IF(I398&lt;&gt;"",K398,"")</f>
        <v>1</v>
      </c>
      <c r="G398" s="399" t="str">
        <f t="shared" ref="G398:G402" si="183">IF(K398&lt;&gt;"rumus","1 x "&amp;K398&amp;" = "&amp;K398,"rumus")</f>
        <v>1 x 1 = 1</v>
      </c>
      <c r="H398" s="106" t="s">
        <v>447</v>
      </c>
      <c r="I398" s="577" t="s">
        <v>393</v>
      </c>
      <c r="J398" s="577" t="s">
        <v>394</v>
      </c>
      <c r="K398" s="418">
        <f t="shared" ref="K398:K402" si="184">IF(AND(I398&lt;&gt;"",J398&lt;&gt;""),IF(I398="Pembimbing Utama",IF(J398="Disertasi",8,IF(J398="Tesis",3,IF(J398="Skripsi",1,IF(J398="Laporan akhir studi",1,"")))),IF(I398="Pembimbing Pendamping",IF(J398="Disertasi",6,IF(J398="Tesis",2,IF(J398="Skripsi",0.5,IF(J398="Laporan akhir studi",0.5,"")))))),"rumus")</f>
        <v>1</v>
      </c>
      <c r="L398" s="419" t="str">
        <f t="shared" ref="L398:L402" si="185">I398&amp;" "&amp;J398</f>
        <v>Pembimbing Utama Laporan akhir studi</v>
      </c>
      <c r="M398" s="116"/>
    </row>
    <row r="399" spans="1:17" ht="15" customHeight="1" x14ac:dyDescent="0.2">
      <c r="A399" s="578">
        <v>3</v>
      </c>
      <c r="B399" s="610" t="s">
        <v>448</v>
      </c>
      <c r="C399" s="578" t="s">
        <v>355</v>
      </c>
      <c r="D399" s="106" t="str">
        <f t="shared" si="180"/>
        <v>Lulusan</v>
      </c>
      <c r="E399" s="398">
        <f t="shared" si="181"/>
        <v>1</v>
      </c>
      <c r="F399" s="398">
        <f t="shared" si="182"/>
        <v>1</v>
      </c>
      <c r="G399" s="399" t="str">
        <f t="shared" si="183"/>
        <v>1 x 1 = 1</v>
      </c>
      <c r="H399" s="106" t="s">
        <v>449</v>
      </c>
      <c r="I399" s="577" t="s">
        <v>393</v>
      </c>
      <c r="J399" s="577" t="s">
        <v>394</v>
      </c>
      <c r="K399" s="418">
        <f t="shared" si="184"/>
        <v>1</v>
      </c>
      <c r="L399" s="419" t="str">
        <f t="shared" si="185"/>
        <v>Pembimbing Utama Laporan akhir studi</v>
      </c>
      <c r="M399" s="116"/>
    </row>
    <row r="400" spans="1:17" ht="15" customHeight="1" x14ac:dyDescent="0.2">
      <c r="A400" s="578">
        <v>4</v>
      </c>
      <c r="B400" s="610" t="s">
        <v>450</v>
      </c>
      <c r="C400" s="578" t="s">
        <v>355</v>
      </c>
      <c r="D400" s="106" t="str">
        <f t="shared" si="180"/>
        <v>Lulusan</v>
      </c>
      <c r="E400" s="398">
        <f t="shared" si="181"/>
        <v>1</v>
      </c>
      <c r="F400" s="398">
        <f t="shared" si="182"/>
        <v>1</v>
      </c>
      <c r="G400" s="399" t="str">
        <f t="shared" si="183"/>
        <v>1 x 1 = 1</v>
      </c>
      <c r="H400" s="106" t="s">
        <v>451</v>
      </c>
      <c r="I400" s="577" t="s">
        <v>393</v>
      </c>
      <c r="J400" s="577" t="s">
        <v>394</v>
      </c>
      <c r="K400" s="418">
        <f t="shared" si="184"/>
        <v>1</v>
      </c>
      <c r="L400" s="419" t="str">
        <f t="shared" si="185"/>
        <v>Pembimbing Utama Laporan akhir studi</v>
      </c>
      <c r="M400" s="116"/>
    </row>
    <row r="401" spans="1:14" ht="15" customHeight="1" x14ac:dyDescent="0.2">
      <c r="A401" s="578">
        <v>5</v>
      </c>
      <c r="B401" s="610" t="s">
        <v>452</v>
      </c>
      <c r="C401" s="578" t="s">
        <v>355</v>
      </c>
      <c r="D401" s="106" t="str">
        <f t="shared" ref="D401" si="186">IF(G401&lt;&gt;"rumus","Lulusan","")</f>
        <v>Lulusan</v>
      </c>
      <c r="E401" s="398">
        <f t="shared" ref="E401" si="187">IF(I401&lt;&gt;"",1,"")</f>
        <v>1</v>
      </c>
      <c r="F401" s="398">
        <f t="shared" ref="F401" si="188">IF(I401&lt;&gt;"",K401,"")</f>
        <v>0.5</v>
      </c>
      <c r="G401" s="399" t="str">
        <f t="shared" ref="G401" si="189">IF(K401&lt;&gt;"rumus","1 x "&amp;K401&amp;" = "&amp;K401,"rumus")</f>
        <v>1 x 0.5 = 0.5</v>
      </c>
      <c r="H401" s="106" t="s">
        <v>453</v>
      </c>
      <c r="I401" s="577" t="s">
        <v>402</v>
      </c>
      <c r="J401" s="577" t="s">
        <v>394</v>
      </c>
      <c r="K401" s="418">
        <f t="shared" ref="K401" si="190">IF(AND(I401&lt;&gt;"",J401&lt;&gt;""),IF(I401="Pembimbing Utama",IF(J401="Disertasi",8,IF(J401="Tesis",3,IF(J401="Skripsi",1,IF(J401="Laporan akhir studi",1,"")))),IF(I401="Pembimbing Pendamping",IF(J401="Disertasi",6,IF(J401="Tesis",2,IF(J401="Skripsi",0.5,IF(J401="Laporan akhir studi",0.5,"")))))),"rumus")</f>
        <v>0.5</v>
      </c>
      <c r="L401" s="419" t="str">
        <f t="shared" ref="L401" si="191">I401&amp;" "&amp;J401</f>
        <v>Pembimbing Pendamping Laporan akhir studi</v>
      </c>
      <c r="M401" s="116"/>
    </row>
    <row r="402" spans="1:14" ht="15" customHeight="1" x14ac:dyDescent="0.2">
      <c r="A402" s="578">
        <v>6</v>
      </c>
      <c r="B402" s="610" t="s">
        <v>454</v>
      </c>
      <c r="C402" s="578" t="s">
        <v>355</v>
      </c>
      <c r="D402" s="106" t="str">
        <f t="shared" si="180"/>
        <v>Lulusan</v>
      </c>
      <c r="E402" s="398">
        <f t="shared" si="181"/>
        <v>1</v>
      </c>
      <c r="F402" s="398">
        <f t="shared" si="182"/>
        <v>1</v>
      </c>
      <c r="G402" s="399" t="str">
        <f t="shared" si="183"/>
        <v>1 x 1 = 1</v>
      </c>
      <c r="H402" s="106" t="s">
        <v>455</v>
      </c>
      <c r="I402" s="577" t="s">
        <v>393</v>
      </c>
      <c r="J402" s="577" t="s">
        <v>394</v>
      </c>
      <c r="K402" s="418">
        <f t="shared" si="184"/>
        <v>1</v>
      </c>
      <c r="L402" s="419" t="str">
        <f t="shared" si="185"/>
        <v>Pembimbing Utama Laporan akhir studi</v>
      </c>
      <c r="M402" s="116"/>
    </row>
    <row r="403" spans="1:14" ht="15" customHeight="1" x14ac:dyDescent="0.2">
      <c r="A403" s="578">
        <v>7</v>
      </c>
      <c r="B403" s="610" t="s">
        <v>456</v>
      </c>
      <c r="C403" s="578" t="s">
        <v>355</v>
      </c>
      <c r="D403" s="106" t="str">
        <f t="shared" si="174"/>
        <v>Lulusan</v>
      </c>
      <c r="E403" s="398">
        <f t="shared" si="175"/>
        <v>1</v>
      </c>
      <c r="F403" s="398">
        <f t="shared" si="176"/>
        <v>1</v>
      </c>
      <c r="G403" s="399" t="str">
        <f t="shared" si="177"/>
        <v>1 x 1 = 1</v>
      </c>
      <c r="H403" s="106" t="s">
        <v>457</v>
      </c>
      <c r="I403" s="577" t="s">
        <v>393</v>
      </c>
      <c r="J403" s="577" t="s">
        <v>394</v>
      </c>
      <c r="K403" s="418">
        <f t="shared" si="178"/>
        <v>1</v>
      </c>
      <c r="L403" s="419" t="str">
        <f t="shared" si="179"/>
        <v>Pembimbing Utama Laporan akhir studi</v>
      </c>
      <c r="M403" s="116"/>
    </row>
    <row r="404" spans="1:14" ht="15" customHeight="1" x14ac:dyDescent="0.2">
      <c r="A404" s="578">
        <v>8</v>
      </c>
      <c r="B404" s="610" t="s">
        <v>458</v>
      </c>
      <c r="C404" s="578" t="s">
        <v>355</v>
      </c>
      <c r="D404" s="106" t="str">
        <f t="shared" si="174"/>
        <v>Lulusan</v>
      </c>
      <c r="E404" s="398">
        <f t="shared" si="175"/>
        <v>1</v>
      </c>
      <c r="F404" s="398">
        <f t="shared" si="176"/>
        <v>1</v>
      </c>
      <c r="G404" s="399" t="str">
        <f t="shared" si="177"/>
        <v>1 x 1 = 1</v>
      </c>
      <c r="H404" s="106" t="s">
        <v>459</v>
      </c>
      <c r="I404" s="577" t="s">
        <v>393</v>
      </c>
      <c r="J404" s="577" t="s">
        <v>394</v>
      </c>
      <c r="K404" s="418">
        <f t="shared" si="178"/>
        <v>1</v>
      </c>
      <c r="L404" s="419" t="str">
        <f t="shared" si="179"/>
        <v>Pembimbing Utama Laporan akhir studi</v>
      </c>
      <c r="M404" s="116"/>
    </row>
    <row r="405" spans="1:14" ht="15" customHeight="1" x14ac:dyDescent="0.2">
      <c r="A405" s="578">
        <v>9</v>
      </c>
      <c r="B405" s="610" t="s">
        <v>460</v>
      </c>
      <c r="C405" s="578" t="s">
        <v>355</v>
      </c>
      <c r="D405" s="106" t="str">
        <f t="shared" si="174"/>
        <v>Lulusan</v>
      </c>
      <c r="E405" s="398">
        <f t="shared" si="175"/>
        <v>1</v>
      </c>
      <c r="F405" s="398">
        <f t="shared" si="176"/>
        <v>1</v>
      </c>
      <c r="G405" s="399" t="str">
        <f t="shared" si="177"/>
        <v>1 x 1 = 1</v>
      </c>
      <c r="H405" s="106" t="s">
        <v>461</v>
      </c>
      <c r="I405" s="577" t="s">
        <v>393</v>
      </c>
      <c r="J405" s="577" t="s">
        <v>394</v>
      </c>
      <c r="K405" s="418">
        <f t="shared" si="178"/>
        <v>1</v>
      </c>
      <c r="L405" s="419" t="str">
        <f t="shared" si="179"/>
        <v>Pembimbing Utama Laporan akhir studi</v>
      </c>
      <c r="M405" s="116"/>
    </row>
    <row r="406" spans="1:14" ht="15" customHeight="1" x14ac:dyDescent="0.2">
      <c r="A406" s="578">
        <v>10</v>
      </c>
      <c r="B406" s="610" t="s">
        <v>462</v>
      </c>
      <c r="C406" s="578" t="s">
        <v>355</v>
      </c>
      <c r="D406" s="106" t="str">
        <f t="shared" si="174"/>
        <v>Lulusan</v>
      </c>
      <c r="E406" s="398">
        <f t="shared" si="175"/>
        <v>1</v>
      </c>
      <c r="F406" s="398">
        <f t="shared" si="176"/>
        <v>0.5</v>
      </c>
      <c r="G406" s="399" t="str">
        <f t="shared" si="177"/>
        <v>1 x 0.5 = 0.5</v>
      </c>
      <c r="H406" s="106" t="s">
        <v>463</v>
      </c>
      <c r="I406" s="577" t="s">
        <v>402</v>
      </c>
      <c r="J406" s="577" t="s">
        <v>394</v>
      </c>
      <c r="K406" s="418">
        <f t="shared" si="178"/>
        <v>0.5</v>
      </c>
      <c r="L406" s="419" t="str">
        <f t="shared" si="179"/>
        <v>Pembimbing Pendamping Laporan akhir studi</v>
      </c>
      <c r="M406" s="116"/>
    </row>
    <row r="407" spans="1:14" ht="15" customHeight="1" x14ac:dyDescent="0.2">
      <c r="A407" s="578">
        <v>11</v>
      </c>
      <c r="B407" s="610" t="s">
        <v>464</v>
      </c>
      <c r="C407" s="578" t="s">
        <v>355</v>
      </c>
      <c r="D407" s="106" t="str">
        <f t="shared" si="174"/>
        <v>Lulusan</v>
      </c>
      <c r="E407" s="398">
        <f t="shared" si="175"/>
        <v>1</v>
      </c>
      <c r="F407" s="398">
        <f t="shared" si="176"/>
        <v>1</v>
      </c>
      <c r="G407" s="399" t="str">
        <f t="shared" si="177"/>
        <v>1 x 1 = 1</v>
      </c>
      <c r="H407" s="106" t="s">
        <v>465</v>
      </c>
      <c r="I407" s="577" t="s">
        <v>393</v>
      </c>
      <c r="J407" s="577" t="s">
        <v>394</v>
      </c>
      <c r="K407" s="418">
        <f t="shared" si="178"/>
        <v>1</v>
      </c>
      <c r="L407" s="419" t="str">
        <f t="shared" si="179"/>
        <v>Pembimbing Utama Laporan akhir studi</v>
      </c>
      <c r="M407" s="116"/>
    </row>
    <row r="408" spans="1:14" ht="15" customHeight="1" x14ac:dyDescent="0.2">
      <c r="A408" s="578">
        <v>12</v>
      </c>
      <c r="B408" s="610" t="s">
        <v>466</v>
      </c>
      <c r="C408" s="578" t="s">
        <v>355</v>
      </c>
      <c r="D408" s="106" t="str">
        <f t="shared" si="174"/>
        <v>Lulusan</v>
      </c>
      <c r="E408" s="398">
        <f t="shared" si="175"/>
        <v>1</v>
      </c>
      <c r="F408" s="398">
        <f t="shared" si="176"/>
        <v>1</v>
      </c>
      <c r="G408" s="399" t="str">
        <f t="shared" si="177"/>
        <v>1 x 1 = 1</v>
      </c>
      <c r="H408" s="106" t="s">
        <v>467</v>
      </c>
      <c r="I408" s="577" t="s">
        <v>393</v>
      </c>
      <c r="J408" s="577" t="s">
        <v>394</v>
      </c>
      <c r="K408" s="418">
        <f t="shared" si="178"/>
        <v>1</v>
      </c>
      <c r="L408" s="419" t="str">
        <f t="shared" si="179"/>
        <v>Pembimbing Utama Laporan akhir studi</v>
      </c>
      <c r="M408" s="116"/>
    </row>
    <row r="409" spans="1:14" ht="15" customHeight="1" x14ac:dyDescent="0.2">
      <c r="A409" s="578">
        <v>13</v>
      </c>
      <c r="B409" s="610" t="s">
        <v>468</v>
      </c>
      <c r="C409" s="578" t="s">
        <v>355</v>
      </c>
      <c r="D409" s="106" t="str">
        <f t="shared" si="174"/>
        <v>Lulusan</v>
      </c>
      <c r="E409" s="398">
        <f t="shared" si="175"/>
        <v>1</v>
      </c>
      <c r="F409" s="398">
        <f t="shared" si="176"/>
        <v>1</v>
      </c>
      <c r="G409" s="399" t="str">
        <f t="shared" si="177"/>
        <v>1 x 1 = 1</v>
      </c>
      <c r="H409" s="106" t="s">
        <v>469</v>
      </c>
      <c r="I409" s="577" t="s">
        <v>393</v>
      </c>
      <c r="J409" s="577" t="s">
        <v>394</v>
      </c>
      <c r="K409" s="418">
        <f t="shared" si="178"/>
        <v>1</v>
      </c>
      <c r="L409" s="419" t="str">
        <f t="shared" si="179"/>
        <v>Pembimbing Utama Laporan akhir studi</v>
      </c>
      <c r="M409" s="116"/>
    </row>
    <row r="410" spans="1:14" ht="15" customHeight="1" x14ac:dyDescent="0.2">
      <c r="A410" s="578">
        <v>14</v>
      </c>
      <c r="B410" s="610" t="s">
        <v>391</v>
      </c>
      <c r="C410" s="578" t="s">
        <v>355</v>
      </c>
      <c r="D410" s="106" t="str">
        <f t="shared" si="174"/>
        <v>Lulusan</v>
      </c>
      <c r="E410" s="398">
        <f t="shared" si="175"/>
        <v>1</v>
      </c>
      <c r="F410" s="398">
        <f t="shared" si="176"/>
        <v>1</v>
      </c>
      <c r="G410" s="399" t="str">
        <f t="shared" si="177"/>
        <v>1 x 1 = 1</v>
      </c>
      <c r="H410" s="106" t="s">
        <v>470</v>
      </c>
      <c r="I410" s="577" t="s">
        <v>393</v>
      </c>
      <c r="J410" s="577" t="s">
        <v>394</v>
      </c>
      <c r="K410" s="418">
        <f t="shared" si="178"/>
        <v>1</v>
      </c>
      <c r="L410" s="419" t="str">
        <f t="shared" si="179"/>
        <v>Pembimbing Utama Laporan akhir studi</v>
      </c>
      <c r="M410" s="116"/>
    </row>
    <row r="411" spans="1:14" ht="15" customHeight="1" x14ac:dyDescent="0.2">
      <c r="A411" s="578">
        <v>15</v>
      </c>
      <c r="B411" s="610" t="s">
        <v>471</v>
      </c>
      <c r="C411" s="578" t="s">
        <v>355</v>
      </c>
      <c r="D411" s="106" t="str">
        <f t="shared" si="174"/>
        <v>Lulusan</v>
      </c>
      <c r="E411" s="398">
        <f t="shared" si="175"/>
        <v>1</v>
      </c>
      <c r="F411" s="398">
        <f t="shared" si="176"/>
        <v>1</v>
      </c>
      <c r="G411" s="399" t="str">
        <f t="shared" si="177"/>
        <v>1 x 1 = 1</v>
      </c>
      <c r="H411" s="106" t="s">
        <v>472</v>
      </c>
      <c r="I411" s="577" t="s">
        <v>393</v>
      </c>
      <c r="J411" s="577" t="s">
        <v>394</v>
      </c>
      <c r="K411" s="418">
        <f t="shared" si="178"/>
        <v>1</v>
      </c>
      <c r="L411" s="419" t="str">
        <f t="shared" si="179"/>
        <v>Pembimbing Utama Laporan akhir studi</v>
      </c>
      <c r="M411" s="116"/>
    </row>
    <row r="412" spans="1:14" ht="15.75" customHeight="1" x14ac:dyDescent="0.2">
      <c r="A412" s="109"/>
      <c r="B412" s="406" t="str">
        <f>"b. Semester Genap "&amp;IF(C413&lt;&gt;"",C413,"")&amp;" :"</f>
        <v>b. Semester Genap 2012/2013 :</v>
      </c>
      <c r="C412" s="415"/>
      <c r="D412" s="415"/>
      <c r="E412" s="415"/>
      <c r="F412" s="415"/>
      <c r="G412" s="415"/>
      <c r="H412" s="416"/>
      <c r="I412" s="116"/>
      <c r="M412" s="118">
        <f>IF(IF((COUNTIF(L397:L411,"Pembimbing Utama Laporan akhir studi"))&lt;=10,(SUMIF(L397:L411,"Pembimbing Utama Laporan akhir studi",K397:K411)),1*10)+IF((COUNTIF(L397:L411,"Pembimbing Pendamping Laporan akhir studi"))&lt;=10,(SUMIF(L397:L411,"Pembimbing Pendamping Laporan akhir studi",K397:K411)),0.5*10)+IF((COUNTIF(L397:L411,"Pembimbing Utama Skripsi"))&lt;=8,(SUMIF(L397:L411,"Pembimbing Utama Skripsi",K397:K411)),1*8)+IF((COUNTIF(L397:L411,"Pembimbing Pendamping Skripsi"))&lt;=8,(SUMIF(L397:L411,"Pembimbing Pendamping Skripsi",K397:K411)),1*8)+IF((COUNTIF(L397:L411,"Pembimbing Utama Tesis"))&lt;=6,(SUMIF(L397:L411,"Pembimbing Utama Tesis",K397:K411)),3*6)+IF((COUNTIF(L397:L411,"Pembimbing Pendamping Tesis"))&lt;=6,(SUMIF(L397:L411,"Pembimbing Pendamping Tesis",K397:K411)),2*6)+IF((COUNTIF(L397:L411,"Pembimbing Utama Disertasi"))&lt;=4,(SUMIF(L397:L411,"Pembimbing Utama Disertasi",K397:K411)),8*4)+IF((COUNTIF(L397:L411,"Pembimbing Pendamping Disertasi"))&lt;=4,(SUMIF(L397:L411,"Pembimbing Pendamping Disertasi",K397:K411)),6*4)&lt;=32,IF((COUNTIF(L397:L411,"Pembimbing Utama Laporan akhir studi"))&lt;=10,(SUMIF(L397:L411,"Pembimbing Utama Laporan akhir studi",K397:K411)),1*10)+IF((COUNTIF(L397:L411,"Pembimbing Pendamping Laporan akhir studi"))&lt;=10,(SUMIF(L397:L411,"Pembimbing Pendamping Laporan akhir studi",K397:K411)),0.5*10)+IF((COUNTIF(L397:L411,"Pembimbing Utama Skripsi"))&lt;=8,(SUMIF(L397:L411,"Pembimbing Utama Skripsi",K397:K411)),1*8)+IF((COUNTIF(L397:L411,"Pembimbing Pendamping Skripsi"))&lt;=8,(SUMIF(L397:L411,"Pembimbing Pendamping Skripsi",K397:K411)),1*8)+IF((COUNTIF(L397:L411,"Pembimbing Utama Tesis"))&lt;=6,(SUMIF(L397:L411,"Pembimbing Utama Tesis",K397:K411)),3*6)+IF((COUNTIF(L397:L411,"Pembimbing Pendamping Tesis"))&lt;=6,(SUMIF(L397:L411,"Pembimbing Pendamping Tesis",K397:K411)),2*6)+IF((COUNTIF(L397:L411,"Pembimbing Utama Disertasi"))&lt;=4,(SUMIF(L397:L411,"Pembimbing Utama Disertasi",K397:K411)),8*4)+IF((COUNTIF(L397:L411,"Pembimbing Pendamping Disertasi"))&lt;=4,(SUMIF(L397:L411,"Pembimbing Pendamping Disertasi",K397:K411)),6*4),32)</f>
        <v>11</v>
      </c>
      <c r="N412" s="103" t="str">
        <f>"Max 32"</f>
        <v>Max 32</v>
      </c>
    </row>
    <row r="413" spans="1:14" ht="15" customHeight="1" x14ac:dyDescent="0.2">
      <c r="A413" s="576">
        <v>1</v>
      </c>
      <c r="B413" s="609" t="s">
        <v>473</v>
      </c>
      <c r="C413" s="576" t="s">
        <v>312</v>
      </c>
      <c r="D413" s="106" t="str">
        <f t="shared" ref="D413:D432" si="192">IF(G413&lt;&gt;"rumus","Lulusan","")</f>
        <v>Lulusan</v>
      </c>
      <c r="E413" s="398">
        <f t="shared" ref="E413:E432" si="193">IF(I413&lt;&gt;"",1,"")</f>
        <v>1</v>
      </c>
      <c r="F413" s="398">
        <f t="shared" ref="F413:F432" si="194">IF(I413&lt;&gt;"",K413,"")</f>
        <v>1</v>
      </c>
      <c r="G413" s="399" t="str">
        <f t="shared" ref="G413:G432" si="195">IF(K413&lt;&gt;"rumus","1 x "&amp;K413&amp;" = "&amp;K413,"rumus")</f>
        <v>1 x 1 = 1</v>
      </c>
      <c r="H413" s="106" t="s">
        <v>474</v>
      </c>
      <c r="I413" s="577" t="s">
        <v>393</v>
      </c>
      <c r="J413" s="577" t="s">
        <v>394</v>
      </c>
      <c r="K413" s="418">
        <f t="shared" ref="K413:K432" si="196">IF(AND(I413&lt;&gt;"",J413&lt;&gt;""),IF(I413="Pembimbing Utama",IF(J413="Disertasi",8,IF(J413="Tesis",3,IF(J413="Skripsi",1,IF(J413="Laporan akhir studi",1,"")))),IF(I413="Pembimbing Pendamping",IF(J413="Disertasi",6,IF(J413="Tesis",2,IF(J413="Skripsi",0.5,IF(J413="Laporan akhir studi",0.5,"")))))),"rumus")</f>
        <v>1</v>
      </c>
      <c r="L413" s="419" t="str">
        <f t="shared" ref="L413:L432" si="197">I413&amp;" "&amp;J413</f>
        <v>Pembimbing Utama Laporan akhir studi</v>
      </c>
      <c r="M413" s="116"/>
    </row>
    <row r="414" spans="1:14" ht="15" customHeight="1" x14ac:dyDescent="0.2">
      <c r="A414" s="578">
        <v>2</v>
      </c>
      <c r="B414" s="610" t="s">
        <v>475</v>
      </c>
      <c r="C414" s="578" t="s">
        <v>312</v>
      </c>
      <c r="D414" s="106" t="str">
        <f t="shared" si="192"/>
        <v>Lulusan</v>
      </c>
      <c r="E414" s="398">
        <f t="shared" si="193"/>
        <v>1</v>
      </c>
      <c r="F414" s="398">
        <f t="shared" si="194"/>
        <v>1</v>
      </c>
      <c r="G414" s="399" t="str">
        <f t="shared" si="195"/>
        <v>1 x 1 = 1</v>
      </c>
      <c r="H414" s="106" t="s">
        <v>476</v>
      </c>
      <c r="I414" s="577" t="s">
        <v>393</v>
      </c>
      <c r="J414" s="577" t="s">
        <v>394</v>
      </c>
      <c r="K414" s="418">
        <f t="shared" si="196"/>
        <v>1</v>
      </c>
      <c r="L414" s="419" t="str">
        <f t="shared" si="197"/>
        <v>Pembimbing Utama Laporan akhir studi</v>
      </c>
      <c r="M414" s="116"/>
    </row>
    <row r="415" spans="1:14" ht="15" customHeight="1" x14ac:dyDescent="0.2">
      <c r="A415" s="578">
        <v>3</v>
      </c>
      <c r="B415" s="610" t="s">
        <v>477</v>
      </c>
      <c r="C415" s="578" t="s">
        <v>312</v>
      </c>
      <c r="D415" s="106" t="str">
        <f t="shared" si="192"/>
        <v>Lulusan</v>
      </c>
      <c r="E415" s="398">
        <f t="shared" si="193"/>
        <v>1</v>
      </c>
      <c r="F415" s="398">
        <f t="shared" si="194"/>
        <v>1</v>
      </c>
      <c r="G415" s="399" t="str">
        <f t="shared" si="195"/>
        <v>1 x 1 = 1</v>
      </c>
      <c r="H415" s="106" t="s">
        <v>478</v>
      </c>
      <c r="I415" s="577" t="s">
        <v>393</v>
      </c>
      <c r="J415" s="577" t="s">
        <v>394</v>
      </c>
      <c r="K415" s="418">
        <f t="shared" si="196"/>
        <v>1</v>
      </c>
      <c r="L415" s="419" t="str">
        <f t="shared" si="197"/>
        <v>Pembimbing Utama Laporan akhir studi</v>
      </c>
      <c r="M415" s="116"/>
    </row>
    <row r="416" spans="1:14" ht="15" customHeight="1" x14ac:dyDescent="0.2">
      <c r="A416" s="578">
        <v>4</v>
      </c>
      <c r="B416" s="610" t="s">
        <v>479</v>
      </c>
      <c r="C416" s="578" t="s">
        <v>312</v>
      </c>
      <c r="D416" s="106" t="str">
        <f t="shared" si="192"/>
        <v>Lulusan</v>
      </c>
      <c r="E416" s="398">
        <f t="shared" si="193"/>
        <v>1</v>
      </c>
      <c r="F416" s="398">
        <f t="shared" si="194"/>
        <v>1</v>
      </c>
      <c r="G416" s="399" t="str">
        <f t="shared" si="195"/>
        <v>1 x 1 = 1</v>
      </c>
      <c r="H416" s="106" t="s">
        <v>480</v>
      </c>
      <c r="I416" s="577" t="s">
        <v>393</v>
      </c>
      <c r="J416" s="577" t="s">
        <v>394</v>
      </c>
      <c r="K416" s="418">
        <f t="shared" si="196"/>
        <v>1</v>
      </c>
      <c r="L416" s="419" t="str">
        <f t="shared" si="197"/>
        <v>Pembimbing Utama Laporan akhir studi</v>
      </c>
      <c r="M416" s="116"/>
    </row>
    <row r="417" spans="1:13" ht="15" customHeight="1" x14ac:dyDescent="0.2">
      <c r="A417" s="578">
        <v>5</v>
      </c>
      <c r="B417" s="610" t="s">
        <v>481</v>
      </c>
      <c r="C417" s="578" t="s">
        <v>312</v>
      </c>
      <c r="D417" s="106" t="str">
        <f t="shared" si="192"/>
        <v>Lulusan</v>
      </c>
      <c r="E417" s="398">
        <f t="shared" si="193"/>
        <v>1</v>
      </c>
      <c r="F417" s="398">
        <f t="shared" si="194"/>
        <v>1</v>
      </c>
      <c r="G417" s="399" t="str">
        <f t="shared" si="195"/>
        <v>1 x 1 = 1</v>
      </c>
      <c r="H417" s="106" t="s">
        <v>482</v>
      </c>
      <c r="I417" s="577" t="s">
        <v>393</v>
      </c>
      <c r="J417" s="577" t="s">
        <v>394</v>
      </c>
      <c r="K417" s="418">
        <f t="shared" si="196"/>
        <v>1</v>
      </c>
      <c r="L417" s="419" t="str">
        <f t="shared" si="197"/>
        <v>Pembimbing Utama Laporan akhir studi</v>
      </c>
      <c r="M417" s="116"/>
    </row>
    <row r="418" spans="1:13" ht="15" customHeight="1" x14ac:dyDescent="0.2">
      <c r="A418" s="578">
        <v>6</v>
      </c>
      <c r="B418" s="610" t="s">
        <v>483</v>
      </c>
      <c r="C418" s="578" t="s">
        <v>312</v>
      </c>
      <c r="D418" s="106" t="str">
        <f t="shared" si="192"/>
        <v>Lulusan</v>
      </c>
      <c r="E418" s="398">
        <f t="shared" si="193"/>
        <v>1</v>
      </c>
      <c r="F418" s="398">
        <f t="shared" si="194"/>
        <v>1</v>
      </c>
      <c r="G418" s="399" t="str">
        <f t="shared" si="195"/>
        <v>1 x 1 = 1</v>
      </c>
      <c r="H418" s="106" t="s">
        <v>484</v>
      </c>
      <c r="I418" s="577" t="s">
        <v>393</v>
      </c>
      <c r="J418" s="577" t="s">
        <v>394</v>
      </c>
      <c r="K418" s="418">
        <f t="shared" si="196"/>
        <v>1</v>
      </c>
      <c r="L418" s="419" t="str">
        <f t="shared" si="197"/>
        <v>Pembimbing Utama Laporan akhir studi</v>
      </c>
      <c r="M418" s="116"/>
    </row>
    <row r="419" spans="1:13" ht="15" customHeight="1" x14ac:dyDescent="0.2">
      <c r="A419" s="578">
        <v>7</v>
      </c>
      <c r="B419" s="610" t="s">
        <v>485</v>
      </c>
      <c r="C419" s="578" t="s">
        <v>312</v>
      </c>
      <c r="D419" s="106" t="str">
        <f t="shared" ref="D419:D423" si="198">IF(G419&lt;&gt;"rumus","Lulusan","")</f>
        <v>Lulusan</v>
      </c>
      <c r="E419" s="398">
        <f t="shared" ref="E419:E423" si="199">IF(I419&lt;&gt;"",1,"")</f>
        <v>1</v>
      </c>
      <c r="F419" s="398">
        <f t="shared" ref="F419:F423" si="200">IF(I419&lt;&gt;"",K419,"")</f>
        <v>1</v>
      </c>
      <c r="G419" s="399" t="str">
        <f t="shared" ref="G419:G423" si="201">IF(K419&lt;&gt;"rumus","1 x "&amp;K419&amp;" = "&amp;K419,"rumus")</f>
        <v>1 x 1 = 1</v>
      </c>
      <c r="H419" s="106" t="s">
        <v>486</v>
      </c>
      <c r="I419" s="577" t="s">
        <v>393</v>
      </c>
      <c r="J419" s="577" t="s">
        <v>394</v>
      </c>
      <c r="K419" s="418">
        <f t="shared" ref="K419:K423" si="202">IF(AND(I419&lt;&gt;"",J419&lt;&gt;""),IF(I419="Pembimbing Utama",IF(J419="Disertasi",8,IF(J419="Tesis",3,IF(J419="Skripsi",1,IF(J419="Laporan akhir studi",1,"")))),IF(I419="Pembimbing Pendamping",IF(J419="Disertasi",6,IF(J419="Tesis",2,IF(J419="Skripsi",0.5,IF(J419="Laporan akhir studi",0.5,"")))))),"rumus")</f>
        <v>1</v>
      </c>
      <c r="L419" s="419" t="str">
        <f t="shared" ref="L419:L423" si="203">I419&amp;" "&amp;J419</f>
        <v>Pembimbing Utama Laporan akhir studi</v>
      </c>
      <c r="M419" s="116"/>
    </row>
    <row r="420" spans="1:13" ht="15" customHeight="1" x14ac:dyDescent="0.2">
      <c r="A420" s="578">
        <v>8</v>
      </c>
      <c r="B420" s="610" t="s">
        <v>487</v>
      </c>
      <c r="C420" s="578" t="s">
        <v>312</v>
      </c>
      <c r="D420" s="106" t="str">
        <f t="shared" si="198"/>
        <v>Lulusan</v>
      </c>
      <c r="E420" s="398">
        <f t="shared" si="199"/>
        <v>1</v>
      </c>
      <c r="F420" s="398">
        <f t="shared" si="200"/>
        <v>1</v>
      </c>
      <c r="G420" s="399" t="str">
        <f t="shared" si="201"/>
        <v>1 x 1 = 1</v>
      </c>
      <c r="H420" s="106" t="s">
        <v>488</v>
      </c>
      <c r="I420" s="577" t="s">
        <v>393</v>
      </c>
      <c r="J420" s="577" t="s">
        <v>394</v>
      </c>
      <c r="K420" s="418">
        <f t="shared" si="202"/>
        <v>1</v>
      </c>
      <c r="L420" s="419" t="str">
        <f t="shared" si="203"/>
        <v>Pembimbing Utama Laporan akhir studi</v>
      </c>
      <c r="M420" s="116"/>
    </row>
    <row r="421" spans="1:13" ht="15" customHeight="1" x14ac:dyDescent="0.2">
      <c r="A421" s="578">
        <v>9</v>
      </c>
      <c r="B421" s="610" t="s">
        <v>489</v>
      </c>
      <c r="C421" s="578" t="s">
        <v>312</v>
      </c>
      <c r="D421" s="106" t="str">
        <f t="shared" si="198"/>
        <v>Lulusan</v>
      </c>
      <c r="E421" s="398">
        <f t="shared" si="199"/>
        <v>1</v>
      </c>
      <c r="F421" s="398">
        <f t="shared" si="200"/>
        <v>1</v>
      </c>
      <c r="G421" s="399" t="str">
        <f t="shared" si="201"/>
        <v>1 x 1 = 1</v>
      </c>
      <c r="H421" s="106" t="s">
        <v>490</v>
      </c>
      <c r="I421" s="577" t="s">
        <v>393</v>
      </c>
      <c r="J421" s="577" t="s">
        <v>394</v>
      </c>
      <c r="K421" s="418">
        <f t="shared" si="202"/>
        <v>1</v>
      </c>
      <c r="L421" s="419" t="str">
        <f t="shared" si="203"/>
        <v>Pembimbing Utama Laporan akhir studi</v>
      </c>
      <c r="M421" s="116"/>
    </row>
    <row r="422" spans="1:13" ht="15" customHeight="1" x14ac:dyDescent="0.2">
      <c r="A422" s="578">
        <v>10</v>
      </c>
      <c r="B422" s="610" t="s">
        <v>491</v>
      </c>
      <c r="C422" s="578" t="s">
        <v>312</v>
      </c>
      <c r="D422" s="106" t="str">
        <f t="shared" si="198"/>
        <v>Lulusan</v>
      </c>
      <c r="E422" s="398">
        <f t="shared" si="199"/>
        <v>1</v>
      </c>
      <c r="F422" s="398">
        <f t="shared" si="200"/>
        <v>1</v>
      </c>
      <c r="G422" s="399" t="str">
        <f t="shared" si="201"/>
        <v>1 x 1 = 1</v>
      </c>
      <c r="H422" s="106" t="s">
        <v>492</v>
      </c>
      <c r="I422" s="577" t="s">
        <v>393</v>
      </c>
      <c r="J422" s="577" t="s">
        <v>394</v>
      </c>
      <c r="K422" s="418">
        <f t="shared" si="202"/>
        <v>1</v>
      </c>
      <c r="L422" s="419" t="str">
        <f t="shared" si="203"/>
        <v>Pembimbing Utama Laporan akhir studi</v>
      </c>
      <c r="M422" s="116"/>
    </row>
    <row r="423" spans="1:13" ht="15" customHeight="1" x14ac:dyDescent="0.2">
      <c r="A423" s="578">
        <v>11</v>
      </c>
      <c r="B423" s="610" t="s">
        <v>493</v>
      </c>
      <c r="C423" s="578" t="s">
        <v>312</v>
      </c>
      <c r="D423" s="106" t="str">
        <f t="shared" si="198"/>
        <v>Lulusan</v>
      </c>
      <c r="E423" s="398">
        <f t="shared" si="199"/>
        <v>1</v>
      </c>
      <c r="F423" s="398">
        <f t="shared" si="200"/>
        <v>1</v>
      </c>
      <c r="G423" s="399" t="str">
        <f t="shared" si="201"/>
        <v>1 x 1 = 1</v>
      </c>
      <c r="H423" s="106" t="s">
        <v>494</v>
      </c>
      <c r="I423" s="577" t="s">
        <v>393</v>
      </c>
      <c r="J423" s="577" t="s">
        <v>394</v>
      </c>
      <c r="K423" s="418">
        <f t="shared" si="202"/>
        <v>1</v>
      </c>
      <c r="L423" s="419" t="str">
        <f t="shared" si="203"/>
        <v>Pembimbing Utama Laporan akhir studi</v>
      </c>
      <c r="M423" s="116"/>
    </row>
    <row r="424" spans="1:13" ht="15" customHeight="1" x14ac:dyDescent="0.2">
      <c r="A424" s="578">
        <v>12</v>
      </c>
      <c r="B424" s="610" t="s">
        <v>495</v>
      </c>
      <c r="C424" s="578" t="s">
        <v>312</v>
      </c>
      <c r="D424" s="106" t="str">
        <f t="shared" si="192"/>
        <v>Lulusan</v>
      </c>
      <c r="E424" s="398">
        <f t="shared" si="193"/>
        <v>1</v>
      </c>
      <c r="F424" s="398">
        <f t="shared" si="194"/>
        <v>1</v>
      </c>
      <c r="G424" s="399" t="str">
        <f t="shared" si="195"/>
        <v>1 x 1 = 1</v>
      </c>
      <c r="H424" s="106" t="s">
        <v>496</v>
      </c>
      <c r="I424" s="577" t="s">
        <v>393</v>
      </c>
      <c r="J424" s="577" t="s">
        <v>394</v>
      </c>
      <c r="K424" s="418">
        <f t="shared" si="196"/>
        <v>1</v>
      </c>
      <c r="L424" s="419" t="str">
        <f t="shared" si="197"/>
        <v>Pembimbing Utama Laporan akhir studi</v>
      </c>
      <c r="M424" s="116"/>
    </row>
    <row r="425" spans="1:13" ht="15" customHeight="1" x14ac:dyDescent="0.2">
      <c r="A425" s="578">
        <v>13</v>
      </c>
      <c r="B425" s="610" t="s">
        <v>497</v>
      </c>
      <c r="C425" s="578" t="s">
        <v>312</v>
      </c>
      <c r="D425" s="106" t="str">
        <f t="shared" si="192"/>
        <v>Lulusan</v>
      </c>
      <c r="E425" s="398">
        <f t="shared" si="193"/>
        <v>1</v>
      </c>
      <c r="F425" s="398">
        <f t="shared" si="194"/>
        <v>1</v>
      </c>
      <c r="G425" s="399" t="str">
        <f t="shared" si="195"/>
        <v>1 x 1 = 1</v>
      </c>
      <c r="H425" s="106" t="s">
        <v>498</v>
      </c>
      <c r="I425" s="577" t="s">
        <v>393</v>
      </c>
      <c r="J425" s="577" t="s">
        <v>394</v>
      </c>
      <c r="K425" s="418">
        <f t="shared" si="196"/>
        <v>1</v>
      </c>
      <c r="L425" s="419" t="str">
        <f t="shared" si="197"/>
        <v>Pembimbing Utama Laporan akhir studi</v>
      </c>
      <c r="M425" s="116"/>
    </row>
    <row r="426" spans="1:13" ht="15" customHeight="1" x14ac:dyDescent="0.2">
      <c r="A426" s="578">
        <v>14</v>
      </c>
      <c r="B426" s="610" t="s">
        <v>499</v>
      </c>
      <c r="C426" s="578" t="s">
        <v>312</v>
      </c>
      <c r="D426" s="106" t="str">
        <f t="shared" si="192"/>
        <v>Lulusan</v>
      </c>
      <c r="E426" s="398">
        <f t="shared" si="193"/>
        <v>1</v>
      </c>
      <c r="F426" s="398">
        <f t="shared" si="194"/>
        <v>1</v>
      </c>
      <c r="G426" s="399" t="str">
        <f t="shared" si="195"/>
        <v>1 x 1 = 1</v>
      </c>
      <c r="H426" s="106" t="s">
        <v>500</v>
      </c>
      <c r="I426" s="577" t="s">
        <v>393</v>
      </c>
      <c r="J426" s="577" t="s">
        <v>394</v>
      </c>
      <c r="K426" s="418">
        <f t="shared" si="196"/>
        <v>1</v>
      </c>
      <c r="L426" s="419" t="str">
        <f t="shared" si="197"/>
        <v>Pembimbing Utama Laporan akhir studi</v>
      </c>
      <c r="M426" s="116"/>
    </row>
    <row r="427" spans="1:13" ht="15" customHeight="1" x14ac:dyDescent="0.2">
      <c r="A427" s="578">
        <v>15</v>
      </c>
      <c r="B427" s="610" t="s">
        <v>501</v>
      </c>
      <c r="C427" s="578" t="s">
        <v>312</v>
      </c>
      <c r="D427" s="106" t="str">
        <f t="shared" si="192"/>
        <v>Lulusan</v>
      </c>
      <c r="E427" s="398">
        <f t="shared" si="193"/>
        <v>1</v>
      </c>
      <c r="F427" s="398">
        <f t="shared" si="194"/>
        <v>1</v>
      </c>
      <c r="G427" s="399" t="str">
        <f t="shared" si="195"/>
        <v>1 x 1 = 1</v>
      </c>
      <c r="H427" s="106" t="s">
        <v>502</v>
      </c>
      <c r="I427" s="577" t="s">
        <v>393</v>
      </c>
      <c r="J427" s="577" t="s">
        <v>394</v>
      </c>
      <c r="K427" s="418">
        <f t="shared" si="196"/>
        <v>1</v>
      </c>
      <c r="L427" s="419" t="str">
        <f t="shared" si="197"/>
        <v>Pembimbing Utama Laporan akhir studi</v>
      </c>
      <c r="M427" s="116"/>
    </row>
    <row r="428" spans="1:13" ht="15" customHeight="1" x14ac:dyDescent="0.2">
      <c r="A428" s="578">
        <v>16</v>
      </c>
      <c r="B428" s="610" t="s">
        <v>503</v>
      </c>
      <c r="C428" s="578" t="s">
        <v>312</v>
      </c>
      <c r="D428" s="106" t="str">
        <f t="shared" si="192"/>
        <v>Lulusan</v>
      </c>
      <c r="E428" s="398">
        <f t="shared" si="193"/>
        <v>1</v>
      </c>
      <c r="F428" s="398">
        <f t="shared" si="194"/>
        <v>1</v>
      </c>
      <c r="G428" s="399" t="str">
        <f t="shared" si="195"/>
        <v>1 x 1 = 1</v>
      </c>
      <c r="H428" s="106" t="s">
        <v>504</v>
      </c>
      <c r="I428" s="577" t="s">
        <v>393</v>
      </c>
      <c r="J428" s="577" t="s">
        <v>394</v>
      </c>
      <c r="K428" s="418">
        <f t="shared" si="196"/>
        <v>1</v>
      </c>
      <c r="L428" s="419" t="str">
        <f t="shared" si="197"/>
        <v>Pembimbing Utama Laporan akhir studi</v>
      </c>
      <c r="M428" s="116"/>
    </row>
    <row r="429" spans="1:13" ht="15" customHeight="1" x14ac:dyDescent="0.2">
      <c r="A429" s="578">
        <v>17</v>
      </c>
      <c r="B429" s="610" t="s">
        <v>505</v>
      </c>
      <c r="C429" s="578" t="s">
        <v>312</v>
      </c>
      <c r="D429" s="106" t="str">
        <f t="shared" si="192"/>
        <v>Lulusan</v>
      </c>
      <c r="E429" s="398">
        <f t="shared" si="193"/>
        <v>1</v>
      </c>
      <c r="F429" s="398">
        <f t="shared" si="194"/>
        <v>1</v>
      </c>
      <c r="G429" s="399" t="str">
        <f t="shared" si="195"/>
        <v>1 x 1 = 1</v>
      </c>
      <c r="H429" s="106" t="s">
        <v>506</v>
      </c>
      <c r="I429" s="577" t="s">
        <v>393</v>
      </c>
      <c r="J429" s="577" t="s">
        <v>394</v>
      </c>
      <c r="K429" s="418">
        <f t="shared" si="196"/>
        <v>1</v>
      </c>
      <c r="L429" s="419" t="str">
        <f t="shared" si="197"/>
        <v>Pembimbing Utama Laporan akhir studi</v>
      </c>
      <c r="M429" s="116"/>
    </row>
    <row r="430" spans="1:13" ht="15" customHeight="1" x14ac:dyDescent="0.2">
      <c r="A430" s="578">
        <v>18</v>
      </c>
      <c r="B430" s="610" t="s">
        <v>507</v>
      </c>
      <c r="C430" s="578" t="s">
        <v>312</v>
      </c>
      <c r="D430" s="106" t="str">
        <f t="shared" si="192"/>
        <v>Lulusan</v>
      </c>
      <c r="E430" s="398">
        <f t="shared" si="193"/>
        <v>1</v>
      </c>
      <c r="F430" s="398">
        <f t="shared" si="194"/>
        <v>1</v>
      </c>
      <c r="G430" s="399" t="str">
        <f t="shared" si="195"/>
        <v>1 x 1 = 1</v>
      </c>
      <c r="H430" s="106" t="s">
        <v>508</v>
      </c>
      <c r="I430" s="577" t="s">
        <v>393</v>
      </c>
      <c r="J430" s="577" t="s">
        <v>394</v>
      </c>
      <c r="K430" s="418">
        <f t="shared" si="196"/>
        <v>1</v>
      </c>
      <c r="L430" s="419" t="str">
        <f t="shared" si="197"/>
        <v>Pembimbing Utama Laporan akhir studi</v>
      </c>
      <c r="M430" s="116"/>
    </row>
    <row r="431" spans="1:13" ht="15" customHeight="1" x14ac:dyDescent="0.2">
      <c r="A431" s="578">
        <v>19</v>
      </c>
      <c r="B431" s="610" t="s">
        <v>509</v>
      </c>
      <c r="C431" s="578" t="s">
        <v>312</v>
      </c>
      <c r="D431" s="106" t="str">
        <f t="shared" si="192"/>
        <v>Lulusan</v>
      </c>
      <c r="E431" s="398">
        <f t="shared" si="193"/>
        <v>1</v>
      </c>
      <c r="F431" s="398">
        <f t="shared" si="194"/>
        <v>1</v>
      </c>
      <c r="G431" s="399" t="str">
        <f t="shared" si="195"/>
        <v>1 x 1 = 1</v>
      </c>
      <c r="H431" s="106" t="s">
        <v>510</v>
      </c>
      <c r="I431" s="577" t="s">
        <v>393</v>
      </c>
      <c r="J431" s="577" t="s">
        <v>394</v>
      </c>
      <c r="K431" s="418">
        <f t="shared" si="196"/>
        <v>1</v>
      </c>
      <c r="L431" s="419" t="str">
        <f t="shared" si="197"/>
        <v>Pembimbing Utama Laporan akhir studi</v>
      </c>
      <c r="M431" s="116"/>
    </row>
    <row r="432" spans="1:13" ht="15" customHeight="1" x14ac:dyDescent="0.2">
      <c r="A432" s="578">
        <v>20</v>
      </c>
      <c r="B432" s="610" t="s">
        <v>511</v>
      </c>
      <c r="C432" s="578" t="s">
        <v>312</v>
      </c>
      <c r="D432" s="106" t="str">
        <f t="shared" si="192"/>
        <v>Lulusan</v>
      </c>
      <c r="E432" s="398">
        <f t="shared" si="193"/>
        <v>1</v>
      </c>
      <c r="F432" s="398">
        <f t="shared" si="194"/>
        <v>1</v>
      </c>
      <c r="G432" s="399" t="str">
        <f t="shared" si="195"/>
        <v>1 x 1 = 1</v>
      </c>
      <c r="H432" s="106" t="s">
        <v>512</v>
      </c>
      <c r="I432" s="577" t="s">
        <v>393</v>
      </c>
      <c r="J432" s="577" t="s">
        <v>394</v>
      </c>
      <c r="K432" s="418">
        <f t="shared" si="196"/>
        <v>1</v>
      </c>
      <c r="L432" s="419" t="str">
        <f t="shared" si="197"/>
        <v>Pembimbing Utama Laporan akhir studi</v>
      </c>
      <c r="M432" s="116"/>
    </row>
    <row r="433" spans="1:14" ht="15.75" customHeight="1" x14ac:dyDescent="0.2">
      <c r="A433" s="109"/>
      <c r="B433" s="406" t="str">
        <f>"b. Semester Genap "&amp;IF(C434&lt;&gt;"",C434,"")&amp;" :"</f>
        <v>b. Semester Genap 2013/2014 :</v>
      </c>
      <c r="C433" s="415"/>
      <c r="D433" s="415"/>
      <c r="E433" s="415"/>
      <c r="F433" s="415"/>
      <c r="G433" s="415"/>
      <c r="H433" s="416"/>
      <c r="I433" s="116"/>
      <c r="M433" s="118">
        <f>IF(IF((COUNTIF(L413:L432,"Pembimbing Utama Laporan akhir studi"))&lt;=10,(SUMIF(L413:L432,"Pembimbing Utama Laporan akhir studi",K413:K432)),1*10)+IF((COUNTIF(L413:L432,"Pembimbing Pendamping Laporan akhir studi"))&lt;=10,(SUMIF(L413:L432,"Pembimbing Pendamping Laporan akhir studi",K413:K432)),0.5*10)+IF((COUNTIF(L413:L432,"Pembimbing Utama Skripsi"))&lt;=8,(SUMIF(L413:L432,"Pembimbing Utama Skripsi",K413:K432)),1*8)+IF((COUNTIF(L413:L432,"Pembimbing Pendamping Skripsi"))&lt;=8,(SUMIF(L413:L432,"Pembimbing Pendamping Skripsi",K413:K432)),1*8)+IF((COUNTIF(L413:L432,"Pembimbing Utama Tesis"))&lt;=6,(SUMIF(L413:L432,"Pembimbing Utama Tesis",K413:K432)),3*6)+IF((COUNTIF(L413:L432,"Pembimbing Pendamping Tesis"))&lt;=6,(SUMIF(L413:L432,"Pembimbing Pendamping Tesis",K413:K432)),2*6)+IF((COUNTIF(L413:L432,"Pembimbing Utama Disertasi"))&lt;=4,(SUMIF(L413:L432,"Pembimbing Utama Disertasi",K413:K432)),8*4)+IF((COUNTIF(L413:L432,"Pembimbing Pendamping Disertasi"))&lt;=4,(SUMIF(L413:L432,"Pembimbing Pendamping Disertasi",K413:K432)),6*4)&lt;=32,IF((COUNTIF(L413:L432,"Pembimbing Utama Laporan akhir studi"))&lt;=10,(SUMIF(L413:L432,"Pembimbing Utama Laporan akhir studi",K413:K432)),1*10)+IF((COUNTIF(L413:L432,"Pembimbing Pendamping Laporan akhir studi"))&lt;=10,(SUMIF(L413:L432,"Pembimbing Pendamping Laporan akhir studi",K413:K432)),0.5*10)+IF((COUNTIF(L413:L432,"Pembimbing Utama Skripsi"))&lt;=8,(SUMIF(L413:L432,"Pembimbing Utama Skripsi",K413:K432)),1*8)+IF((COUNTIF(L413:L432,"Pembimbing Pendamping Skripsi"))&lt;=8,(SUMIF(L413:L432,"Pembimbing Pendamping Skripsi",K413:K432)),1*8)+IF((COUNTIF(L413:L432,"Pembimbing Utama Tesis"))&lt;=6,(SUMIF(L413:L432,"Pembimbing Utama Tesis",K413:K432)),3*6)+IF((COUNTIF(L413:L432,"Pembimbing Pendamping Tesis"))&lt;=6,(SUMIF(L413:L432,"Pembimbing Pendamping Tesis",K413:K432)),2*6)+IF((COUNTIF(L413:L432,"Pembimbing Utama Disertasi"))&lt;=4,(SUMIF(L413:L432,"Pembimbing Utama Disertasi",K413:K432)),8*4)+IF((COUNTIF(L413:L432,"Pembimbing Pendamping Disertasi"))&lt;=4,(SUMIF(L413:L432,"Pembimbing Pendamping Disertasi",K413:K432)),6*4),32)</f>
        <v>10</v>
      </c>
      <c r="N433" s="103" t="str">
        <f>"Max 32"</f>
        <v>Max 32</v>
      </c>
    </row>
    <row r="434" spans="1:14" ht="15" customHeight="1" x14ac:dyDescent="0.2">
      <c r="A434" s="109">
        <v>1</v>
      </c>
      <c r="B434" s="574" t="s">
        <v>513</v>
      </c>
      <c r="C434" s="576" t="s">
        <v>317</v>
      </c>
      <c r="D434" s="106" t="str">
        <f t="shared" ref="D434:D443" si="204">IF(G434&lt;&gt;"rumus","Lulusan","")</f>
        <v>Lulusan</v>
      </c>
      <c r="E434" s="398">
        <f t="shared" ref="E434:E443" si="205">IF(I434&lt;&gt;"",1,"")</f>
        <v>1</v>
      </c>
      <c r="F434" s="398">
        <f t="shared" ref="F434:F443" si="206">IF(I434&lt;&gt;"",K434,"")</f>
        <v>0.5</v>
      </c>
      <c r="G434" s="399" t="str">
        <f t="shared" ref="G434:G443" si="207">IF(K434&lt;&gt;"rumus","1 x "&amp;K434&amp;" = "&amp;K434,"rumus")</f>
        <v>1 x 0.5 = 0.5</v>
      </c>
      <c r="H434" s="106" t="s">
        <v>514</v>
      </c>
      <c r="I434" s="577" t="s">
        <v>402</v>
      </c>
      <c r="J434" s="577" t="s">
        <v>394</v>
      </c>
      <c r="K434" s="418">
        <f t="shared" ref="K434:K443" si="208">IF(AND(I434&lt;&gt;"",J434&lt;&gt;""),IF(I434="Pembimbing Utama",IF(J434="Disertasi",8,IF(J434="Tesis",3,IF(J434="Skripsi",1,IF(J434="Laporan akhir studi",1,"")))),IF(I434="Pembimbing Pendamping",IF(J434="Disertasi",6,IF(J434="Tesis",2,IF(J434="Skripsi",0.5,IF(J434="Laporan akhir studi",0.5,"")))))),"rumus")</f>
        <v>0.5</v>
      </c>
      <c r="L434" s="419" t="str">
        <f t="shared" ref="L434:L443" si="209">I434&amp;" "&amp;J434</f>
        <v>Pembimbing Pendamping Laporan akhir studi</v>
      </c>
      <c r="M434" s="116"/>
    </row>
    <row r="435" spans="1:14" ht="15" customHeight="1" x14ac:dyDescent="0.2">
      <c r="A435" s="109">
        <v>2</v>
      </c>
      <c r="B435" s="575" t="s">
        <v>515</v>
      </c>
      <c r="C435" s="578" t="s">
        <v>317</v>
      </c>
      <c r="D435" s="106" t="str">
        <f t="shared" si="204"/>
        <v>Lulusan</v>
      </c>
      <c r="E435" s="398">
        <f t="shared" si="205"/>
        <v>1</v>
      </c>
      <c r="F435" s="398">
        <f t="shared" si="206"/>
        <v>0.5</v>
      </c>
      <c r="G435" s="399" t="str">
        <f t="shared" si="207"/>
        <v>1 x 0.5 = 0.5</v>
      </c>
      <c r="H435" s="106" t="s">
        <v>516</v>
      </c>
      <c r="I435" s="577" t="s">
        <v>402</v>
      </c>
      <c r="J435" s="577" t="s">
        <v>394</v>
      </c>
      <c r="K435" s="418">
        <f t="shared" si="208"/>
        <v>0.5</v>
      </c>
      <c r="L435" s="419" t="str">
        <f t="shared" si="209"/>
        <v>Pembimbing Pendamping Laporan akhir studi</v>
      </c>
      <c r="M435" s="116"/>
    </row>
    <row r="436" spans="1:14" ht="15" customHeight="1" x14ac:dyDescent="0.2">
      <c r="A436" s="109">
        <v>3</v>
      </c>
      <c r="B436" s="575" t="s">
        <v>517</v>
      </c>
      <c r="C436" s="578" t="s">
        <v>317</v>
      </c>
      <c r="D436" s="106" t="str">
        <f t="shared" si="204"/>
        <v>Lulusan</v>
      </c>
      <c r="E436" s="398">
        <f t="shared" si="205"/>
        <v>1</v>
      </c>
      <c r="F436" s="398">
        <f t="shared" si="206"/>
        <v>0.5</v>
      </c>
      <c r="G436" s="399" t="str">
        <f t="shared" si="207"/>
        <v>1 x 0.5 = 0.5</v>
      </c>
      <c r="H436" s="106" t="s">
        <v>518</v>
      </c>
      <c r="I436" s="577" t="s">
        <v>402</v>
      </c>
      <c r="J436" s="577" t="s">
        <v>394</v>
      </c>
      <c r="K436" s="418">
        <f t="shared" si="208"/>
        <v>0.5</v>
      </c>
      <c r="L436" s="419" t="str">
        <f t="shared" si="209"/>
        <v>Pembimbing Pendamping Laporan akhir studi</v>
      </c>
      <c r="M436" s="116"/>
    </row>
    <row r="437" spans="1:14" ht="15" customHeight="1" x14ac:dyDescent="0.2">
      <c r="A437" s="109">
        <v>4</v>
      </c>
      <c r="B437" s="575" t="s">
        <v>519</v>
      </c>
      <c r="C437" s="578" t="s">
        <v>317</v>
      </c>
      <c r="D437" s="106" t="str">
        <f t="shared" si="204"/>
        <v>Lulusan</v>
      </c>
      <c r="E437" s="398">
        <f t="shared" si="205"/>
        <v>1</v>
      </c>
      <c r="F437" s="398">
        <f t="shared" si="206"/>
        <v>0.5</v>
      </c>
      <c r="G437" s="399" t="str">
        <f t="shared" si="207"/>
        <v>1 x 0.5 = 0.5</v>
      </c>
      <c r="H437" s="106" t="s">
        <v>520</v>
      </c>
      <c r="I437" s="577" t="s">
        <v>402</v>
      </c>
      <c r="J437" s="577" t="s">
        <v>394</v>
      </c>
      <c r="K437" s="418">
        <f t="shared" si="208"/>
        <v>0.5</v>
      </c>
      <c r="L437" s="419" t="str">
        <f t="shared" si="209"/>
        <v>Pembimbing Pendamping Laporan akhir studi</v>
      </c>
      <c r="M437" s="116"/>
    </row>
    <row r="438" spans="1:14" ht="15" customHeight="1" x14ac:dyDescent="0.2">
      <c r="A438" s="109">
        <v>5</v>
      </c>
      <c r="B438" s="575" t="s">
        <v>521</v>
      </c>
      <c r="C438" s="578" t="s">
        <v>317</v>
      </c>
      <c r="D438" s="106" t="str">
        <f t="shared" si="204"/>
        <v>Lulusan</v>
      </c>
      <c r="E438" s="398">
        <f t="shared" si="205"/>
        <v>1</v>
      </c>
      <c r="F438" s="398">
        <f t="shared" si="206"/>
        <v>1</v>
      </c>
      <c r="G438" s="399" t="str">
        <f t="shared" si="207"/>
        <v>1 x 1 = 1</v>
      </c>
      <c r="H438" s="106" t="s">
        <v>522</v>
      </c>
      <c r="I438" s="577" t="s">
        <v>393</v>
      </c>
      <c r="J438" s="577" t="s">
        <v>394</v>
      </c>
      <c r="K438" s="418">
        <f t="shared" si="208"/>
        <v>1</v>
      </c>
      <c r="L438" s="419" t="str">
        <f t="shared" si="209"/>
        <v>Pembimbing Utama Laporan akhir studi</v>
      </c>
      <c r="M438" s="116"/>
    </row>
    <row r="439" spans="1:14" ht="15" customHeight="1" x14ac:dyDescent="0.2">
      <c r="A439" s="109">
        <v>6</v>
      </c>
      <c r="B439" s="575" t="s">
        <v>523</v>
      </c>
      <c r="C439" s="578" t="s">
        <v>317</v>
      </c>
      <c r="D439" s="106" t="str">
        <f t="shared" si="204"/>
        <v>Lulusan</v>
      </c>
      <c r="E439" s="398">
        <f t="shared" si="205"/>
        <v>1</v>
      </c>
      <c r="F439" s="398">
        <f t="shared" si="206"/>
        <v>1</v>
      </c>
      <c r="G439" s="399" t="str">
        <f t="shared" si="207"/>
        <v>1 x 1 = 1</v>
      </c>
      <c r="H439" s="106" t="s">
        <v>524</v>
      </c>
      <c r="I439" s="577" t="s">
        <v>393</v>
      </c>
      <c r="J439" s="577" t="s">
        <v>394</v>
      </c>
      <c r="K439" s="418">
        <f t="shared" si="208"/>
        <v>1</v>
      </c>
      <c r="L439" s="419" t="str">
        <f t="shared" si="209"/>
        <v>Pembimbing Utama Laporan akhir studi</v>
      </c>
      <c r="M439" s="116"/>
    </row>
    <row r="440" spans="1:14" ht="15" customHeight="1" x14ac:dyDescent="0.2">
      <c r="A440" s="109">
        <v>7</v>
      </c>
      <c r="B440" s="575" t="s">
        <v>525</v>
      </c>
      <c r="C440" s="578" t="s">
        <v>317</v>
      </c>
      <c r="D440" s="106" t="str">
        <f t="shared" si="204"/>
        <v>Lulusan</v>
      </c>
      <c r="E440" s="398">
        <f t="shared" si="205"/>
        <v>1</v>
      </c>
      <c r="F440" s="398">
        <f t="shared" si="206"/>
        <v>1</v>
      </c>
      <c r="G440" s="399" t="str">
        <f t="shared" si="207"/>
        <v>1 x 1 = 1</v>
      </c>
      <c r="H440" s="106" t="s">
        <v>526</v>
      </c>
      <c r="I440" s="577" t="s">
        <v>393</v>
      </c>
      <c r="J440" s="577" t="s">
        <v>394</v>
      </c>
      <c r="K440" s="418">
        <f t="shared" si="208"/>
        <v>1</v>
      </c>
      <c r="L440" s="419" t="str">
        <f t="shared" si="209"/>
        <v>Pembimbing Utama Laporan akhir studi</v>
      </c>
      <c r="M440" s="116"/>
    </row>
    <row r="441" spans="1:14" ht="15" customHeight="1" x14ac:dyDescent="0.2">
      <c r="A441" s="109">
        <v>8</v>
      </c>
      <c r="B441" s="575" t="s">
        <v>527</v>
      </c>
      <c r="C441" s="578" t="s">
        <v>317</v>
      </c>
      <c r="D441" s="106" t="str">
        <f t="shared" si="204"/>
        <v>Lulusan</v>
      </c>
      <c r="E441" s="398">
        <f t="shared" si="205"/>
        <v>1</v>
      </c>
      <c r="F441" s="398">
        <f t="shared" si="206"/>
        <v>1</v>
      </c>
      <c r="G441" s="399" t="str">
        <f t="shared" si="207"/>
        <v>1 x 1 = 1</v>
      </c>
      <c r="H441" s="106" t="s">
        <v>528</v>
      </c>
      <c r="I441" s="577" t="s">
        <v>393</v>
      </c>
      <c r="J441" s="577" t="s">
        <v>394</v>
      </c>
      <c r="K441" s="418">
        <f t="shared" si="208"/>
        <v>1</v>
      </c>
      <c r="L441" s="419" t="str">
        <f t="shared" si="209"/>
        <v>Pembimbing Utama Laporan akhir studi</v>
      </c>
      <c r="M441" s="116"/>
    </row>
    <row r="442" spans="1:14" ht="15" customHeight="1" x14ac:dyDescent="0.2">
      <c r="A442" s="109">
        <v>9</v>
      </c>
      <c r="B442" s="575" t="s">
        <v>529</v>
      </c>
      <c r="C442" s="578" t="s">
        <v>317</v>
      </c>
      <c r="D442" s="106" t="str">
        <f t="shared" si="204"/>
        <v>Lulusan</v>
      </c>
      <c r="E442" s="398">
        <f t="shared" si="205"/>
        <v>1</v>
      </c>
      <c r="F442" s="398">
        <f t="shared" si="206"/>
        <v>0.5</v>
      </c>
      <c r="G442" s="399" t="str">
        <f t="shared" si="207"/>
        <v>1 x 0.5 = 0.5</v>
      </c>
      <c r="H442" s="106" t="s">
        <v>530</v>
      </c>
      <c r="I442" s="577" t="s">
        <v>402</v>
      </c>
      <c r="J442" s="577" t="s">
        <v>394</v>
      </c>
      <c r="K442" s="418">
        <f t="shared" si="208"/>
        <v>0.5</v>
      </c>
      <c r="L442" s="419" t="str">
        <f t="shared" si="209"/>
        <v>Pembimbing Pendamping Laporan akhir studi</v>
      </c>
      <c r="M442" s="116"/>
    </row>
    <row r="443" spans="1:14" ht="15" customHeight="1" x14ac:dyDescent="0.2">
      <c r="A443" s="109">
        <v>10</v>
      </c>
      <c r="B443" s="575" t="s">
        <v>531</v>
      </c>
      <c r="C443" s="578" t="s">
        <v>317</v>
      </c>
      <c r="D443" s="106" t="str">
        <f t="shared" si="204"/>
        <v>Lulusan</v>
      </c>
      <c r="E443" s="398">
        <f t="shared" si="205"/>
        <v>1</v>
      </c>
      <c r="F443" s="398">
        <f t="shared" si="206"/>
        <v>1</v>
      </c>
      <c r="G443" s="399" t="str">
        <f t="shared" si="207"/>
        <v>1 x 1 = 1</v>
      </c>
      <c r="H443" s="106" t="s">
        <v>532</v>
      </c>
      <c r="I443" s="577" t="s">
        <v>393</v>
      </c>
      <c r="J443" s="577" t="s">
        <v>394</v>
      </c>
      <c r="K443" s="418">
        <f t="shared" si="208"/>
        <v>1</v>
      </c>
      <c r="L443" s="419" t="str">
        <f t="shared" si="209"/>
        <v>Pembimbing Utama Laporan akhir studi</v>
      </c>
      <c r="M443" s="116"/>
    </row>
    <row r="444" spans="1:14" ht="15.75" customHeight="1" x14ac:dyDescent="0.2">
      <c r="A444" s="109"/>
      <c r="B444" s="406" t="str">
        <f>"b. Semester Genap "&amp;IF(C445&lt;&gt;"",C445,"")&amp;" :"</f>
        <v>b. Semester Genap 2014/2015 :</v>
      </c>
      <c r="C444" s="415"/>
      <c r="D444" s="415"/>
      <c r="E444" s="415"/>
      <c r="F444" s="415"/>
      <c r="G444" s="415"/>
      <c r="H444" s="416"/>
      <c r="I444" s="116"/>
      <c r="M444" s="118">
        <f>IF(IF((COUNTIF(L434:L443,"Pembimbing Utama Laporan akhir studi"))&lt;=10,(SUMIF(L434:L443,"Pembimbing Utama Laporan akhir studi",K434:K443)),1*10)+IF((COUNTIF(L434:L443,"Pembimbing Pendamping Laporan akhir studi"))&lt;=10,(SUMIF(L434:L443,"Pembimbing Pendamping Laporan akhir studi",K434:K443)),0.5*10)+IF((COUNTIF(L434:L443,"Pembimbing Utama Skripsi"))&lt;=8,(SUMIF(L434:L443,"Pembimbing Utama Skripsi",K434:K443)),1*8)+IF((COUNTIF(L434:L443,"Pembimbing Pendamping Skripsi"))&lt;=8,(SUMIF(L434:L443,"Pembimbing Pendamping Skripsi",K434:K443)),1*8)+IF((COUNTIF(L434:L443,"Pembimbing Utama Tesis"))&lt;=6,(SUMIF(L434:L443,"Pembimbing Utama Tesis",K434:K443)),3*6)+IF((COUNTIF(L434:L443,"Pembimbing Pendamping Tesis"))&lt;=6,(SUMIF(L434:L443,"Pembimbing Pendamping Tesis",K434:K443)),2*6)+IF((COUNTIF(L434:L443,"Pembimbing Utama Disertasi"))&lt;=4,(SUMIF(L434:L443,"Pembimbing Utama Disertasi",K434:K443)),8*4)+IF((COUNTIF(L434:L443,"Pembimbing Pendamping Disertasi"))&lt;=4,(SUMIF(L434:L443,"Pembimbing Pendamping Disertasi",K434:K443)),6*4)&lt;=32,IF((COUNTIF(L434:L443,"Pembimbing Utama Laporan akhir studi"))&lt;=10,(SUMIF(L434:L443,"Pembimbing Utama Laporan akhir studi",K434:K443)),1*10)+IF((COUNTIF(L434:L443,"Pembimbing Pendamping Laporan akhir studi"))&lt;=10,(SUMIF(L434:L443,"Pembimbing Pendamping Laporan akhir studi",K434:K443)),0.5*10)+IF((COUNTIF(L434:L443,"Pembimbing Utama Skripsi"))&lt;=8,(SUMIF(L434:L443,"Pembimbing Utama Skripsi",K434:K443)),1*8)+IF((COUNTIF(L434:L443,"Pembimbing Pendamping Skripsi"))&lt;=8,(SUMIF(L434:L443,"Pembimbing Pendamping Skripsi",K434:K443)),1*8)+IF((COUNTIF(L434:L443,"Pembimbing Utama Tesis"))&lt;=6,(SUMIF(L434:L443,"Pembimbing Utama Tesis",K434:K443)),3*6)+IF((COUNTIF(L434:L443,"Pembimbing Pendamping Tesis"))&lt;=6,(SUMIF(L434:L443,"Pembimbing Pendamping Tesis",K434:K443)),2*6)+IF((COUNTIF(L434:L443,"Pembimbing Utama Disertasi"))&lt;=4,(SUMIF(L434:L443,"Pembimbing Utama Disertasi",K434:K443)),8*4)+IF((COUNTIF(L434:L443,"Pembimbing Pendamping Disertasi"))&lt;=4,(SUMIF(L434:L443,"Pembimbing Pendamping Disertasi",K434:K443)),6*4),32)</f>
        <v>7.5</v>
      </c>
      <c r="N444" s="103" t="str">
        <f>"Max 32"</f>
        <v>Max 32</v>
      </c>
    </row>
    <row r="445" spans="1:14" ht="15" customHeight="1" x14ac:dyDescent="0.2">
      <c r="A445" s="109">
        <v>1</v>
      </c>
      <c r="B445" s="574" t="s">
        <v>533</v>
      </c>
      <c r="C445" s="576" t="s">
        <v>319</v>
      </c>
      <c r="D445" s="106" t="str">
        <f t="shared" ref="D445:D454" si="210">IF(G445&lt;&gt;"rumus","Lulusan","")</f>
        <v>Lulusan</v>
      </c>
      <c r="E445" s="398">
        <f t="shared" ref="E445:E454" si="211">IF(I445&lt;&gt;"",1,"")</f>
        <v>1</v>
      </c>
      <c r="F445" s="398">
        <f t="shared" ref="F445:F454" si="212">IF(I445&lt;&gt;"",K445,"")</f>
        <v>1</v>
      </c>
      <c r="G445" s="399" t="str">
        <f t="shared" ref="G445:G454" si="213">IF(K445&lt;&gt;"rumus","1 x "&amp;K445&amp;" = "&amp;K445,"rumus")</f>
        <v>1 x 1 = 1</v>
      </c>
      <c r="H445" s="106" t="s">
        <v>534</v>
      </c>
      <c r="I445" s="577" t="s">
        <v>393</v>
      </c>
      <c r="J445" s="577" t="s">
        <v>394</v>
      </c>
      <c r="K445" s="418">
        <f t="shared" ref="K445:K454" si="214">IF(AND(I445&lt;&gt;"",J445&lt;&gt;""),IF(I445="Pembimbing Utama",IF(J445="Disertasi",8,IF(J445="Tesis",3,IF(J445="Skripsi",1,IF(J445="Laporan akhir studi",1,"")))),IF(I445="Pembimbing Pendamping",IF(J445="Disertasi",6,IF(J445="Tesis",2,IF(J445="Skripsi",0.5,IF(J445="Laporan akhir studi",0.5,"")))))),"rumus")</f>
        <v>1</v>
      </c>
      <c r="L445" s="419" t="str">
        <f t="shared" ref="L445:L454" si="215">I445&amp;" "&amp;J445</f>
        <v>Pembimbing Utama Laporan akhir studi</v>
      </c>
      <c r="M445" s="116"/>
    </row>
    <row r="446" spans="1:14" ht="15" customHeight="1" x14ac:dyDescent="0.2">
      <c r="A446" s="109">
        <v>2</v>
      </c>
      <c r="B446" s="575" t="s">
        <v>535</v>
      </c>
      <c r="C446" s="578" t="s">
        <v>319</v>
      </c>
      <c r="D446" s="106" t="str">
        <f t="shared" si="210"/>
        <v>Lulusan</v>
      </c>
      <c r="E446" s="398">
        <f t="shared" si="211"/>
        <v>1</v>
      </c>
      <c r="F446" s="398">
        <f t="shared" si="212"/>
        <v>1</v>
      </c>
      <c r="G446" s="399" t="str">
        <f t="shared" si="213"/>
        <v>1 x 1 = 1</v>
      </c>
      <c r="H446" s="106" t="s">
        <v>536</v>
      </c>
      <c r="I446" s="577" t="s">
        <v>393</v>
      </c>
      <c r="J446" s="577" t="s">
        <v>394</v>
      </c>
      <c r="K446" s="418">
        <f t="shared" si="214"/>
        <v>1</v>
      </c>
      <c r="L446" s="419" t="str">
        <f t="shared" si="215"/>
        <v>Pembimbing Utama Laporan akhir studi</v>
      </c>
      <c r="M446" s="116"/>
    </row>
    <row r="447" spans="1:14" ht="15" customHeight="1" x14ac:dyDescent="0.2">
      <c r="A447" s="109">
        <v>3</v>
      </c>
      <c r="B447" s="575" t="s">
        <v>537</v>
      </c>
      <c r="C447" s="578" t="s">
        <v>319</v>
      </c>
      <c r="D447" s="106" t="str">
        <f t="shared" si="210"/>
        <v>Lulusan</v>
      </c>
      <c r="E447" s="398">
        <f t="shared" si="211"/>
        <v>1</v>
      </c>
      <c r="F447" s="398">
        <f t="shared" si="212"/>
        <v>1</v>
      </c>
      <c r="G447" s="399" t="str">
        <f t="shared" si="213"/>
        <v>1 x 1 = 1</v>
      </c>
      <c r="H447" s="106" t="s">
        <v>538</v>
      </c>
      <c r="I447" s="577" t="s">
        <v>393</v>
      </c>
      <c r="J447" s="577" t="s">
        <v>394</v>
      </c>
      <c r="K447" s="418">
        <f t="shared" si="214"/>
        <v>1</v>
      </c>
      <c r="L447" s="419" t="str">
        <f t="shared" si="215"/>
        <v>Pembimbing Utama Laporan akhir studi</v>
      </c>
      <c r="M447" s="116"/>
    </row>
    <row r="448" spans="1:14" ht="15" customHeight="1" x14ac:dyDescent="0.2">
      <c r="A448" s="109">
        <v>4</v>
      </c>
      <c r="B448" s="575" t="s">
        <v>539</v>
      </c>
      <c r="C448" s="578" t="s">
        <v>319</v>
      </c>
      <c r="D448" s="106" t="str">
        <f t="shared" si="210"/>
        <v>Lulusan</v>
      </c>
      <c r="E448" s="398">
        <f t="shared" si="211"/>
        <v>1</v>
      </c>
      <c r="F448" s="398">
        <f t="shared" si="212"/>
        <v>1</v>
      </c>
      <c r="G448" s="399" t="str">
        <f t="shared" si="213"/>
        <v>1 x 1 = 1</v>
      </c>
      <c r="H448" s="106" t="s">
        <v>540</v>
      </c>
      <c r="I448" s="577" t="s">
        <v>393</v>
      </c>
      <c r="J448" s="577" t="s">
        <v>394</v>
      </c>
      <c r="K448" s="418">
        <f t="shared" si="214"/>
        <v>1</v>
      </c>
      <c r="L448" s="419" t="str">
        <f t="shared" si="215"/>
        <v>Pembimbing Utama Laporan akhir studi</v>
      </c>
      <c r="M448" s="116"/>
    </row>
    <row r="449" spans="1:14" ht="15.75" customHeight="1" x14ac:dyDescent="0.2">
      <c r="A449" s="109">
        <v>5</v>
      </c>
      <c r="B449" s="575" t="s">
        <v>541</v>
      </c>
      <c r="C449" s="578" t="s">
        <v>319</v>
      </c>
      <c r="D449" s="106" t="str">
        <f t="shared" si="210"/>
        <v>Lulusan</v>
      </c>
      <c r="E449" s="398">
        <f t="shared" si="211"/>
        <v>1</v>
      </c>
      <c r="F449" s="398">
        <f t="shared" si="212"/>
        <v>1</v>
      </c>
      <c r="G449" s="399" t="str">
        <f t="shared" si="213"/>
        <v>1 x 1 = 1</v>
      </c>
      <c r="H449" s="106" t="s">
        <v>542</v>
      </c>
      <c r="I449" s="577" t="s">
        <v>393</v>
      </c>
      <c r="J449" s="577" t="s">
        <v>394</v>
      </c>
      <c r="K449" s="418">
        <f t="shared" si="214"/>
        <v>1</v>
      </c>
      <c r="L449" s="419" t="str">
        <f t="shared" si="215"/>
        <v>Pembimbing Utama Laporan akhir studi</v>
      </c>
      <c r="M449" s="116"/>
    </row>
    <row r="450" spans="1:14" ht="15" customHeight="1" x14ac:dyDescent="0.2">
      <c r="A450" s="109">
        <v>6</v>
      </c>
      <c r="B450" s="575" t="s">
        <v>543</v>
      </c>
      <c r="C450" s="578" t="s">
        <v>319</v>
      </c>
      <c r="D450" s="106" t="str">
        <f t="shared" si="210"/>
        <v>Lulusan</v>
      </c>
      <c r="E450" s="398">
        <f t="shared" si="211"/>
        <v>1</v>
      </c>
      <c r="F450" s="398">
        <f t="shared" si="212"/>
        <v>1</v>
      </c>
      <c r="G450" s="399" t="str">
        <f t="shared" si="213"/>
        <v>1 x 1 = 1</v>
      </c>
      <c r="H450" s="106" t="s">
        <v>544</v>
      </c>
      <c r="I450" s="577" t="s">
        <v>393</v>
      </c>
      <c r="J450" s="577" t="s">
        <v>394</v>
      </c>
      <c r="K450" s="418">
        <f t="shared" si="214"/>
        <v>1</v>
      </c>
      <c r="L450" s="419" t="str">
        <f t="shared" si="215"/>
        <v>Pembimbing Utama Laporan akhir studi</v>
      </c>
      <c r="M450" s="116"/>
    </row>
    <row r="451" spans="1:14" ht="15" customHeight="1" x14ac:dyDescent="0.2">
      <c r="A451" s="109">
        <v>7</v>
      </c>
      <c r="B451" s="575" t="s">
        <v>545</v>
      </c>
      <c r="C451" s="578" t="s">
        <v>319</v>
      </c>
      <c r="D451" s="106" t="str">
        <f t="shared" si="210"/>
        <v>Lulusan</v>
      </c>
      <c r="E451" s="398">
        <f t="shared" si="211"/>
        <v>1</v>
      </c>
      <c r="F451" s="398">
        <f t="shared" si="212"/>
        <v>1</v>
      </c>
      <c r="G451" s="399" t="str">
        <f t="shared" si="213"/>
        <v>1 x 1 = 1</v>
      </c>
      <c r="H451" s="106" t="s">
        <v>546</v>
      </c>
      <c r="I451" s="577" t="s">
        <v>393</v>
      </c>
      <c r="J451" s="577" t="s">
        <v>394</v>
      </c>
      <c r="K451" s="418">
        <f t="shared" si="214"/>
        <v>1</v>
      </c>
      <c r="L451" s="419" t="str">
        <f t="shared" si="215"/>
        <v>Pembimbing Utama Laporan akhir studi</v>
      </c>
      <c r="M451" s="116"/>
    </row>
    <row r="452" spans="1:14" ht="15" customHeight="1" x14ac:dyDescent="0.2">
      <c r="A452" s="109">
        <v>8</v>
      </c>
      <c r="B452" s="575" t="s">
        <v>547</v>
      </c>
      <c r="C452" s="578" t="s">
        <v>319</v>
      </c>
      <c r="D452" s="106" t="str">
        <f t="shared" si="210"/>
        <v>Lulusan</v>
      </c>
      <c r="E452" s="398">
        <f t="shared" si="211"/>
        <v>1</v>
      </c>
      <c r="F452" s="398">
        <f t="shared" si="212"/>
        <v>1</v>
      </c>
      <c r="G452" s="399" t="str">
        <f t="shared" si="213"/>
        <v>1 x 1 = 1</v>
      </c>
      <c r="H452" s="106" t="s">
        <v>548</v>
      </c>
      <c r="I452" s="577" t="s">
        <v>393</v>
      </c>
      <c r="J452" s="577" t="s">
        <v>394</v>
      </c>
      <c r="K452" s="418">
        <f t="shared" si="214"/>
        <v>1</v>
      </c>
      <c r="L452" s="419" t="str">
        <f t="shared" si="215"/>
        <v>Pembimbing Utama Laporan akhir studi</v>
      </c>
      <c r="M452" s="116"/>
    </row>
    <row r="453" spans="1:14" ht="15" customHeight="1" x14ac:dyDescent="0.2">
      <c r="A453" s="109">
        <v>9</v>
      </c>
      <c r="B453" s="575" t="s">
        <v>549</v>
      </c>
      <c r="C453" s="578" t="s">
        <v>319</v>
      </c>
      <c r="D453" s="106" t="str">
        <f t="shared" si="210"/>
        <v>Lulusan</v>
      </c>
      <c r="E453" s="398">
        <f t="shared" si="211"/>
        <v>1</v>
      </c>
      <c r="F453" s="398">
        <f t="shared" si="212"/>
        <v>1</v>
      </c>
      <c r="G453" s="399" t="str">
        <f t="shared" si="213"/>
        <v>1 x 1 = 1</v>
      </c>
      <c r="H453" s="106" t="s">
        <v>550</v>
      </c>
      <c r="I453" s="577" t="s">
        <v>393</v>
      </c>
      <c r="J453" s="577" t="s">
        <v>394</v>
      </c>
      <c r="K453" s="418">
        <f t="shared" si="214"/>
        <v>1</v>
      </c>
      <c r="L453" s="419" t="str">
        <f t="shared" si="215"/>
        <v>Pembimbing Utama Laporan akhir studi</v>
      </c>
      <c r="M453" s="116"/>
    </row>
    <row r="454" spans="1:14" ht="15" customHeight="1" x14ac:dyDescent="0.2">
      <c r="A454" s="109">
        <v>10</v>
      </c>
      <c r="B454" s="571"/>
      <c r="C454" s="578" t="s">
        <v>319</v>
      </c>
      <c r="D454" s="106" t="str">
        <f t="shared" si="210"/>
        <v/>
      </c>
      <c r="E454" s="398" t="str">
        <f t="shared" si="211"/>
        <v/>
      </c>
      <c r="F454" s="398" t="str">
        <f t="shared" si="212"/>
        <v/>
      </c>
      <c r="G454" s="399" t="str">
        <f t="shared" si="213"/>
        <v>rumus</v>
      </c>
      <c r="H454" s="114" t="s">
        <v>26</v>
      </c>
      <c r="I454" s="417"/>
      <c r="J454" s="417"/>
      <c r="K454" s="418" t="str">
        <f t="shared" si="214"/>
        <v>rumus</v>
      </c>
      <c r="L454" s="419" t="str">
        <f t="shared" si="215"/>
        <v xml:space="preserve"> </v>
      </c>
      <c r="M454" s="116"/>
    </row>
    <row r="455" spans="1:14" ht="15.75" customHeight="1" x14ac:dyDescent="0.2">
      <c r="A455" s="109"/>
      <c r="B455" s="406" t="str">
        <f>"b. Semester Genap "&amp;IF(C456&lt;&gt;"",C456,"")&amp;" :"</f>
        <v>b. Semester Genap 2015/2016 :</v>
      </c>
      <c r="C455" s="415"/>
      <c r="D455" s="415"/>
      <c r="E455" s="415"/>
      <c r="F455" s="415"/>
      <c r="G455" s="415"/>
      <c r="H455" s="416"/>
      <c r="I455" s="116"/>
      <c r="M455" s="118">
        <f>IF(IF((COUNTIF(L445:L454,"Pembimbing Utama Laporan akhir studi"))&lt;=10,(SUMIF(L445:L454,"Pembimbing Utama Laporan akhir studi",K445:K454)),1*10)+IF((COUNTIF(L445:L454,"Pembimbing Pendamping Laporan akhir studi"))&lt;=10,(SUMIF(L445:L454,"Pembimbing Pendamping Laporan akhir studi",K445:K454)),0.5*10)+IF((COUNTIF(L445:L454,"Pembimbing Utama Skripsi"))&lt;=8,(SUMIF(L445:L454,"Pembimbing Utama Skripsi",K445:K454)),1*8)+IF((COUNTIF(L445:L454,"Pembimbing Pendamping Skripsi"))&lt;=8,(SUMIF(L445:L454,"Pembimbing Pendamping Skripsi",K445:K454)),1*8)+IF((COUNTIF(L445:L454,"Pembimbing Utama Tesis"))&lt;=6,(SUMIF(L445:L454,"Pembimbing Utama Tesis",K445:K454)),3*6)+IF((COUNTIF(L445:L454,"Pembimbing Pendamping Tesis"))&lt;=6,(SUMIF(L445:L454,"Pembimbing Pendamping Tesis",K445:K454)),2*6)+IF((COUNTIF(L445:L454,"Pembimbing Utama Disertasi"))&lt;=4,(SUMIF(L445:L454,"Pembimbing Utama Disertasi",K445:K454)),8*4)+IF((COUNTIF(L445:L454,"Pembimbing Pendamping Disertasi"))&lt;=4,(SUMIF(L445:L454,"Pembimbing Pendamping Disertasi",K445:K454)),6*4)&lt;=32,IF((COUNTIF(L445:L454,"Pembimbing Utama Laporan akhir studi"))&lt;=10,(SUMIF(L445:L454,"Pembimbing Utama Laporan akhir studi",K445:K454)),1*10)+IF((COUNTIF(L445:L454,"Pembimbing Pendamping Laporan akhir studi"))&lt;=10,(SUMIF(L445:L454,"Pembimbing Pendamping Laporan akhir studi",K445:K454)),0.5*10)+IF((COUNTIF(L445:L454,"Pembimbing Utama Skripsi"))&lt;=8,(SUMIF(L445:L454,"Pembimbing Utama Skripsi",K445:K454)),1*8)+IF((COUNTIF(L445:L454,"Pembimbing Pendamping Skripsi"))&lt;=8,(SUMIF(L445:L454,"Pembimbing Pendamping Skripsi",K445:K454)),1*8)+IF((COUNTIF(L445:L454,"Pembimbing Utama Tesis"))&lt;=6,(SUMIF(L445:L454,"Pembimbing Utama Tesis",K445:K454)),3*6)+IF((COUNTIF(L445:L454,"Pembimbing Pendamping Tesis"))&lt;=6,(SUMIF(L445:L454,"Pembimbing Pendamping Tesis",K445:K454)),2*6)+IF((COUNTIF(L445:L454,"Pembimbing Utama Disertasi"))&lt;=4,(SUMIF(L445:L454,"Pembimbing Utama Disertasi",K445:K454)),8*4)+IF((COUNTIF(L445:L454,"Pembimbing Pendamping Disertasi"))&lt;=4,(SUMIF(L445:L454,"Pembimbing Pendamping Disertasi",K445:K454)),6*4),32)</f>
        <v>9</v>
      </c>
      <c r="N455" s="103" t="str">
        <f>"Max 32"</f>
        <v>Max 32</v>
      </c>
    </row>
    <row r="456" spans="1:14" ht="15" customHeight="1" x14ac:dyDescent="0.2">
      <c r="A456" s="576">
        <v>1</v>
      </c>
      <c r="B456" s="609" t="s">
        <v>551</v>
      </c>
      <c r="C456" s="576" t="s">
        <v>321</v>
      </c>
      <c r="D456" s="106" t="str">
        <f t="shared" ref="D456:D466" si="216">IF(G456&lt;&gt;"rumus","Lulusan","")</f>
        <v>Lulusan</v>
      </c>
      <c r="E456" s="398">
        <f t="shared" ref="E456:E466" si="217">IF(I456&lt;&gt;"",1,"")</f>
        <v>1</v>
      </c>
      <c r="F456" s="398">
        <f t="shared" ref="F456:F466" si="218">IF(I456&lt;&gt;"",K456,"")</f>
        <v>1</v>
      </c>
      <c r="G456" s="399" t="str">
        <f t="shared" ref="G456:G466" si="219">IF(K456&lt;&gt;"rumus","1 x "&amp;K456&amp;" = "&amp;K456,"rumus")</f>
        <v>1 x 1 = 1</v>
      </c>
      <c r="H456" s="106" t="s">
        <v>552</v>
      </c>
      <c r="I456" s="577" t="s">
        <v>393</v>
      </c>
      <c r="J456" s="577" t="s">
        <v>394</v>
      </c>
      <c r="K456" s="418">
        <f t="shared" ref="K456:K466" si="220">IF(AND(I456&lt;&gt;"",J456&lt;&gt;""),IF(I456="Pembimbing Utama",IF(J456="Disertasi",8,IF(J456="Tesis",3,IF(J456="Skripsi",1,IF(J456="Laporan akhir studi",1,"")))),IF(I456="Pembimbing Pendamping",IF(J456="Disertasi",6,IF(J456="Tesis",2,IF(J456="Skripsi",0.5,IF(J456="Laporan akhir studi",0.5,"")))))),"rumus")</f>
        <v>1</v>
      </c>
      <c r="L456" s="419" t="str">
        <f t="shared" ref="L456:L466" si="221">I456&amp;" "&amp;J456</f>
        <v>Pembimbing Utama Laporan akhir studi</v>
      </c>
      <c r="M456" s="116"/>
    </row>
    <row r="457" spans="1:14" ht="15" customHeight="1" x14ac:dyDescent="0.2">
      <c r="A457" s="578">
        <v>2</v>
      </c>
      <c r="B457" s="610" t="s">
        <v>553</v>
      </c>
      <c r="C457" s="578" t="s">
        <v>321</v>
      </c>
      <c r="D457" s="106" t="str">
        <f t="shared" si="216"/>
        <v>Lulusan</v>
      </c>
      <c r="E457" s="398">
        <f t="shared" si="217"/>
        <v>1</v>
      </c>
      <c r="F457" s="398">
        <f t="shared" si="218"/>
        <v>1</v>
      </c>
      <c r="G457" s="399" t="str">
        <f t="shared" si="219"/>
        <v>1 x 1 = 1</v>
      </c>
      <c r="H457" s="106" t="s">
        <v>554</v>
      </c>
      <c r="I457" s="577" t="s">
        <v>393</v>
      </c>
      <c r="J457" s="577" t="s">
        <v>394</v>
      </c>
      <c r="K457" s="418">
        <f t="shared" si="220"/>
        <v>1</v>
      </c>
      <c r="L457" s="419" t="str">
        <f t="shared" si="221"/>
        <v>Pembimbing Utama Laporan akhir studi</v>
      </c>
      <c r="M457" s="116"/>
    </row>
    <row r="458" spans="1:14" ht="15" customHeight="1" x14ac:dyDescent="0.2">
      <c r="A458" s="578">
        <v>3</v>
      </c>
      <c r="B458" s="610" t="s">
        <v>555</v>
      </c>
      <c r="C458" s="578" t="s">
        <v>321</v>
      </c>
      <c r="D458" s="106" t="str">
        <f t="shared" si="216"/>
        <v>Lulusan</v>
      </c>
      <c r="E458" s="398">
        <f t="shared" si="217"/>
        <v>1</v>
      </c>
      <c r="F458" s="398">
        <f t="shared" si="218"/>
        <v>1</v>
      </c>
      <c r="G458" s="399" t="str">
        <f t="shared" si="219"/>
        <v>1 x 1 = 1</v>
      </c>
      <c r="H458" s="106" t="s">
        <v>556</v>
      </c>
      <c r="I458" s="577" t="s">
        <v>393</v>
      </c>
      <c r="J458" s="577" t="s">
        <v>394</v>
      </c>
      <c r="K458" s="418">
        <f t="shared" si="220"/>
        <v>1</v>
      </c>
      <c r="L458" s="419" t="str">
        <f t="shared" si="221"/>
        <v>Pembimbing Utama Laporan akhir studi</v>
      </c>
      <c r="M458" s="116"/>
    </row>
    <row r="459" spans="1:14" ht="15" customHeight="1" x14ac:dyDescent="0.2">
      <c r="A459" s="578">
        <v>4</v>
      </c>
      <c r="B459" s="610" t="s">
        <v>557</v>
      </c>
      <c r="C459" s="578" t="s">
        <v>321</v>
      </c>
      <c r="D459" s="106" t="str">
        <f t="shared" ref="D459" si="222">IF(G459&lt;&gt;"rumus","Lulusan","")</f>
        <v>Lulusan</v>
      </c>
      <c r="E459" s="398">
        <f t="shared" ref="E459" si="223">IF(I459&lt;&gt;"",1,"")</f>
        <v>1</v>
      </c>
      <c r="F459" s="398">
        <f t="shared" ref="F459" si="224">IF(I459&lt;&gt;"",K459,"")</f>
        <v>0.5</v>
      </c>
      <c r="G459" s="399" t="str">
        <f t="shared" ref="G459" si="225">IF(K459&lt;&gt;"rumus","1 x "&amp;K459&amp;" = "&amp;K459,"rumus")</f>
        <v>1 x 0.5 = 0.5</v>
      </c>
      <c r="H459" s="106" t="s">
        <v>558</v>
      </c>
      <c r="I459" s="577" t="s">
        <v>402</v>
      </c>
      <c r="J459" s="577" t="s">
        <v>394</v>
      </c>
      <c r="K459" s="418">
        <f t="shared" ref="K459" si="226">IF(AND(I459&lt;&gt;"",J459&lt;&gt;""),IF(I459="Pembimbing Utama",IF(J459="Disertasi",8,IF(J459="Tesis",3,IF(J459="Skripsi",1,IF(J459="Laporan akhir studi",1,"")))),IF(I459="Pembimbing Pendamping",IF(J459="Disertasi",6,IF(J459="Tesis",2,IF(J459="Skripsi",0.5,IF(J459="Laporan akhir studi",0.5,"")))))),"rumus")</f>
        <v>0.5</v>
      </c>
      <c r="L459" s="419" t="str">
        <f t="shared" ref="L459" si="227">I459&amp;" "&amp;J459</f>
        <v>Pembimbing Pendamping Laporan akhir studi</v>
      </c>
      <c r="M459" s="116"/>
    </row>
    <row r="460" spans="1:14" ht="15" customHeight="1" x14ac:dyDescent="0.2">
      <c r="A460" s="578">
        <v>5</v>
      </c>
      <c r="B460" s="610" t="s">
        <v>559</v>
      </c>
      <c r="C460" s="578" t="s">
        <v>321</v>
      </c>
      <c r="D460" s="106" t="str">
        <f t="shared" si="216"/>
        <v>Lulusan</v>
      </c>
      <c r="E460" s="398">
        <f t="shared" si="217"/>
        <v>1</v>
      </c>
      <c r="F460" s="398">
        <f t="shared" si="218"/>
        <v>1</v>
      </c>
      <c r="G460" s="399" t="str">
        <f t="shared" si="219"/>
        <v>1 x 1 = 1</v>
      </c>
      <c r="H460" s="106" t="s">
        <v>560</v>
      </c>
      <c r="I460" s="577" t="s">
        <v>393</v>
      </c>
      <c r="J460" s="577" t="s">
        <v>394</v>
      </c>
      <c r="K460" s="418">
        <f t="shared" si="220"/>
        <v>1</v>
      </c>
      <c r="L460" s="419" t="str">
        <f t="shared" si="221"/>
        <v>Pembimbing Utama Laporan akhir studi</v>
      </c>
      <c r="M460" s="116"/>
    </row>
    <row r="461" spans="1:14" ht="15" customHeight="1" x14ac:dyDescent="0.2">
      <c r="A461" s="578">
        <v>6</v>
      </c>
      <c r="B461" s="610" t="s">
        <v>561</v>
      </c>
      <c r="C461" s="578" t="s">
        <v>321</v>
      </c>
      <c r="D461" s="106" t="str">
        <f t="shared" si="216"/>
        <v>Lulusan</v>
      </c>
      <c r="E461" s="398">
        <f t="shared" si="217"/>
        <v>1</v>
      </c>
      <c r="F461" s="398">
        <f t="shared" si="218"/>
        <v>0.5</v>
      </c>
      <c r="G461" s="399" t="str">
        <f t="shared" si="219"/>
        <v>1 x 0.5 = 0.5</v>
      </c>
      <c r="H461" s="106" t="s">
        <v>562</v>
      </c>
      <c r="I461" s="577" t="s">
        <v>402</v>
      </c>
      <c r="J461" s="577" t="s">
        <v>394</v>
      </c>
      <c r="K461" s="418">
        <f t="shared" si="220"/>
        <v>0.5</v>
      </c>
      <c r="L461" s="419" t="str">
        <f t="shared" si="221"/>
        <v>Pembimbing Pendamping Laporan akhir studi</v>
      </c>
      <c r="M461" s="116"/>
    </row>
    <row r="462" spans="1:14" ht="15" customHeight="1" x14ac:dyDescent="0.2">
      <c r="A462" s="578">
        <v>7</v>
      </c>
      <c r="B462" s="610" t="s">
        <v>563</v>
      </c>
      <c r="C462" s="578" t="s">
        <v>321</v>
      </c>
      <c r="D462" s="106" t="str">
        <f t="shared" si="216"/>
        <v>Lulusan</v>
      </c>
      <c r="E462" s="398">
        <f t="shared" si="217"/>
        <v>1</v>
      </c>
      <c r="F462" s="398">
        <f t="shared" si="218"/>
        <v>1</v>
      </c>
      <c r="G462" s="399" t="str">
        <f t="shared" si="219"/>
        <v>1 x 1 = 1</v>
      </c>
      <c r="H462" s="106" t="s">
        <v>564</v>
      </c>
      <c r="I462" s="577" t="s">
        <v>393</v>
      </c>
      <c r="J462" s="577" t="s">
        <v>394</v>
      </c>
      <c r="K462" s="418">
        <f t="shared" si="220"/>
        <v>1</v>
      </c>
      <c r="L462" s="419" t="str">
        <f t="shared" si="221"/>
        <v>Pembimbing Utama Laporan akhir studi</v>
      </c>
      <c r="M462" s="116"/>
    </row>
    <row r="463" spans="1:14" ht="15" customHeight="1" x14ac:dyDescent="0.2">
      <c r="A463" s="578">
        <v>8</v>
      </c>
      <c r="B463" s="610" t="s">
        <v>565</v>
      </c>
      <c r="C463" s="578" t="s">
        <v>321</v>
      </c>
      <c r="D463" s="106" t="str">
        <f t="shared" si="216"/>
        <v>Lulusan</v>
      </c>
      <c r="E463" s="398">
        <f t="shared" si="217"/>
        <v>1</v>
      </c>
      <c r="F463" s="398">
        <f t="shared" si="218"/>
        <v>1</v>
      </c>
      <c r="G463" s="399" t="str">
        <f t="shared" si="219"/>
        <v>1 x 1 = 1</v>
      </c>
      <c r="H463" s="106" t="s">
        <v>566</v>
      </c>
      <c r="I463" s="577" t="s">
        <v>393</v>
      </c>
      <c r="J463" s="577" t="s">
        <v>394</v>
      </c>
      <c r="K463" s="418">
        <f t="shared" si="220"/>
        <v>1</v>
      </c>
      <c r="L463" s="419" t="str">
        <f t="shared" si="221"/>
        <v>Pembimbing Utama Laporan akhir studi</v>
      </c>
      <c r="M463" s="116"/>
    </row>
    <row r="464" spans="1:14" ht="15" customHeight="1" x14ac:dyDescent="0.2">
      <c r="A464" s="578">
        <v>9</v>
      </c>
      <c r="B464" s="610" t="s">
        <v>567</v>
      </c>
      <c r="C464" s="578" t="s">
        <v>321</v>
      </c>
      <c r="D464" s="106" t="str">
        <f t="shared" si="216"/>
        <v>Lulusan</v>
      </c>
      <c r="E464" s="398">
        <f t="shared" si="217"/>
        <v>1</v>
      </c>
      <c r="F464" s="398">
        <f t="shared" si="218"/>
        <v>1</v>
      </c>
      <c r="G464" s="399" t="str">
        <f t="shared" si="219"/>
        <v>1 x 1 = 1</v>
      </c>
      <c r="H464" s="106" t="s">
        <v>568</v>
      </c>
      <c r="I464" s="577" t="s">
        <v>393</v>
      </c>
      <c r="J464" s="577" t="s">
        <v>394</v>
      </c>
      <c r="K464" s="418">
        <f t="shared" si="220"/>
        <v>1</v>
      </c>
      <c r="L464" s="419" t="str">
        <f t="shared" si="221"/>
        <v>Pembimbing Utama Laporan akhir studi</v>
      </c>
      <c r="M464" s="116"/>
    </row>
    <row r="465" spans="1:14" ht="15" customHeight="1" x14ac:dyDescent="0.2">
      <c r="A465" s="578">
        <v>10</v>
      </c>
      <c r="B465" s="610" t="s">
        <v>569</v>
      </c>
      <c r="C465" s="578" t="s">
        <v>321</v>
      </c>
      <c r="D465" s="106" t="str">
        <f t="shared" si="216"/>
        <v>Lulusan</v>
      </c>
      <c r="E465" s="398">
        <f t="shared" si="217"/>
        <v>1</v>
      </c>
      <c r="F465" s="398">
        <f t="shared" si="218"/>
        <v>1</v>
      </c>
      <c r="G465" s="399" t="str">
        <f t="shared" si="219"/>
        <v>1 x 1 = 1</v>
      </c>
      <c r="H465" s="106" t="s">
        <v>570</v>
      </c>
      <c r="I465" s="577" t="s">
        <v>393</v>
      </c>
      <c r="J465" s="577" t="s">
        <v>394</v>
      </c>
      <c r="K465" s="418">
        <f t="shared" si="220"/>
        <v>1</v>
      </c>
      <c r="L465" s="419" t="str">
        <f t="shared" si="221"/>
        <v>Pembimbing Utama Laporan akhir studi</v>
      </c>
      <c r="M465" s="116"/>
    </row>
    <row r="466" spans="1:14" ht="15" customHeight="1" x14ac:dyDescent="0.2">
      <c r="A466" s="578">
        <v>11</v>
      </c>
      <c r="B466" s="610" t="s">
        <v>571</v>
      </c>
      <c r="C466" s="578" t="s">
        <v>321</v>
      </c>
      <c r="D466" s="106" t="str">
        <f t="shared" si="216"/>
        <v>Lulusan</v>
      </c>
      <c r="E466" s="398">
        <f t="shared" si="217"/>
        <v>1</v>
      </c>
      <c r="F466" s="398">
        <f t="shared" si="218"/>
        <v>0.5</v>
      </c>
      <c r="G466" s="399" t="str">
        <f t="shared" si="219"/>
        <v>1 x 0.5 = 0.5</v>
      </c>
      <c r="H466" s="106" t="s">
        <v>572</v>
      </c>
      <c r="I466" s="577" t="s">
        <v>402</v>
      </c>
      <c r="J466" s="577" t="s">
        <v>394</v>
      </c>
      <c r="K466" s="418">
        <f t="shared" si="220"/>
        <v>0.5</v>
      </c>
      <c r="L466" s="419" t="str">
        <f t="shared" si="221"/>
        <v>Pembimbing Pendamping Laporan akhir studi</v>
      </c>
      <c r="M466" s="116"/>
    </row>
    <row r="467" spans="1:14" ht="15.75" customHeight="1" x14ac:dyDescent="0.2">
      <c r="A467" s="109"/>
      <c r="B467" s="406" t="str">
        <f>"b. Semester Genap "&amp;IF(C468&lt;&gt;"",C468,"")&amp;" :"</f>
        <v>b. Semester Genap 2016/2017 :</v>
      </c>
      <c r="C467" s="415"/>
      <c r="D467" s="415"/>
      <c r="E467" s="415"/>
      <c r="F467" s="415"/>
      <c r="G467" s="415"/>
      <c r="H467" s="416"/>
      <c r="I467" s="116"/>
      <c r="M467" s="118">
        <f>IF(IF((COUNTIF(L456:L466,"Pembimbing Utama Laporan akhir studi"))&lt;=10,(SUMIF(L456:L466,"Pembimbing Utama Laporan akhir studi",K456:K466)),1*10)+IF((COUNTIF(L456:L466,"Pembimbing Pendamping Laporan akhir studi"))&lt;=10,(SUMIF(L456:L466,"Pembimbing Pendamping Laporan akhir studi",K456:K466)),0.5*10)+IF((COUNTIF(L456:L466,"Pembimbing Utama Skripsi"))&lt;=8,(SUMIF(L456:L466,"Pembimbing Utama Skripsi",K456:K466)),1*8)+IF((COUNTIF(L456:L466,"Pembimbing Pendamping Skripsi"))&lt;=8,(SUMIF(L456:L466,"Pembimbing Pendamping Skripsi",K456:K466)),1*8)+IF((COUNTIF(L456:L466,"Pembimbing Utama Tesis"))&lt;=6,(SUMIF(L456:L466,"Pembimbing Utama Tesis",K456:K466)),3*6)+IF((COUNTIF(L456:L466,"Pembimbing Pendamping Tesis"))&lt;=6,(SUMIF(L456:L466,"Pembimbing Pendamping Tesis",K456:K466)),2*6)+IF((COUNTIF(L456:L466,"Pembimbing Utama Disertasi"))&lt;=4,(SUMIF(L456:L466,"Pembimbing Utama Disertasi",K456:K466)),8*4)+IF((COUNTIF(L456:L466,"Pembimbing Pendamping Disertasi"))&lt;=4,(SUMIF(L456:L466,"Pembimbing Pendamping Disertasi",K456:K466)),6*4)&lt;=32,IF((COUNTIF(L456:L466,"Pembimbing Utama Laporan akhir studi"))&lt;=10,(SUMIF(L456:L466,"Pembimbing Utama Laporan akhir studi",K456:K466)),1*10)+IF((COUNTIF(L456:L466,"Pembimbing Pendamping Laporan akhir studi"))&lt;=10,(SUMIF(L456:L466,"Pembimbing Pendamping Laporan akhir studi",K456:K466)),0.5*10)+IF((COUNTIF(L456:L466,"Pembimbing Utama Skripsi"))&lt;=8,(SUMIF(L456:L466,"Pembimbing Utama Skripsi",K456:K466)),1*8)+IF((COUNTIF(L456:L466,"Pembimbing Pendamping Skripsi"))&lt;=8,(SUMIF(L456:L466,"Pembimbing Pendamping Skripsi",K456:K466)),1*8)+IF((COUNTIF(L456:L466,"Pembimbing Utama Tesis"))&lt;=6,(SUMIF(L456:L466,"Pembimbing Utama Tesis",K456:K466)),3*6)+IF((COUNTIF(L456:L466,"Pembimbing Pendamping Tesis"))&lt;=6,(SUMIF(L456:L466,"Pembimbing Pendamping Tesis",K456:K466)),2*6)+IF((COUNTIF(L456:L466,"Pembimbing Utama Disertasi"))&lt;=4,(SUMIF(L456:L466,"Pembimbing Utama Disertasi",K456:K466)),8*4)+IF((COUNTIF(L456:L466,"Pembimbing Pendamping Disertasi"))&lt;=4,(SUMIF(L456:L466,"Pembimbing Pendamping Disertasi",K456:K466)),6*4),32)</f>
        <v>9.5</v>
      </c>
      <c r="N467" s="103" t="str">
        <f>"Max 32"</f>
        <v>Max 32</v>
      </c>
    </row>
    <row r="468" spans="1:14" ht="15" customHeight="1" x14ac:dyDescent="0.2">
      <c r="A468" s="109">
        <v>1</v>
      </c>
      <c r="B468" s="574" t="s">
        <v>573</v>
      </c>
      <c r="C468" s="576" t="s">
        <v>324</v>
      </c>
      <c r="D468" s="106" t="str">
        <f t="shared" ref="D468:D477" si="228">IF(G468&lt;&gt;"rumus","Lulusan","")</f>
        <v>Lulusan</v>
      </c>
      <c r="E468" s="398">
        <f t="shared" ref="E468:E477" si="229">IF(I468&lt;&gt;"",1,"")</f>
        <v>1</v>
      </c>
      <c r="F468" s="398">
        <f t="shared" ref="F468:F477" si="230">IF(I468&lt;&gt;"",K468,"")</f>
        <v>1</v>
      </c>
      <c r="G468" s="399" t="str">
        <f t="shared" ref="G468:G477" si="231">IF(K468&lt;&gt;"rumus","1 x "&amp;K468&amp;" = "&amp;K468,"rumus")</f>
        <v>1 x 1 = 1</v>
      </c>
      <c r="H468" s="106" t="s">
        <v>574</v>
      </c>
      <c r="I468" s="577" t="s">
        <v>393</v>
      </c>
      <c r="J468" s="577" t="s">
        <v>394</v>
      </c>
      <c r="K468" s="418">
        <f t="shared" ref="K468:K477" si="232">IF(AND(I468&lt;&gt;"",J468&lt;&gt;""),IF(I468="Pembimbing Utama",IF(J468="Disertasi",8,IF(J468="Tesis",3,IF(J468="Skripsi",1,IF(J468="Laporan akhir studi",1,"")))),IF(I468="Pembimbing Pendamping",IF(J468="Disertasi",6,IF(J468="Tesis",2,IF(J468="Skripsi",0.5,IF(J468="Laporan akhir studi",0.5,"")))))),"rumus")</f>
        <v>1</v>
      </c>
      <c r="L468" s="419" t="str">
        <f t="shared" ref="L468:L477" si="233">I468&amp;" "&amp;J468</f>
        <v>Pembimbing Utama Laporan akhir studi</v>
      </c>
      <c r="M468" s="116"/>
    </row>
    <row r="469" spans="1:14" ht="15" customHeight="1" x14ac:dyDescent="0.2">
      <c r="A469" s="109">
        <v>2</v>
      </c>
      <c r="B469" s="575" t="s">
        <v>412</v>
      </c>
      <c r="C469" s="576" t="s">
        <v>324</v>
      </c>
      <c r="D469" s="106" t="str">
        <f t="shared" si="228"/>
        <v>Lulusan</v>
      </c>
      <c r="E469" s="398">
        <f t="shared" si="229"/>
        <v>1</v>
      </c>
      <c r="F469" s="398">
        <f t="shared" si="230"/>
        <v>1</v>
      </c>
      <c r="G469" s="399" t="str">
        <f t="shared" si="231"/>
        <v>1 x 1 = 1</v>
      </c>
      <c r="H469" s="106" t="s">
        <v>575</v>
      </c>
      <c r="I469" s="577" t="s">
        <v>393</v>
      </c>
      <c r="J469" s="577" t="s">
        <v>394</v>
      </c>
      <c r="K469" s="418">
        <f t="shared" si="232"/>
        <v>1</v>
      </c>
      <c r="L469" s="419" t="str">
        <f t="shared" si="233"/>
        <v>Pembimbing Utama Laporan akhir studi</v>
      </c>
      <c r="M469" s="116"/>
    </row>
    <row r="470" spans="1:14" ht="15" customHeight="1" x14ac:dyDescent="0.2">
      <c r="A470" s="109">
        <v>3</v>
      </c>
      <c r="B470" s="575" t="s">
        <v>576</v>
      </c>
      <c r="C470" s="576" t="s">
        <v>324</v>
      </c>
      <c r="D470" s="106" t="str">
        <f t="shared" si="228"/>
        <v>Lulusan</v>
      </c>
      <c r="E470" s="398">
        <f t="shared" si="229"/>
        <v>1</v>
      </c>
      <c r="F470" s="398">
        <f t="shared" si="230"/>
        <v>0.5</v>
      </c>
      <c r="G470" s="399" t="str">
        <f t="shared" si="231"/>
        <v>1 x 0.5 = 0.5</v>
      </c>
      <c r="H470" s="106" t="s">
        <v>577</v>
      </c>
      <c r="I470" s="577" t="s">
        <v>402</v>
      </c>
      <c r="J470" s="577" t="s">
        <v>394</v>
      </c>
      <c r="K470" s="418">
        <f t="shared" si="232"/>
        <v>0.5</v>
      </c>
      <c r="L470" s="419" t="str">
        <f t="shared" si="233"/>
        <v>Pembimbing Pendamping Laporan akhir studi</v>
      </c>
      <c r="M470" s="116"/>
    </row>
    <row r="471" spans="1:14" ht="15" customHeight="1" x14ac:dyDescent="0.2">
      <c r="A471" s="109">
        <v>4</v>
      </c>
      <c r="B471" s="397" t="s">
        <v>399</v>
      </c>
      <c r="C471" s="576" t="s">
        <v>324</v>
      </c>
      <c r="D471" s="106" t="str">
        <f t="shared" si="228"/>
        <v/>
      </c>
      <c r="E471" s="398" t="str">
        <f t="shared" si="229"/>
        <v/>
      </c>
      <c r="F471" s="398" t="str">
        <f t="shared" si="230"/>
        <v/>
      </c>
      <c r="G471" s="399" t="str">
        <f t="shared" si="231"/>
        <v>rumus</v>
      </c>
      <c r="H471" s="114" t="s">
        <v>26</v>
      </c>
      <c r="I471" s="417"/>
      <c r="J471" s="417"/>
      <c r="K471" s="418" t="str">
        <f t="shared" si="232"/>
        <v>rumus</v>
      </c>
      <c r="L471" s="419" t="str">
        <f t="shared" si="233"/>
        <v xml:space="preserve"> </v>
      </c>
      <c r="M471" s="116"/>
    </row>
    <row r="472" spans="1:14" ht="15" customHeight="1" x14ac:dyDescent="0.2">
      <c r="A472" s="109">
        <v>5</v>
      </c>
      <c r="B472" s="397" t="s">
        <v>399</v>
      </c>
      <c r="C472" s="576" t="s">
        <v>324</v>
      </c>
      <c r="D472" s="106" t="str">
        <f t="shared" si="228"/>
        <v/>
      </c>
      <c r="E472" s="398" t="str">
        <f t="shared" si="229"/>
        <v/>
      </c>
      <c r="F472" s="398" t="str">
        <f t="shared" si="230"/>
        <v/>
      </c>
      <c r="G472" s="399" t="str">
        <f t="shared" si="231"/>
        <v>rumus</v>
      </c>
      <c r="H472" s="114" t="s">
        <v>26</v>
      </c>
      <c r="I472" s="417"/>
      <c r="J472" s="417"/>
      <c r="K472" s="418" t="str">
        <f t="shared" si="232"/>
        <v>rumus</v>
      </c>
      <c r="L472" s="419" t="str">
        <f t="shared" si="233"/>
        <v xml:space="preserve"> </v>
      </c>
      <c r="M472" s="116"/>
    </row>
    <row r="473" spans="1:14" ht="15" customHeight="1" x14ac:dyDescent="0.2">
      <c r="A473" s="109">
        <v>6</v>
      </c>
      <c r="B473" s="397" t="s">
        <v>399</v>
      </c>
      <c r="C473" s="576" t="s">
        <v>324</v>
      </c>
      <c r="D473" s="106" t="str">
        <f t="shared" si="228"/>
        <v/>
      </c>
      <c r="E473" s="398" t="str">
        <f t="shared" si="229"/>
        <v/>
      </c>
      <c r="F473" s="398" t="str">
        <f t="shared" si="230"/>
        <v/>
      </c>
      <c r="G473" s="399" t="str">
        <f t="shared" si="231"/>
        <v>rumus</v>
      </c>
      <c r="H473" s="114" t="s">
        <v>26</v>
      </c>
      <c r="I473" s="417"/>
      <c r="J473" s="417"/>
      <c r="K473" s="418" t="str">
        <f t="shared" si="232"/>
        <v>rumus</v>
      </c>
      <c r="L473" s="419" t="str">
        <f t="shared" si="233"/>
        <v xml:space="preserve"> </v>
      </c>
      <c r="M473" s="116"/>
    </row>
    <row r="474" spans="1:14" ht="15" customHeight="1" x14ac:dyDescent="0.2">
      <c r="A474" s="109">
        <v>7</v>
      </c>
      <c r="B474" s="397" t="s">
        <v>399</v>
      </c>
      <c r="C474" s="576" t="s">
        <v>324</v>
      </c>
      <c r="D474" s="106" t="str">
        <f t="shared" si="228"/>
        <v/>
      </c>
      <c r="E474" s="398" t="str">
        <f t="shared" si="229"/>
        <v/>
      </c>
      <c r="F474" s="398" t="str">
        <f t="shared" si="230"/>
        <v/>
      </c>
      <c r="G474" s="399" t="str">
        <f t="shared" si="231"/>
        <v>rumus</v>
      </c>
      <c r="H474" s="114" t="s">
        <v>26</v>
      </c>
      <c r="I474" s="417"/>
      <c r="J474" s="417"/>
      <c r="K474" s="418" t="str">
        <f t="shared" si="232"/>
        <v>rumus</v>
      </c>
      <c r="L474" s="419" t="str">
        <f t="shared" si="233"/>
        <v xml:space="preserve"> </v>
      </c>
      <c r="M474" s="116"/>
    </row>
    <row r="475" spans="1:14" ht="15" customHeight="1" x14ac:dyDescent="0.2">
      <c r="A475" s="109">
        <v>8</v>
      </c>
      <c r="B475" s="397" t="s">
        <v>399</v>
      </c>
      <c r="C475" s="576" t="s">
        <v>324</v>
      </c>
      <c r="D475" s="106" t="str">
        <f t="shared" si="228"/>
        <v/>
      </c>
      <c r="E475" s="398" t="str">
        <f t="shared" si="229"/>
        <v/>
      </c>
      <c r="F475" s="398" t="str">
        <f t="shared" si="230"/>
        <v/>
      </c>
      <c r="G475" s="399" t="str">
        <f t="shared" si="231"/>
        <v>rumus</v>
      </c>
      <c r="H475" s="114" t="s">
        <v>26</v>
      </c>
      <c r="I475" s="417"/>
      <c r="J475" s="417"/>
      <c r="K475" s="418" t="str">
        <f t="shared" si="232"/>
        <v>rumus</v>
      </c>
      <c r="L475" s="419" t="str">
        <f t="shared" si="233"/>
        <v xml:space="preserve"> </v>
      </c>
      <c r="M475" s="116"/>
    </row>
    <row r="476" spans="1:14" ht="15" customHeight="1" x14ac:dyDescent="0.2">
      <c r="A476" s="109">
        <v>9</v>
      </c>
      <c r="B476" s="397" t="s">
        <v>399</v>
      </c>
      <c r="C476" s="576" t="s">
        <v>324</v>
      </c>
      <c r="D476" s="106" t="str">
        <f t="shared" si="228"/>
        <v/>
      </c>
      <c r="E476" s="398" t="str">
        <f t="shared" si="229"/>
        <v/>
      </c>
      <c r="F476" s="398" t="str">
        <f t="shared" si="230"/>
        <v/>
      </c>
      <c r="G476" s="399" t="str">
        <f t="shared" si="231"/>
        <v>rumus</v>
      </c>
      <c r="H476" s="114" t="s">
        <v>26</v>
      </c>
      <c r="I476" s="417"/>
      <c r="J476" s="417"/>
      <c r="K476" s="418" t="str">
        <f t="shared" si="232"/>
        <v>rumus</v>
      </c>
      <c r="L476" s="419" t="str">
        <f t="shared" si="233"/>
        <v xml:space="preserve"> </v>
      </c>
      <c r="M476" s="116"/>
    </row>
    <row r="477" spans="1:14" ht="15" customHeight="1" x14ac:dyDescent="0.2">
      <c r="A477" s="109">
        <v>10</v>
      </c>
      <c r="B477" s="397" t="s">
        <v>399</v>
      </c>
      <c r="C477" s="576" t="s">
        <v>324</v>
      </c>
      <c r="D477" s="106" t="str">
        <f t="shared" si="228"/>
        <v/>
      </c>
      <c r="E477" s="398" t="str">
        <f t="shared" si="229"/>
        <v/>
      </c>
      <c r="F477" s="398" t="str">
        <f t="shared" si="230"/>
        <v/>
      </c>
      <c r="G477" s="399" t="str">
        <f t="shared" si="231"/>
        <v>rumus</v>
      </c>
      <c r="H477" s="114" t="s">
        <v>26</v>
      </c>
      <c r="I477" s="417"/>
      <c r="J477" s="417"/>
      <c r="K477" s="418" t="str">
        <f t="shared" si="232"/>
        <v>rumus</v>
      </c>
      <c r="L477" s="419" t="str">
        <f t="shared" si="233"/>
        <v xml:space="preserve"> </v>
      </c>
      <c r="M477" s="116"/>
    </row>
    <row r="478" spans="1:14" ht="15.75" customHeight="1" x14ac:dyDescent="0.2">
      <c r="A478" s="109"/>
      <c r="B478" s="406" t="str">
        <f>"b. Semester Genap "&amp;IF(C479&lt;&gt;"",C479,"")&amp;" :"</f>
        <v>b. Semester Genap 2017/2018 :</v>
      </c>
      <c r="C478" s="415"/>
      <c r="D478" s="415"/>
      <c r="E478" s="415"/>
      <c r="F478" s="415"/>
      <c r="G478" s="415"/>
      <c r="H478" s="416"/>
      <c r="I478" s="116"/>
      <c r="M478" s="118">
        <f>IF(IF((COUNTIF(L468:L477,"Pembimbing Utama Laporan akhir studi"))&lt;=10,(SUMIF(L468:L477,"Pembimbing Utama Laporan akhir studi",K468:K477)),1*10)+IF((COUNTIF(L468:L477,"Pembimbing Pendamping Laporan akhir studi"))&lt;=10,(SUMIF(L468:L477,"Pembimbing Pendamping Laporan akhir studi",K468:K477)),0.5*10)+IF((COUNTIF(L468:L477,"Pembimbing Utama Skripsi"))&lt;=8,(SUMIF(L468:L477,"Pembimbing Utama Skripsi",K468:K477)),1*8)+IF((COUNTIF(L468:L477,"Pembimbing Pendamping Skripsi"))&lt;=8,(SUMIF(L468:L477,"Pembimbing Pendamping Skripsi",K468:K477)),1*8)+IF((COUNTIF(L468:L477,"Pembimbing Utama Tesis"))&lt;=6,(SUMIF(L468:L477,"Pembimbing Utama Tesis",K468:K477)),3*6)+IF((COUNTIF(L468:L477,"Pembimbing Pendamping Tesis"))&lt;=6,(SUMIF(L468:L477,"Pembimbing Pendamping Tesis",K468:K477)),2*6)+IF((COUNTIF(L468:L477,"Pembimbing Utama Disertasi"))&lt;=4,(SUMIF(L468:L477,"Pembimbing Utama Disertasi",K468:K477)),8*4)+IF((COUNTIF(L468:L477,"Pembimbing Pendamping Disertasi"))&lt;=4,(SUMIF(L468:L477,"Pembimbing Pendamping Disertasi",K468:K477)),6*4)&lt;=32,IF((COUNTIF(L468:L477,"Pembimbing Utama Laporan akhir studi"))&lt;=10,(SUMIF(L468:L477,"Pembimbing Utama Laporan akhir studi",K468:K477)),1*10)+IF((COUNTIF(L468:L477,"Pembimbing Pendamping Laporan akhir studi"))&lt;=10,(SUMIF(L468:L477,"Pembimbing Pendamping Laporan akhir studi",K468:K477)),0.5*10)+IF((COUNTIF(L468:L477,"Pembimbing Utama Skripsi"))&lt;=8,(SUMIF(L468:L477,"Pembimbing Utama Skripsi",K468:K477)),1*8)+IF((COUNTIF(L468:L477,"Pembimbing Pendamping Skripsi"))&lt;=8,(SUMIF(L468:L477,"Pembimbing Pendamping Skripsi",K468:K477)),1*8)+IF((COUNTIF(L468:L477,"Pembimbing Utama Tesis"))&lt;=6,(SUMIF(L468:L477,"Pembimbing Utama Tesis",K468:K477)),3*6)+IF((COUNTIF(L468:L477,"Pembimbing Pendamping Tesis"))&lt;=6,(SUMIF(L468:L477,"Pembimbing Pendamping Tesis",K468:K477)),2*6)+IF((COUNTIF(L468:L477,"Pembimbing Utama Disertasi"))&lt;=4,(SUMIF(L468:L477,"Pembimbing Utama Disertasi",K468:K477)),8*4)+IF((COUNTIF(L468:L477,"Pembimbing Pendamping Disertasi"))&lt;=4,(SUMIF(L468:L477,"Pembimbing Pendamping Disertasi",K468:K477)),6*4),32)</f>
        <v>2.5</v>
      </c>
      <c r="N478" s="103" t="str">
        <f>"Max 32"</f>
        <v>Max 32</v>
      </c>
    </row>
    <row r="479" spans="1:14" ht="15" customHeight="1" x14ac:dyDescent="0.2">
      <c r="A479" s="109">
        <v>1</v>
      </c>
      <c r="B479" s="574" t="s">
        <v>578</v>
      </c>
      <c r="C479" s="576" t="s">
        <v>327</v>
      </c>
      <c r="D479" s="106" t="str">
        <f t="shared" ref="D479:D499" si="234">IF(G479&lt;&gt;"rumus","Lulusan","")</f>
        <v>Lulusan</v>
      </c>
      <c r="E479" s="398">
        <f t="shared" ref="E479:E499" si="235">IF(I479&lt;&gt;"",1,"")</f>
        <v>1</v>
      </c>
      <c r="F479" s="398">
        <f t="shared" ref="F479:F499" si="236">IF(I479&lt;&gt;"",K479,"")</f>
        <v>1</v>
      </c>
      <c r="G479" s="399" t="str">
        <f t="shared" ref="G479:G499" si="237">IF(K479&lt;&gt;"rumus","1 x "&amp;K479&amp;" = "&amp;K479,"rumus")</f>
        <v>1 x 1 = 1</v>
      </c>
      <c r="H479" s="106" t="s">
        <v>579</v>
      </c>
      <c r="I479" s="577" t="s">
        <v>393</v>
      </c>
      <c r="J479" s="577" t="s">
        <v>394</v>
      </c>
      <c r="K479" s="418">
        <f t="shared" ref="K479:K499" si="238">IF(AND(I479&lt;&gt;"",J479&lt;&gt;""),IF(I479="Pembimbing Utama",IF(J479="Disertasi",8,IF(J479="Tesis",3,IF(J479="Skripsi",1,IF(J479="Laporan akhir studi",1,"")))),IF(I479="Pembimbing Pendamping",IF(J479="Disertasi",6,IF(J479="Tesis",2,IF(J479="Skripsi",0.5,IF(J479="Laporan akhir studi",0.5,"")))))),"rumus")</f>
        <v>1</v>
      </c>
      <c r="L479" s="419" t="str">
        <f t="shared" ref="L479:L499" si="239">I479&amp;" "&amp;J479</f>
        <v>Pembimbing Utama Laporan akhir studi</v>
      </c>
      <c r="M479" s="116"/>
    </row>
    <row r="480" spans="1:14" ht="15" customHeight="1" x14ac:dyDescent="0.2">
      <c r="A480" s="109">
        <v>2</v>
      </c>
      <c r="B480" s="575" t="s">
        <v>580</v>
      </c>
      <c r="C480" s="578" t="s">
        <v>327</v>
      </c>
      <c r="D480" s="106" t="str">
        <f t="shared" si="234"/>
        <v>Lulusan</v>
      </c>
      <c r="E480" s="398">
        <f t="shared" si="235"/>
        <v>1</v>
      </c>
      <c r="F480" s="398">
        <f t="shared" si="236"/>
        <v>0.5</v>
      </c>
      <c r="G480" s="399" t="str">
        <f t="shared" si="237"/>
        <v>1 x 0.5 = 0.5</v>
      </c>
      <c r="H480" s="106" t="s">
        <v>581</v>
      </c>
      <c r="I480" s="577" t="s">
        <v>402</v>
      </c>
      <c r="J480" s="577" t="s">
        <v>394</v>
      </c>
      <c r="K480" s="418">
        <f t="shared" si="238"/>
        <v>0.5</v>
      </c>
      <c r="L480" s="419" t="str">
        <f t="shared" si="239"/>
        <v>Pembimbing Pendamping Laporan akhir studi</v>
      </c>
      <c r="M480" s="116"/>
    </row>
    <row r="481" spans="1:13" ht="15" customHeight="1" x14ac:dyDescent="0.2">
      <c r="A481" s="109">
        <v>3</v>
      </c>
      <c r="B481" s="575" t="s">
        <v>582</v>
      </c>
      <c r="C481" s="578" t="s">
        <v>327</v>
      </c>
      <c r="D481" s="106" t="str">
        <f t="shared" si="234"/>
        <v>Lulusan</v>
      </c>
      <c r="E481" s="398">
        <f t="shared" si="235"/>
        <v>1</v>
      </c>
      <c r="F481" s="398">
        <f t="shared" si="236"/>
        <v>1</v>
      </c>
      <c r="G481" s="399" t="str">
        <f t="shared" si="237"/>
        <v>1 x 1 = 1</v>
      </c>
      <c r="H481" s="106" t="s">
        <v>583</v>
      </c>
      <c r="I481" s="577" t="s">
        <v>393</v>
      </c>
      <c r="J481" s="577" t="s">
        <v>394</v>
      </c>
      <c r="K481" s="418">
        <f t="shared" si="238"/>
        <v>1</v>
      </c>
      <c r="L481" s="419" t="str">
        <f t="shared" si="239"/>
        <v>Pembimbing Utama Laporan akhir studi</v>
      </c>
      <c r="M481" s="116"/>
    </row>
    <row r="482" spans="1:13" ht="15" customHeight="1" x14ac:dyDescent="0.2">
      <c r="A482" s="109">
        <v>4</v>
      </c>
      <c r="B482" s="575" t="s">
        <v>584</v>
      </c>
      <c r="C482" s="578" t="s">
        <v>327</v>
      </c>
      <c r="D482" s="106" t="str">
        <f t="shared" si="234"/>
        <v>Lulusan</v>
      </c>
      <c r="E482" s="398">
        <f t="shared" si="235"/>
        <v>1</v>
      </c>
      <c r="F482" s="398">
        <f t="shared" si="236"/>
        <v>1</v>
      </c>
      <c r="G482" s="399" t="str">
        <f t="shared" si="237"/>
        <v>1 x 1 = 1</v>
      </c>
      <c r="H482" s="106" t="s">
        <v>585</v>
      </c>
      <c r="I482" s="577" t="s">
        <v>393</v>
      </c>
      <c r="J482" s="577" t="s">
        <v>394</v>
      </c>
      <c r="K482" s="418">
        <f t="shared" si="238"/>
        <v>1</v>
      </c>
      <c r="L482" s="419" t="str">
        <f t="shared" si="239"/>
        <v>Pembimbing Utama Laporan akhir studi</v>
      </c>
      <c r="M482" s="116"/>
    </row>
    <row r="483" spans="1:13" ht="15" customHeight="1" x14ac:dyDescent="0.2">
      <c r="A483" s="109">
        <v>5</v>
      </c>
      <c r="B483" s="575" t="s">
        <v>586</v>
      </c>
      <c r="C483" s="578" t="s">
        <v>327</v>
      </c>
      <c r="D483" s="106" t="str">
        <f t="shared" ref="D483:D490" si="240">IF(G483&lt;&gt;"rumus","Lulusan","")</f>
        <v>Lulusan</v>
      </c>
      <c r="E483" s="398">
        <f t="shared" ref="E483:E490" si="241">IF(I483&lt;&gt;"",1,"")</f>
        <v>1</v>
      </c>
      <c r="F483" s="398">
        <f t="shared" ref="F483:F490" si="242">IF(I483&lt;&gt;"",K483,"")</f>
        <v>0.5</v>
      </c>
      <c r="G483" s="399" t="str">
        <f t="shared" ref="G483:G490" si="243">IF(K483&lt;&gt;"rumus","1 x "&amp;K483&amp;" = "&amp;K483,"rumus")</f>
        <v>1 x 0.5 = 0.5</v>
      </c>
      <c r="H483" s="106" t="s">
        <v>587</v>
      </c>
      <c r="I483" s="577" t="s">
        <v>402</v>
      </c>
      <c r="J483" s="577" t="s">
        <v>394</v>
      </c>
      <c r="K483" s="418">
        <f t="shared" ref="K483:K490" si="244">IF(AND(I483&lt;&gt;"",J483&lt;&gt;""),IF(I483="Pembimbing Utama",IF(J483="Disertasi",8,IF(J483="Tesis",3,IF(J483="Skripsi",1,IF(J483="Laporan akhir studi",1,"")))),IF(I483="Pembimbing Pendamping",IF(J483="Disertasi",6,IF(J483="Tesis",2,IF(J483="Skripsi",0.5,IF(J483="Laporan akhir studi",0.5,"")))))),"rumus")</f>
        <v>0.5</v>
      </c>
      <c r="L483" s="419" t="str">
        <f t="shared" ref="L483:L490" si="245">I483&amp;" "&amp;J483</f>
        <v>Pembimbing Pendamping Laporan akhir studi</v>
      </c>
      <c r="M483" s="116"/>
    </row>
    <row r="484" spans="1:13" ht="15" customHeight="1" x14ac:dyDescent="0.2">
      <c r="A484" s="109">
        <v>6</v>
      </c>
      <c r="B484" s="575" t="s">
        <v>588</v>
      </c>
      <c r="C484" s="578" t="s">
        <v>327</v>
      </c>
      <c r="D484" s="106" t="str">
        <f t="shared" si="240"/>
        <v>Lulusan</v>
      </c>
      <c r="E484" s="398">
        <f t="shared" si="241"/>
        <v>1</v>
      </c>
      <c r="F484" s="398">
        <f t="shared" si="242"/>
        <v>0.5</v>
      </c>
      <c r="G484" s="399" t="str">
        <f t="shared" si="243"/>
        <v>1 x 0.5 = 0.5</v>
      </c>
      <c r="H484" s="106" t="s">
        <v>589</v>
      </c>
      <c r="I484" s="577" t="s">
        <v>402</v>
      </c>
      <c r="J484" s="577" t="s">
        <v>394</v>
      </c>
      <c r="K484" s="418">
        <f t="shared" si="244"/>
        <v>0.5</v>
      </c>
      <c r="L484" s="419" t="str">
        <f t="shared" si="245"/>
        <v>Pembimbing Pendamping Laporan akhir studi</v>
      </c>
      <c r="M484" s="116"/>
    </row>
    <row r="485" spans="1:13" ht="15" customHeight="1" x14ac:dyDescent="0.2">
      <c r="A485" s="109">
        <v>7</v>
      </c>
      <c r="B485" s="575" t="s">
        <v>422</v>
      </c>
      <c r="C485" s="578" t="s">
        <v>327</v>
      </c>
      <c r="D485" s="106" t="str">
        <f t="shared" si="240"/>
        <v>Lulusan</v>
      </c>
      <c r="E485" s="398">
        <f t="shared" si="241"/>
        <v>1</v>
      </c>
      <c r="F485" s="398">
        <f t="shared" si="242"/>
        <v>1</v>
      </c>
      <c r="G485" s="399" t="str">
        <f t="shared" si="243"/>
        <v>1 x 1 = 1</v>
      </c>
      <c r="H485" s="106" t="s">
        <v>590</v>
      </c>
      <c r="I485" s="577" t="s">
        <v>393</v>
      </c>
      <c r="J485" s="577" t="s">
        <v>394</v>
      </c>
      <c r="K485" s="418">
        <f t="shared" si="244"/>
        <v>1</v>
      </c>
      <c r="L485" s="419" t="str">
        <f t="shared" si="245"/>
        <v>Pembimbing Utama Laporan akhir studi</v>
      </c>
      <c r="M485" s="116"/>
    </row>
    <row r="486" spans="1:13" ht="15" customHeight="1" x14ac:dyDescent="0.2">
      <c r="A486" s="109">
        <v>8</v>
      </c>
      <c r="B486" s="575" t="s">
        <v>591</v>
      </c>
      <c r="C486" s="578" t="s">
        <v>327</v>
      </c>
      <c r="D486" s="106" t="str">
        <f t="shared" si="240"/>
        <v>Lulusan</v>
      </c>
      <c r="E486" s="398">
        <f t="shared" si="241"/>
        <v>1</v>
      </c>
      <c r="F486" s="398">
        <f t="shared" si="242"/>
        <v>0.5</v>
      </c>
      <c r="G486" s="399" t="str">
        <f t="shared" si="243"/>
        <v>1 x 0.5 = 0.5</v>
      </c>
      <c r="H486" s="106" t="s">
        <v>592</v>
      </c>
      <c r="I486" s="577" t="s">
        <v>402</v>
      </c>
      <c r="J486" s="577" t="s">
        <v>394</v>
      </c>
      <c r="K486" s="418">
        <f t="shared" si="244"/>
        <v>0.5</v>
      </c>
      <c r="L486" s="419" t="str">
        <f t="shared" si="245"/>
        <v>Pembimbing Pendamping Laporan akhir studi</v>
      </c>
      <c r="M486" s="116"/>
    </row>
    <row r="487" spans="1:13" ht="15" customHeight="1" x14ac:dyDescent="0.2">
      <c r="A487" s="109">
        <v>9</v>
      </c>
      <c r="B487" s="575" t="s">
        <v>593</v>
      </c>
      <c r="C487" s="578" t="s">
        <v>327</v>
      </c>
      <c r="D487" s="106" t="str">
        <f t="shared" si="240"/>
        <v>Lulusan</v>
      </c>
      <c r="E487" s="398">
        <f t="shared" si="241"/>
        <v>1</v>
      </c>
      <c r="F487" s="398">
        <f t="shared" si="242"/>
        <v>0.5</v>
      </c>
      <c r="G487" s="399" t="str">
        <f t="shared" si="243"/>
        <v>1 x 0.5 = 0.5</v>
      </c>
      <c r="H487" s="106" t="s">
        <v>594</v>
      </c>
      <c r="I487" s="577" t="s">
        <v>402</v>
      </c>
      <c r="J487" s="577" t="s">
        <v>394</v>
      </c>
      <c r="K487" s="418">
        <f t="shared" si="244"/>
        <v>0.5</v>
      </c>
      <c r="L487" s="419" t="str">
        <f t="shared" si="245"/>
        <v>Pembimbing Pendamping Laporan akhir studi</v>
      </c>
      <c r="M487" s="116"/>
    </row>
    <row r="488" spans="1:13" ht="15" customHeight="1" x14ac:dyDescent="0.2">
      <c r="A488" s="109">
        <v>10</v>
      </c>
      <c r="B488" s="575" t="s">
        <v>595</v>
      </c>
      <c r="C488" s="578" t="s">
        <v>327</v>
      </c>
      <c r="D488" s="106" t="str">
        <f t="shared" si="240"/>
        <v>Lulusan</v>
      </c>
      <c r="E488" s="398">
        <f t="shared" si="241"/>
        <v>1</v>
      </c>
      <c r="F488" s="398">
        <f t="shared" si="242"/>
        <v>0.5</v>
      </c>
      <c r="G488" s="399" t="str">
        <f t="shared" si="243"/>
        <v>1 x 0.5 = 0.5</v>
      </c>
      <c r="H488" s="106" t="s">
        <v>596</v>
      </c>
      <c r="I488" s="577" t="s">
        <v>402</v>
      </c>
      <c r="J488" s="577" t="s">
        <v>394</v>
      </c>
      <c r="K488" s="418">
        <f t="shared" si="244"/>
        <v>0.5</v>
      </c>
      <c r="L488" s="419" t="str">
        <f t="shared" si="245"/>
        <v>Pembimbing Pendamping Laporan akhir studi</v>
      </c>
      <c r="M488" s="116"/>
    </row>
    <row r="489" spans="1:13" ht="15" customHeight="1" x14ac:dyDescent="0.2">
      <c r="A489" s="109">
        <v>11</v>
      </c>
      <c r="B489" s="575" t="s">
        <v>597</v>
      </c>
      <c r="C489" s="578" t="s">
        <v>327</v>
      </c>
      <c r="D489" s="106" t="str">
        <f t="shared" si="240"/>
        <v>Lulusan</v>
      </c>
      <c r="E489" s="398">
        <f t="shared" si="241"/>
        <v>1</v>
      </c>
      <c r="F489" s="398">
        <f t="shared" si="242"/>
        <v>1</v>
      </c>
      <c r="G489" s="399" t="str">
        <f t="shared" si="243"/>
        <v>1 x 1 = 1</v>
      </c>
      <c r="H489" s="106" t="s">
        <v>598</v>
      </c>
      <c r="I489" s="577" t="s">
        <v>393</v>
      </c>
      <c r="J489" s="577" t="s">
        <v>394</v>
      </c>
      <c r="K489" s="418">
        <f t="shared" si="244"/>
        <v>1</v>
      </c>
      <c r="L489" s="419" t="str">
        <f t="shared" si="245"/>
        <v>Pembimbing Utama Laporan akhir studi</v>
      </c>
      <c r="M489" s="116"/>
    </row>
    <row r="490" spans="1:13" ht="15" customHeight="1" x14ac:dyDescent="0.2">
      <c r="A490" s="109">
        <v>12</v>
      </c>
      <c r="B490" s="575" t="s">
        <v>599</v>
      </c>
      <c r="C490" s="578" t="s">
        <v>327</v>
      </c>
      <c r="D490" s="106" t="str">
        <f t="shared" si="240"/>
        <v>Lulusan</v>
      </c>
      <c r="E490" s="398">
        <f t="shared" si="241"/>
        <v>1</v>
      </c>
      <c r="F490" s="398">
        <f t="shared" si="242"/>
        <v>0.5</v>
      </c>
      <c r="G490" s="399" t="str">
        <f t="shared" si="243"/>
        <v>1 x 0.5 = 0.5</v>
      </c>
      <c r="H490" s="106" t="s">
        <v>600</v>
      </c>
      <c r="I490" s="577" t="s">
        <v>402</v>
      </c>
      <c r="J490" s="577" t="s">
        <v>394</v>
      </c>
      <c r="K490" s="418">
        <f t="shared" si="244"/>
        <v>0.5</v>
      </c>
      <c r="L490" s="419" t="str">
        <f t="shared" si="245"/>
        <v>Pembimbing Pendamping Laporan akhir studi</v>
      </c>
      <c r="M490" s="116"/>
    </row>
    <row r="491" spans="1:13" ht="15" customHeight="1" x14ac:dyDescent="0.2">
      <c r="A491" s="109">
        <v>13</v>
      </c>
      <c r="B491" s="575" t="s">
        <v>601</v>
      </c>
      <c r="C491" s="578" t="s">
        <v>327</v>
      </c>
      <c r="D491" s="106" t="str">
        <f t="shared" si="234"/>
        <v>Lulusan</v>
      </c>
      <c r="E491" s="398">
        <f t="shared" si="235"/>
        <v>1</v>
      </c>
      <c r="F491" s="398">
        <f t="shared" si="236"/>
        <v>1</v>
      </c>
      <c r="G491" s="399" t="str">
        <f t="shared" si="237"/>
        <v>1 x 1 = 1</v>
      </c>
      <c r="H491" s="106" t="s">
        <v>602</v>
      </c>
      <c r="I491" s="577" t="s">
        <v>393</v>
      </c>
      <c r="J491" s="577" t="s">
        <v>394</v>
      </c>
      <c r="K491" s="418">
        <f t="shared" si="238"/>
        <v>1</v>
      </c>
      <c r="L491" s="419" t="str">
        <f t="shared" si="239"/>
        <v>Pembimbing Utama Laporan akhir studi</v>
      </c>
      <c r="M491" s="116"/>
    </row>
    <row r="492" spans="1:13" ht="15" customHeight="1" x14ac:dyDescent="0.2">
      <c r="A492" s="109">
        <v>14</v>
      </c>
      <c r="B492" s="575" t="s">
        <v>603</v>
      </c>
      <c r="C492" s="578" t="s">
        <v>327</v>
      </c>
      <c r="D492" s="106" t="str">
        <f t="shared" si="234"/>
        <v>Lulusan</v>
      </c>
      <c r="E492" s="398">
        <f t="shared" si="235"/>
        <v>1</v>
      </c>
      <c r="F492" s="398">
        <f t="shared" si="236"/>
        <v>0.5</v>
      </c>
      <c r="G492" s="399" t="str">
        <f t="shared" si="237"/>
        <v>1 x 0.5 = 0.5</v>
      </c>
      <c r="H492" s="106" t="s">
        <v>604</v>
      </c>
      <c r="I492" s="577" t="s">
        <v>402</v>
      </c>
      <c r="J492" s="577" t="s">
        <v>394</v>
      </c>
      <c r="K492" s="418">
        <f t="shared" si="238"/>
        <v>0.5</v>
      </c>
      <c r="L492" s="419" t="str">
        <f t="shared" si="239"/>
        <v>Pembimbing Pendamping Laporan akhir studi</v>
      </c>
      <c r="M492" s="116"/>
    </row>
    <row r="493" spans="1:13" ht="15" customHeight="1" x14ac:dyDescent="0.2">
      <c r="A493" s="109">
        <v>15</v>
      </c>
      <c r="B493" s="575" t="s">
        <v>586</v>
      </c>
      <c r="C493" s="578" t="s">
        <v>327</v>
      </c>
      <c r="D493" s="106" t="str">
        <f t="shared" si="234"/>
        <v>Lulusan</v>
      </c>
      <c r="E493" s="398">
        <f t="shared" si="235"/>
        <v>1</v>
      </c>
      <c r="F493" s="398">
        <f t="shared" si="236"/>
        <v>0.5</v>
      </c>
      <c r="G493" s="399" t="str">
        <f t="shared" si="237"/>
        <v>1 x 0.5 = 0.5</v>
      </c>
      <c r="H493" s="106" t="s">
        <v>605</v>
      </c>
      <c r="I493" s="577" t="s">
        <v>402</v>
      </c>
      <c r="J493" s="577" t="s">
        <v>394</v>
      </c>
      <c r="K493" s="418">
        <f t="shared" si="238"/>
        <v>0.5</v>
      </c>
      <c r="L493" s="419" t="str">
        <f t="shared" si="239"/>
        <v>Pembimbing Pendamping Laporan akhir studi</v>
      </c>
      <c r="M493" s="116"/>
    </row>
    <row r="494" spans="1:13" ht="15" customHeight="1" x14ac:dyDescent="0.2">
      <c r="A494" s="109">
        <v>16</v>
      </c>
      <c r="B494" s="575" t="s">
        <v>606</v>
      </c>
      <c r="C494" s="578" t="s">
        <v>327</v>
      </c>
      <c r="D494" s="106" t="str">
        <f t="shared" si="234"/>
        <v>Lulusan</v>
      </c>
      <c r="E494" s="398">
        <f t="shared" si="235"/>
        <v>1</v>
      </c>
      <c r="F494" s="398">
        <f t="shared" si="236"/>
        <v>1</v>
      </c>
      <c r="G494" s="399" t="str">
        <f t="shared" si="237"/>
        <v>1 x 1 = 1</v>
      </c>
      <c r="H494" s="106" t="s">
        <v>607</v>
      </c>
      <c r="I494" s="577" t="s">
        <v>393</v>
      </c>
      <c r="J494" s="577" t="s">
        <v>394</v>
      </c>
      <c r="K494" s="418">
        <f t="shared" si="238"/>
        <v>1</v>
      </c>
      <c r="L494" s="419" t="str">
        <f t="shared" si="239"/>
        <v>Pembimbing Utama Laporan akhir studi</v>
      </c>
      <c r="M494" s="116"/>
    </row>
    <row r="495" spans="1:13" ht="15" customHeight="1" x14ac:dyDescent="0.2">
      <c r="A495" s="109">
        <v>17</v>
      </c>
      <c r="B495" s="575" t="s">
        <v>608</v>
      </c>
      <c r="C495" s="578" t="s">
        <v>327</v>
      </c>
      <c r="D495" s="106" t="str">
        <f t="shared" si="234"/>
        <v>Lulusan</v>
      </c>
      <c r="E495" s="398">
        <f t="shared" si="235"/>
        <v>1</v>
      </c>
      <c r="F495" s="398">
        <f t="shared" si="236"/>
        <v>0.5</v>
      </c>
      <c r="G495" s="399" t="str">
        <f t="shared" si="237"/>
        <v>1 x 0.5 = 0.5</v>
      </c>
      <c r="H495" s="106" t="s">
        <v>609</v>
      </c>
      <c r="I495" s="577" t="s">
        <v>402</v>
      </c>
      <c r="J495" s="577" t="s">
        <v>394</v>
      </c>
      <c r="K495" s="418">
        <f t="shared" si="238"/>
        <v>0.5</v>
      </c>
      <c r="L495" s="419" t="str">
        <f t="shared" si="239"/>
        <v>Pembimbing Pendamping Laporan akhir studi</v>
      </c>
      <c r="M495" s="116"/>
    </row>
    <row r="496" spans="1:13" ht="15" customHeight="1" x14ac:dyDescent="0.2">
      <c r="A496" s="109">
        <v>18</v>
      </c>
      <c r="B496" s="575" t="s">
        <v>610</v>
      </c>
      <c r="C496" s="578" t="s">
        <v>327</v>
      </c>
      <c r="D496" s="106" t="str">
        <f t="shared" si="234"/>
        <v>Lulusan</v>
      </c>
      <c r="E496" s="398">
        <f t="shared" si="235"/>
        <v>1</v>
      </c>
      <c r="F496" s="398">
        <f t="shared" si="236"/>
        <v>0.5</v>
      </c>
      <c r="G496" s="399" t="str">
        <f t="shared" si="237"/>
        <v>1 x 0.5 = 0.5</v>
      </c>
      <c r="H496" s="106" t="s">
        <v>611</v>
      </c>
      <c r="I496" s="577" t="s">
        <v>402</v>
      </c>
      <c r="J496" s="577" t="s">
        <v>394</v>
      </c>
      <c r="K496" s="418">
        <f t="shared" si="238"/>
        <v>0.5</v>
      </c>
      <c r="L496" s="419" t="str">
        <f t="shared" si="239"/>
        <v>Pembimbing Pendamping Laporan akhir studi</v>
      </c>
      <c r="M496" s="116"/>
    </row>
    <row r="497" spans="1:14" ht="15" customHeight="1" x14ac:dyDescent="0.2">
      <c r="A497" s="109">
        <v>19</v>
      </c>
      <c r="B497" s="575" t="s">
        <v>612</v>
      </c>
      <c r="C497" s="578" t="s">
        <v>327</v>
      </c>
      <c r="D497" s="106" t="str">
        <f t="shared" si="234"/>
        <v>Lulusan</v>
      </c>
      <c r="E497" s="398">
        <f t="shared" si="235"/>
        <v>1</v>
      </c>
      <c r="F497" s="398">
        <f t="shared" si="236"/>
        <v>1</v>
      </c>
      <c r="G497" s="399" t="str">
        <f t="shared" si="237"/>
        <v>1 x 1 = 1</v>
      </c>
      <c r="H497" s="106" t="s">
        <v>613</v>
      </c>
      <c r="I497" s="577" t="s">
        <v>393</v>
      </c>
      <c r="J497" s="577" t="s">
        <v>394</v>
      </c>
      <c r="K497" s="418">
        <f t="shared" si="238"/>
        <v>1</v>
      </c>
      <c r="L497" s="419" t="str">
        <f t="shared" si="239"/>
        <v>Pembimbing Utama Laporan akhir studi</v>
      </c>
      <c r="M497" s="116"/>
    </row>
    <row r="498" spans="1:14" ht="15" customHeight="1" x14ac:dyDescent="0.2">
      <c r="A498" s="109">
        <v>20</v>
      </c>
      <c r="B498" s="575" t="s">
        <v>614</v>
      </c>
      <c r="C498" s="578" t="s">
        <v>327</v>
      </c>
      <c r="D498" s="106" t="str">
        <f t="shared" si="234"/>
        <v>Lulusan</v>
      </c>
      <c r="E498" s="398">
        <f t="shared" si="235"/>
        <v>1</v>
      </c>
      <c r="F498" s="398">
        <f t="shared" si="236"/>
        <v>1</v>
      </c>
      <c r="G498" s="399" t="str">
        <f t="shared" si="237"/>
        <v>1 x 1 = 1</v>
      </c>
      <c r="H498" s="106" t="s">
        <v>615</v>
      </c>
      <c r="I498" s="577" t="s">
        <v>393</v>
      </c>
      <c r="J498" s="577" t="s">
        <v>394</v>
      </c>
      <c r="K498" s="418">
        <f t="shared" si="238"/>
        <v>1</v>
      </c>
      <c r="L498" s="419" t="str">
        <f t="shared" si="239"/>
        <v>Pembimbing Utama Laporan akhir studi</v>
      </c>
      <c r="M498" s="116"/>
    </row>
    <row r="499" spans="1:14" ht="15" customHeight="1" x14ac:dyDescent="0.2">
      <c r="A499" s="109">
        <v>21</v>
      </c>
      <c r="B499" s="575" t="s">
        <v>616</v>
      </c>
      <c r="C499" s="578" t="s">
        <v>327</v>
      </c>
      <c r="D499" s="106" t="str">
        <f t="shared" si="234"/>
        <v>Lulusan</v>
      </c>
      <c r="E499" s="398">
        <f t="shared" si="235"/>
        <v>1</v>
      </c>
      <c r="F499" s="398">
        <f t="shared" si="236"/>
        <v>0.5</v>
      </c>
      <c r="G499" s="399" t="str">
        <f t="shared" si="237"/>
        <v>1 x 0.5 = 0.5</v>
      </c>
      <c r="H499" s="106" t="s">
        <v>617</v>
      </c>
      <c r="I499" s="577" t="s">
        <v>402</v>
      </c>
      <c r="J499" s="577" t="s">
        <v>394</v>
      </c>
      <c r="K499" s="418">
        <f t="shared" si="238"/>
        <v>0.5</v>
      </c>
      <c r="L499" s="419" t="str">
        <f t="shared" si="239"/>
        <v>Pembimbing Pendamping Laporan akhir studi</v>
      </c>
      <c r="M499" s="116"/>
    </row>
    <row r="500" spans="1:14" ht="15.75" customHeight="1" x14ac:dyDescent="0.2">
      <c r="A500" s="109"/>
      <c r="B500" s="406" t="str">
        <f>"b. Semester Genap "&amp;IF(C501&lt;&gt;"",C501,"")&amp;" :"</f>
        <v>b. Semester Genap 2018/2019 :</v>
      </c>
      <c r="C500" s="415"/>
      <c r="D500" s="415"/>
      <c r="E500" s="415"/>
      <c r="F500" s="415"/>
      <c r="G500" s="407"/>
      <c r="H500" s="408"/>
      <c r="I500" s="116"/>
      <c r="M500" s="118">
        <f>IF(IF((COUNTIF(L479:L499,"Pembimbing Utama Laporan akhir studi"))&lt;=10,(SUMIF(L479:L499,"Pembimbing Utama Laporan akhir studi",K479:K499)),1*10)+IF((COUNTIF(L479:L499,"Pembimbing Pendamping Laporan akhir studi"))&lt;=10,(SUMIF(L479:L499,"Pembimbing Pendamping Laporan akhir studi",K479:K499)),0.5*10)+IF((COUNTIF(L479:L499,"Pembimbing Utama Skripsi"))&lt;=8,(SUMIF(L479:L499,"Pembimbing Utama Skripsi",K479:K499)),1*8)+IF((COUNTIF(L479:L499,"Pembimbing Pendamping Skripsi"))&lt;=8,(SUMIF(L479:L499,"Pembimbing Pendamping Skripsi",K479:K499)),1*8)+IF((COUNTIF(L479:L499,"Pembimbing Utama Tesis"))&lt;=6,(SUMIF(L479:L499,"Pembimbing Utama Tesis",K479:K499)),3*6)+IF((COUNTIF(L479:L499,"Pembimbing Pendamping Tesis"))&lt;=6,(SUMIF(L479:L499,"Pembimbing Pendamping Tesis",K479:K499)),2*6)+IF((COUNTIF(L479:L499,"Pembimbing Utama Disertasi"))&lt;=4,(SUMIF(L479:L499,"Pembimbing Utama Disertasi",K479:K499)),8*4)+IF((COUNTIF(L479:L499,"Pembimbing Pendamping Disertasi"))&lt;=4,(SUMIF(L479:L499,"Pembimbing Pendamping Disertasi",K479:K499)),6*4)&lt;=32,IF((COUNTIF(L479:L499,"Pembimbing Utama Laporan akhir studi"))&lt;=10,(SUMIF(L479:L499,"Pembimbing Utama Laporan akhir studi",K479:K499)),1*10)+IF((COUNTIF(L479:L499,"Pembimbing Pendamping Laporan akhir studi"))&lt;=10,(SUMIF(L479:L499,"Pembimbing Pendamping Laporan akhir studi",K479:K499)),0.5*10)+IF((COUNTIF(L479:L499,"Pembimbing Utama Skripsi"))&lt;=8,(SUMIF(L479:L499,"Pembimbing Utama Skripsi",K479:K499)),1*8)+IF((COUNTIF(L479:L499,"Pembimbing Pendamping Skripsi"))&lt;=8,(SUMIF(L479:L499,"Pembimbing Pendamping Skripsi",K479:K499)),1*8)+IF((COUNTIF(L479:L499,"Pembimbing Utama Tesis"))&lt;=6,(SUMIF(L479:L499,"Pembimbing Utama Tesis",K479:K499)),3*6)+IF((COUNTIF(L479:L499,"Pembimbing Pendamping Tesis"))&lt;=6,(SUMIF(L479:L499,"Pembimbing Pendamping Tesis",K479:K499)),2*6)+IF((COUNTIF(L479:L499,"Pembimbing Utama Disertasi"))&lt;=4,(SUMIF(L479:L499,"Pembimbing Utama Disertasi",K479:K499)),8*4)+IF((COUNTIF(L479:L499,"Pembimbing Pendamping Disertasi"))&lt;=4,(SUMIF(L479:L499,"Pembimbing Pendamping Disertasi",K479:K499)),6*4),32)</f>
        <v>14</v>
      </c>
      <c r="N500" s="103" t="str">
        <f>"Max 32"</f>
        <v>Max 32</v>
      </c>
    </row>
    <row r="501" spans="1:14" ht="15.75" customHeight="1" x14ac:dyDescent="0.2">
      <c r="A501" s="576">
        <v>1</v>
      </c>
      <c r="B501" s="609" t="s">
        <v>618</v>
      </c>
      <c r="C501" s="576" t="s">
        <v>331</v>
      </c>
      <c r="D501" s="106" t="str">
        <f t="shared" ref="D501:D511" si="246">IF(G501&lt;&gt;"rumus","Lulusan","")</f>
        <v>Lulusan</v>
      </c>
      <c r="E501" s="398">
        <f t="shared" ref="E501:E511" si="247">IF(I501&lt;&gt;"",1,"")</f>
        <v>1</v>
      </c>
      <c r="F501" s="398">
        <f t="shared" ref="F501:F511" si="248">IF(I501&lt;&gt;"",K501,"")</f>
        <v>1</v>
      </c>
      <c r="G501" s="399" t="str">
        <f t="shared" ref="G501:G511" si="249">IF(K501&lt;&gt;"rumus","1 x "&amp;K501&amp;" = "&amp;K501,"rumus")</f>
        <v>1 x 1 = 1</v>
      </c>
      <c r="H501" s="106" t="s">
        <v>619</v>
      </c>
      <c r="I501" s="577" t="s">
        <v>393</v>
      </c>
      <c r="J501" s="577" t="s">
        <v>394</v>
      </c>
      <c r="K501" s="418">
        <f t="shared" ref="K501:K511" si="250">IF(AND(I501&lt;&gt;"",J501&lt;&gt;""),IF(I501="Pembimbing Utama",IF(J501="Disertasi",8,IF(J501="Tesis",3,IF(J501="Skripsi",1,IF(J501="Laporan akhir studi",1,"")))),IF(I501="Pembimbing Pendamping",IF(J501="Disertasi",6,IF(J501="Tesis",2,IF(J501="Skripsi",0.5,IF(J501="Laporan akhir studi",0.5,"")))))),"rumus")</f>
        <v>1</v>
      </c>
      <c r="L501" s="419" t="str">
        <f t="shared" ref="L501:L511" si="251">I501&amp;" "&amp;J501</f>
        <v>Pembimbing Utama Laporan akhir studi</v>
      </c>
      <c r="M501" s="116"/>
    </row>
    <row r="502" spans="1:14" ht="15.75" customHeight="1" x14ac:dyDescent="0.2">
      <c r="A502" s="578">
        <v>2</v>
      </c>
      <c r="B502" s="610" t="s">
        <v>620</v>
      </c>
      <c r="C502" s="578" t="s">
        <v>317</v>
      </c>
      <c r="D502" s="106" t="str">
        <f t="shared" ref="D502" si="252">IF(G502&lt;&gt;"rumus","Lulusan","")</f>
        <v>Lulusan</v>
      </c>
      <c r="E502" s="398">
        <f t="shared" ref="E502" si="253">IF(I502&lt;&gt;"",1,"")</f>
        <v>1</v>
      </c>
      <c r="F502" s="398">
        <f t="shared" ref="F502" si="254">IF(I502&lt;&gt;"",K502,"")</f>
        <v>0.5</v>
      </c>
      <c r="G502" s="399" t="str">
        <f t="shared" ref="G502" si="255">IF(K502&lt;&gt;"rumus","1 x "&amp;K502&amp;" = "&amp;K502,"rumus")</f>
        <v>1 x 0.5 = 0.5</v>
      </c>
      <c r="H502" s="106" t="s">
        <v>621</v>
      </c>
      <c r="I502" s="577" t="s">
        <v>402</v>
      </c>
      <c r="J502" s="577" t="s">
        <v>394</v>
      </c>
      <c r="K502" s="418">
        <f t="shared" ref="K502" si="256">IF(AND(I502&lt;&gt;"",J502&lt;&gt;""),IF(I502="Pembimbing Utama",IF(J502="Disertasi",8,IF(J502="Tesis",3,IF(J502="Skripsi",1,IF(J502="Laporan akhir studi",1,"")))),IF(I502="Pembimbing Pendamping",IF(J502="Disertasi",6,IF(J502="Tesis",2,IF(J502="Skripsi",0.5,IF(J502="Laporan akhir studi",0.5,"")))))),"rumus")</f>
        <v>0.5</v>
      </c>
      <c r="L502" s="419" t="str">
        <f t="shared" ref="L502" si="257">I502&amp;" "&amp;J502</f>
        <v>Pembimbing Pendamping Laporan akhir studi</v>
      </c>
      <c r="M502" s="116"/>
    </row>
    <row r="503" spans="1:14" ht="15.75" customHeight="1" x14ac:dyDescent="0.2">
      <c r="A503" s="578">
        <v>3</v>
      </c>
      <c r="B503" s="610" t="s">
        <v>622</v>
      </c>
      <c r="C503" s="578" t="s">
        <v>317</v>
      </c>
      <c r="D503" s="106" t="str">
        <f t="shared" si="246"/>
        <v>Lulusan</v>
      </c>
      <c r="E503" s="398">
        <f t="shared" si="247"/>
        <v>1</v>
      </c>
      <c r="F503" s="398">
        <f t="shared" si="248"/>
        <v>1</v>
      </c>
      <c r="G503" s="399" t="str">
        <f t="shared" si="249"/>
        <v>1 x 1 = 1</v>
      </c>
      <c r="H503" s="106" t="s">
        <v>623</v>
      </c>
      <c r="I503" s="577" t="s">
        <v>393</v>
      </c>
      <c r="J503" s="577" t="s">
        <v>394</v>
      </c>
      <c r="K503" s="418">
        <f t="shared" si="250"/>
        <v>1</v>
      </c>
      <c r="L503" s="419" t="str">
        <f t="shared" si="251"/>
        <v>Pembimbing Utama Laporan akhir studi</v>
      </c>
      <c r="M503" s="116"/>
    </row>
    <row r="504" spans="1:14" ht="15.75" customHeight="1" x14ac:dyDescent="0.2">
      <c r="A504" s="578">
        <v>4</v>
      </c>
      <c r="B504" s="610" t="s">
        <v>624</v>
      </c>
      <c r="C504" s="578" t="s">
        <v>317</v>
      </c>
      <c r="D504" s="106" t="str">
        <f t="shared" si="246"/>
        <v>Lulusan</v>
      </c>
      <c r="E504" s="398">
        <f t="shared" si="247"/>
        <v>1</v>
      </c>
      <c r="F504" s="398">
        <f t="shared" si="248"/>
        <v>1</v>
      </c>
      <c r="G504" s="399" t="str">
        <f t="shared" si="249"/>
        <v>1 x 1 = 1</v>
      </c>
      <c r="H504" s="106" t="s">
        <v>625</v>
      </c>
      <c r="I504" s="577" t="s">
        <v>393</v>
      </c>
      <c r="J504" s="577" t="s">
        <v>394</v>
      </c>
      <c r="K504" s="418">
        <f t="shared" si="250"/>
        <v>1</v>
      </c>
      <c r="L504" s="419" t="str">
        <f t="shared" si="251"/>
        <v>Pembimbing Utama Laporan akhir studi</v>
      </c>
      <c r="M504" s="116"/>
    </row>
    <row r="505" spans="1:14" ht="15.75" customHeight="1" x14ac:dyDescent="0.2">
      <c r="A505" s="578">
        <v>5</v>
      </c>
      <c r="B505" s="610" t="s">
        <v>626</v>
      </c>
      <c r="C505" s="578" t="s">
        <v>317</v>
      </c>
      <c r="D505" s="106" t="str">
        <f t="shared" si="246"/>
        <v>Lulusan</v>
      </c>
      <c r="E505" s="398">
        <f t="shared" si="247"/>
        <v>1</v>
      </c>
      <c r="F505" s="398">
        <f t="shared" si="248"/>
        <v>0.5</v>
      </c>
      <c r="G505" s="399" t="str">
        <f t="shared" si="249"/>
        <v>1 x 0.5 = 0.5</v>
      </c>
      <c r="H505" s="106" t="s">
        <v>627</v>
      </c>
      <c r="I505" s="577" t="s">
        <v>402</v>
      </c>
      <c r="J505" s="577" t="s">
        <v>394</v>
      </c>
      <c r="K505" s="418">
        <f t="shared" si="250"/>
        <v>0.5</v>
      </c>
      <c r="L505" s="419" t="str">
        <f t="shared" si="251"/>
        <v>Pembimbing Pendamping Laporan akhir studi</v>
      </c>
      <c r="M505" s="116"/>
    </row>
    <row r="506" spans="1:14" ht="15.75" customHeight="1" x14ac:dyDescent="0.2">
      <c r="A506" s="578">
        <v>6</v>
      </c>
      <c r="B506" s="610" t="s">
        <v>628</v>
      </c>
      <c r="C506" s="578" t="s">
        <v>317</v>
      </c>
      <c r="D506" s="106" t="str">
        <f t="shared" si="246"/>
        <v>Lulusan</v>
      </c>
      <c r="E506" s="398">
        <f t="shared" si="247"/>
        <v>1</v>
      </c>
      <c r="F506" s="398">
        <f t="shared" si="248"/>
        <v>0.5</v>
      </c>
      <c r="G506" s="399" t="str">
        <f t="shared" si="249"/>
        <v>1 x 0.5 = 0.5</v>
      </c>
      <c r="H506" s="106" t="s">
        <v>629</v>
      </c>
      <c r="I506" s="577" t="s">
        <v>402</v>
      </c>
      <c r="J506" s="577" t="s">
        <v>394</v>
      </c>
      <c r="K506" s="418">
        <f t="shared" si="250"/>
        <v>0.5</v>
      </c>
      <c r="L506" s="419" t="str">
        <f t="shared" si="251"/>
        <v>Pembimbing Pendamping Laporan akhir studi</v>
      </c>
      <c r="M506" s="116"/>
    </row>
    <row r="507" spans="1:14" ht="15.75" customHeight="1" x14ac:dyDescent="0.2">
      <c r="A507" s="578">
        <v>7</v>
      </c>
      <c r="B507" s="610" t="s">
        <v>630</v>
      </c>
      <c r="C507" s="578" t="s">
        <v>317</v>
      </c>
      <c r="D507" s="106" t="str">
        <f t="shared" si="246"/>
        <v>Lulusan</v>
      </c>
      <c r="E507" s="398">
        <f t="shared" si="247"/>
        <v>1</v>
      </c>
      <c r="F507" s="398">
        <f t="shared" si="248"/>
        <v>1</v>
      </c>
      <c r="G507" s="399" t="str">
        <f t="shared" si="249"/>
        <v>1 x 1 = 1</v>
      </c>
      <c r="H507" s="106" t="s">
        <v>631</v>
      </c>
      <c r="I507" s="577" t="s">
        <v>393</v>
      </c>
      <c r="J507" s="577" t="s">
        <v>394</v>
      </c>
      <c r="K507" s="418">
        <f t="shared" si="250"/>
        <v>1</v>
      </c>
      <c r="L507" s="419" t="str">
        <f t="shared" si="251"/>
        <v>Pembimbing Utama Laporan akhir studi</v>
      </c>
      <c r="M507" s="116"/>
    </row>
    <row r="508" spans="1:14" ht="15" customHeight="1" x14ac:dyDescent="0.2">
      <c r="A508" s="578">
        <v>8</v>
      </c>
      <c r="B508" s="610" t="s">
        <v>632</v>
      </c>
      <c r="C508" s="578" t="s">
        <v>317</v>
      </c>
      <c r="D508" s="106" t="str">
        <f t="shared" si="246"/>
        <v>Lulusan</v>
      </c>
      <c r="E508" s="398">
        <f t="shared" si="247"/>
        <v>1</v>
      </c>
      <c r="F508" s="398">
        <f t="shared" si="248"/>
        <v>0.5</v>
      </c>
      <c r="G508" s="399" t="str">
        <f t="shared" si="249"/>
        <v>1 x 0.5 = 0.5</v>
      </c>
      <c r="H508" s="106" t="s">
        <v>633</v>
      </c>
      <c r="I508" s="577" t="s">
        <v>402</v>
      </c>
      <c r="J508" s="577" t="s">
        <v>394</v>
      </c>
      <c r="K508" s="418">
        <f t="shared" si="250"/>
        <v>0.5</v>
      </c>
      <c r="L508" s="419" t="str">
        <f t="shared" si="251"/>
        <v>Pembimbing Pendamping Laporan akhir studi</v>
      </c>
      <c r="M508" s="116"/>
    </row>
    <row r="509" spans="1:14" ht="15" customHeight="1" x14ac:dyDescent="0.2">
      <c r="A509" s="578">
        <v>9</v>
      </c>
      <c r="B509" s="610" t="s">
        <v>634</v>
      </c>
      <c r="C509" s="578" t="s">
        <v>317</v>
      </c>
      <c r="D509" s="106" t="str">
        <f t="shared" si="246"/>
        <v>Lulusan</v>
      </c>
      <c r="E509" s="398">
        <f t="shared" si="247"/>
        <v>1</v>
      </c>
      <c r="F509" s="398">
        <f t="shared" si="248"/>
        <v>1</v>
      </c>
      <c r="G509" s="399" t="str">
        <f t="shared" si="249"/>
        <v>1 x 1 = 1</v>
      </c>
      <c r="H509" s="106" t="s">
        <v>635</v>
      </c>
      <c r="I509" s="577" t="s">
        <v>393</v>
      </c>
      <c r="J509" s="577" t="s">
        <v>394</v>
      </c>
      <c r="K509" s="418">
        <f t="shared" si="250"/>
        <v>1</v>
      </c>
      <c r="L509" s="419" t="str">
        <f t="shared" si="251"/>
        <v>Pembimbing Utama Laporan akhir studi</v>
      </c>
      <c r="M509" s="116"/>
    </row>
    <row r="510" spans="1:14" ht="15" customHeight="1" x14ac:dyDescent="0.2">
      <c r="A510" s="578">
        <v>10</v>
      </c>
      <c r="B510" s="610" t="s">
        <v>636</v>
      </c>
      <c r="C510" s="578" t="s">
        <v>317</v>
      </c>
      <c r="D510" s="106" t="str">
        <f t="shared" si="246"/>
        <v>Lulusan</v>
      </c>
      <c r="E510" s="398">
        <f t="shared" si="247"/>
        <v>1</v>
      </c>
      <c r="F510" s="398">
        <f t="shared" si="248"/>
        <v>1</v>
      </c>
      <c r="G510" s="399" t="str">
        <f t="shared" si="249"/>
        <v>1 x 1 = 1</v>
      </c>
      <c r="H510" s="106" t="s">
        <v>637</v>
      </c>
      <c r="I510" s="577" t="s">
        <v>393</v>
      </c>
      <c r="J510" s="577" t="s">
        <v>394</v>
      </c>
      <c r="K510" s="418">
        <f t="shared" si="250"/>
        <v>1</v>
      </c>
      <c r="L510" s="419" t="str">
        <f t="shared" si="251"/>
        <v>Pembimbing Utama Laporan akhir studi</v>
      </c>
      <c r="M510" s="116"/>
    </row>
    <row r="511" spans="1:14" ht="15" customHeight="1" x14ac:dyDescent="0.2">
      <c r="A511" s="578">
        <v>11</v>
      </c>
      <c r="B511" s="610" t="s">
        <v>638</v>
      </c>
      <c r="C511" s="578" t="s">
        <v>317</v>
      </c>
      <c r="D511" s="106" t="str">
        <f t="shared" si="246"/>
        <v>Lulusan</v>
      </c>
      <c r="E511" s="398">
        <f t="shared" si="247"/>
        <v>1</v>
      </c>
      <c r="F511" s="398">
        <f t="shared" si="248"/>
        <v>0.5</v>
      </c>
      <c r="G511" s="399" t="str">
        <f t="shared" si="249"/>
        <v>1 x 0.5 = 0.5</v>
      </c>
      <c r="H511" s="106" t="s">
        <v>639</v>
      </c>
      <c r="I511" s="577" t="s">
        <v>402</v>
      </c>
      <c r="J511" s="577" t="s">
        <v>394</v>
      </c>
      <c r="K511" s="418">
        <f t="shared" si="250"/>
        <v>0.5</v>
      </c>
      <c r="L511" s="419" t="str">
        <f t="shared" si="251"/>
        <v>Pembimbing Pendamping Laporan akhir studi</v>
      </c>
      <c r="M511" s="116"/>
    </row>
    <row r="512" spans="1:14" ht="15.75" customHeight="1" x14ac:dyDescent="0.2">
      <c r="A512" s="109"/>
      <c r="B512" s="406" t="str">
        <f>"b. Semester Genap "&amp;IF(C513&lt;&gt;"",C513,"")&amp;" :"</f>
        <v>b. Semester Genap 2019/2020 :</v>
      </c>
      <c r="C512" s="415"/>
      <c r="D512" s="415"/>
      <c r="E512" s="415"/>
      <c r="F512" s="415"/>
      <c r="G512" s="407"/>
      <c r="H512" s="408"/>
      <c r="I512" s="116"/>
      <c r="M512" s="118">
        <f>IF(IF((COUNTIF(L501:L511,"Pembimbing Utama Laporan akhir studi"))&lt;=10,(SUMIF(L501:L511,"Pembimbing Utama Laporan akhir studi",K501:K511)),1*10)+IF((COUNTIF(L501:L511,"Pembimbing Pendamping Laporan akhir studi"))&lt;=10,(SUMIF(L501:L511,"Pembimbing Pendamping Laporan akhir studi",K501:K511)),0.5*10)+IF((COUNTIF(L501:L511,"Pembimbing Utama Skripsi"))&lt;=8,(SUMIF(L501:L511,"Pembimbing Utama Skripsi",K501:K511)),1*8)+IF((COUNTIF(L501:L511,"Pembimbing Pendamping Skripsi"))&lt;=8,(SUMIF(L501:L511,"Pembimbing Pendamping Skripsi",K501:K511)),1*8)+IF((COUNTIF(L501:L511,"Pembimbing Utama Tesis"))&lt;=6,(SUMIF(L501:L511,"Pembimbing Utama Tesis",K501:K511)),3*6)+IF((COUNTIF(L501:L511,"Pembimbing Pendamping Tesis"))&lt;=6,(SUMIF(L501:L511,"Pembimbing Pendamping Tesis",K501:K511)),2*6)+IF((COUNTIF(L501:L511,"Pembimbing Utama Disertasi"))&lt;=4,(SUMIF(L501:L511,"Pembimbing Utama Disertasi",K501:K511)),8*4)+IF((COUNTIF(L501:L511,"Pembimbing Pendamping Disertasi"))&lt;=4,(SUMIF(L501:L511,"Pembimbing Pendamping Disertasi",K501:K511)),6*4)&lt;=32,IF((COUNTIF(L501:L511,"Pembimbing Utama Laporan akhir studi"))&lt;=10,(SUMIF(L501:L511,"Pembimbing Utama Laporan akhir studi",K501:K511)),1*10)+IF((COUNTIF(L501:L511,"Pembimbing Pendamping Laporan akhir studi"))&lt;=10,(SUMIF(L501:L511,"Pembimbing Pendamping Laporan akhir studi",K501:K511)),0.5*10)+IF((COUNTIF(L501:L511,"Pembimbing Utama Skripsi"))&lt;=8,(SUMIF(L501:L511,"Pembimbing Utama Skripsi",K501:K511)),1*8)+IF((COUNTIF(L501:L511,"Pembimbing Pendamping Skripsi"))&lt;=8,(SUMIF(L501:L511,"Pembimbing Pendamping Skripsi",K501:K511)),1*8)+IF((COUNTIF(L501:L511,"Pembimbing Utama Tesis"))&lt;=6,(SUMIF(L501:L511,"Pembimbing Utama Tesis",K501:K511)),3*6)+IF((COUNTIF(L501:L511,"Pembimbing Pendamping Tesis"))&lt;=6,(SUMIF(L501:L511,"Pembimbing Pendamping Tesis",K501:K511)),2*6)+IF((COUNTIF(L501:L511,"Pembimbing Utama Disertasi"))&lt;=4,(SUMIF(L501:L511,"Pembimbing Utama Disertasi",K501:K511)),8*4)+IF((COUNTIF(L501:L511,"Pembimbing Pendamping Disertasi"))&lt;=4,(SUMIF(L501:L511,"Pembimbing Pendamping Disertasi",K501:K511)),6*4),32)</f>
        <v>8.5</v>
      </c>
      <c r="N512" s="103" t="str">
        <f>"Max 32"</f>
        <v>Max 32</v>
      </c>
    </row>
    <row r="513" spans="1:14" ht="15.75" customHeight="1" x14ac:dyDescent="0.2">
      <c r="A513" s="576">
        <v>1</v>
      </c>
      <c r="B513" s="609" t="s">
        <v>640</v>
      </c>
      <c r="C513" s="576" t="s">
        <v>334</v>
      </c>
      <c r="D513" s="106" t="str">
        <f t="shared" ref="D513:D522" si="258">IF(G513&lt;&gt;"rumus","Lulusan","")</f>
        <v>Lulusan</v>
      </c>
      <c r="E513" s="398">
        <f t="shared" ref="E513:E522" si="259">IF(I513&lt;&gt;"",1,"")</f>
        <v>1</v>
      </c>
      <c r="F513" s="398">
        <f t="shared" ref="F513:F522" si="260">IF(I513&lt;&gt;"",K513,"")</f>
        <v>1</v>
      </c>
      <c r="G513" s="399" t="str">
        <f t="shared" ref="G513:G522" si="261">IF(K513&lt;&gt;"rumus","1 x "&amp;K513&amp;" = "&amp;K513,"rumus")</f>
        <v>1 x 1 = 1</v>
      </c>
      <c r="H513" s="106" t="s">
        <v>641</v>
      </c>
      <c r="I513" s="577" t="s">
        <v>393</v>
      </c>
      <c r="J513" s="577" t="s">
        <v>394</v>
      </c>
      <c r="K513" s="418">
        <f t="shared" ref="K513:K522" si="262">IF(AND(I513&lt;&gt;"",J513&lt;&gt;""),IF(I513="Pembimbing Utama",IF(J513="Disertasi",8,IF(J513="Tesis",3,IF(J513="Skripsi",1,IF(J513="Laporan akhir studi",1,"")))),IF(I513="Pembimbing Pendamping",IF(J513="Disertasi",6,IF(J513="Tesis",2,IF(J513="Skripsi",0.5,IF(J513="Laporan akhir studi",0.5,"")))))),"rumus")</f>
        <v>1</v>
      </c>
      <c r="L513" s="419" t="str">
        <f t="shared" ref="L513:L522" si="263">I513&amp;" "&amp;J513</f>
        <v>Pembimbing Utama Laporan akhir studi</v>
      </c>
      <c r="M513" s="116"/>
    </row>
    <row r="514" spans="1:14" ht="15.75" customHeight="1" x14ac:dyDescent="0.2">
      <c r="A514" s="578">
        <v>2</v>
      </c>
      <c r="B514" s="610" t="s">
        <v>642</v>
      </c>
      <c r="C514" s="578" t="s">
        <v>334</v>
      </c>
      <c r="D514" s="106" t="str">
        <f t="shared" si="258"/>
        <v>Lulusan</v>
      </c>
      <c r="E514" s="398">
        <f t="shared" si="259"/>
        <v>1</v>
      </c>
      <c r="F514" s="398">
        <f t="shared" si="260"/>
        <v>1</v>
      </c>
      <c r="G514" s="399" t="str">
        <f t="shared" si="261"/>
        <v>1 x 1 = 1</v>
      </c>
      <c r="H514" s="106" t="s">
        <v>643</v>
      </c>
      <c r="I514" s="577" t="s">
        <v>393</v>
      </c>
      <c r="J514" s="577" t="s">
        <v>394</v>
      </c>
      <c r="K514" s="418">
        <f t="shared" si="262"/>
        <v>1</v>
      </c>
      <c r="L514" s="419" t="str">
        <f t="shared" si="263"/>
        <v>Pembimbing Utama Laporan akhir studi</v>
      </c>
      <c r="M514" s="116"/>
    </row>
    <row r="515" spans="1:14" ht="15.75" customHeight="1" x14ac:dyDescent="0.2">
      <c r="A515" s="578">
        <v>3</v>
      </c>
      <c r="B515" s="610" t="s">
        <v>644</v>
      </c>
      <c r="C515" s="578" t="s">
        <v>334</v>
      </c>
      <c r="D515" s="106" t="str">
        <f t="shared" si="258"/>
        <v>Lulusan</v>
      </c>
      <c r="E515" s="398">
        <f t="shared" si="259"/>
        <v>1</v>
      </c>
      <c r="F515" s="398">
        <f t="shared" si="260"/>
        <v>1</v>
      </c>
      <c r="G515" s="399" t="str">
        <f t="shared" si="261"/>
        <v>1 x 1 = 1</v>
      </c>
      <c r="H515" s="106" t="s">
        <v>645</v>
      </c>
      <c r="I515" s="577" t="s">
        <v>393</v>
      </c>
      <c r="J515" s="577" t="s">
        <v>394</v>
      </c>
      <c r="K515" s="418">
        <f t="shared" si="262"/>
        <v>1</v>
      </c>
      <c r="L515" s="419" t="str">
        <f t="shared" si="263"/>
        <v>Pembimbing Utama Laporan akhir studi</v>
      </c>
      <c r="M515" s="116"/>
    </row>
    <row r="516" spans="1:14" ht="15.75" customHeight="1" x14ac:dyDescent="0.2">
      <c r="A516" s="578">
        <v>4</v>
      </c>
      <c r="B516" s="610" t="s">
        <v>646</v>
      </c>
      <c r="C516" s="578" t="s">
        <v>334</v>
      </c>
      <c r="D516" s="106" t="str">
        <f t="shared" si="258"/>
        <v>Lulusan</v>
      </c>
      <c r="E516" s="398">
        <f t="shared" si="259"/>
        <v>1</v>
      </c>
      <c r="F516" s="398">
        <f t="shared" si="260"/>
        <v>1</v>
      </c>
      <c r="G516" s="399" t="str">
        <f t="shared" si="261"/>
        <v>1 x 1 = 1</v>
      </c>
      <c r="H516" s="106" t="s">
        <v>647</v>
      </c>
      <c r="I516" s="577" t="s">
        <v>393</v>
      </c>
      <c r="J516" s="577" t="s">
        <v>394</v>
      </c>
      <c r="K516" s="418">
        <f t="shared" si="262"/>
        <v>1</v>
      </c>
      <c r="L516" s="419" t="str">
        <f t="shared" si="263"/>
        <v>Pembimbing Utama Laporan akhir studi</v>
      </c>
      <c r="M516" s="116"/>
    </row>
    <row r="517" spans="1:14" ht="15.75" customHeight="1" x14ac:dyDescent="0.2">
      <c r="A517" s="109">
        <v>5</v>
      </c>
      <c r="B517" s="397" t="s">
        <v>399</v>
      </c>
      <c r="C517" s="578" t="s">
        <v>334</v>
      </c>
      <c r="D517" s="106" t="str">
        <f t="shared" si="258"/>
        <v/>
      </c>
      <c r="E517" s="398" t="str">
        <f t="shared" si="259"/>
        <v/>
      </c>
      <c r="F517" s="398" t="str">
        <f t="shared" si="260"/>
        <v/>
      </c>
      <c r="G517" s="399" t="str">
        <f t="shared" si="261"/>
        <v>rumus</v>
      </c>
      <c r="H517" s="114" t="s">
        <v>26</v>
      </c>
      <c r="I517" s="417"/>
      <c r="J517" s="417"/>
      <c r="K517" s="418" t="str">
        <f t="shared" si="262"/>
        <v>rumus</v>
      </c>
      <c r="L517" s="419" t="str">
        <f t="shared" si="263"/>
        <v xml:space="preserve"> </v>
      </c>
      <c r="M517" s="116"/>
    </row>
    <row r="518" spans="1:14" ht="15.75" customHeight="1" x14ac:dyDescent="0.2">
      <c r="A518" s="109">
        <v>6</v>
      </c>
      <c r="B518" s="397" t="s">
        <v>399</v>
      </c>
      <c r="C518" s="578" t="s">
        <v>334</v>
      </c>
      <c r="D518" s="106" t="str">
        <f t="shared" si="258"/>
        <v/>
      </c>
      <c r="E518" s="398" t="str">
        <f t="shared" si="259"/>
        <v/>
      </c>
      <c r="F518" s="398" t="str">
        <f t="shared" si="260"/>
        <v/>
      </c>
      <c r="G518" s="399" t="str">
        <f t="shared" si="261"/>
        <v>rumus</v>
      </c>
      <c r="H518" s="114" t="s">
        <v>26</v>
      </c>
      <c r="I518" s="417"/>
      <c r="J518" s="417"/>
      <c r="K518" s="418" t="str">
        <f t="shared" si="262"/>
        <v>rumus</v>
      </c>
      <c r="L518" s="419" t="str">
        <f t="shared" si="263"/>
        <v xml:space="preserve"> </v>
      </c>
      <c r="M518" s="116"/>
    </row>
    <row r="519" spans="1:14" ht="15.75" customHeight="1" x14ac:dyDescent="0.2">
      <c r="A519" s="109">
        <v>7</v>
      </c>
      <c r="B519" s="397" t="s">
        <v>399</v>
      </c>
      <c r="C519" s="578" t="s">
        <v>334</v>
      </c>
      <c r="D519" s="106" t="str">
        <f t="shared" si="258"/>
        <v/>
      </c>
      <c r="E519" s="398" t="str">
        <f t="shared" si="259"/>
        <v/>
      </c>
      <c r="F519" s="398" t="str">
        <f t="shared" si="260"/>
        <v/>
      </c>
      <c r="G519" s="399" t="str">
        <f t="shared" si="261"/>
        <v>rumus</v>
      </c>
      <c r="H519" s="114" t="s">
        <v>26</v>
      </c>
      <c r="I519" s="417"/>
      <c r="J519" s="417"/>
      <c r="K519" s="418" t="str">
        <f t="shared" si="262"/>
        <v>rumus</v>
      </c>
      <c r="L519" s="419" t="str">
        <f t="shared" si="263"/>
        <v xml:space="preserve"> </v>
      </c>
      <c r="M519" s="116"/>
    </row>
    <row r="520" spans="1:14" ht="15.75" customHeight="1" x14ac:dyDescent="0.2">
      <c r="A520" s="109">
        <v>8</v>
      </c>
      <c r="B520" s="397" t="s">
        <v>399</v>
      </c>
      <c r="C520" s="578" t="s">
        <v>334</v>
      </c>
      <c r="D520" s="106" t="str">
        <f t="shared" si="258"/>
        <v/>
      </c>
      <c r="E520" s="398" t="str">
        <f t="shared" si="259"/>
        <v/>
      </c>
      <c r="F520" s="398" t="str">
        <f t="shared" si="260"/>
        <v/>
      </c>
      <c r="G520" s="399" t="str">
        <f t="shared" si="261"/>
        <v>rumus</v>
      </c>
      <c r="H520" s="114" t="s">
        <v>26</v>
      </c>
      <c r="I520" s="417"/>
      <c r="J520" s="417"/>
      <c r="K520" s="418" t="str">
        <f t="shared" si="262"/>
        <v>rumus</v>
      </c>
      <c r="L520" s="419" t="str">
        <f t="shared" si="263"/>
        <v xml:space="preserve"> </v>
      </c>
      <c r="M520" s="116"/>
    </row>
    <row r="521" spans="1:14" ht="15.75" customHeight="1" x14ac:dyDescent="0.2">
      <c r="A521" s="109">
        <v>9</v>
      </c>
      <c r="B521" s="397" t="s">
        <v>399</v>
      </c>
      <c r="C521" s="578" t="s">
        <v>334</v>
      </c>
      <c r="D521" s="106" t="str">
        <f t="shared" si="258"/>
        <v/>
      </c>
      <c r="E521" s="398" t="str">
        <f t="shared" si="259"/>
        <v/>
      </c>
      <c r="F521" s="398" t="str">
        <f t="shared" si="260"/>
        <v/>
      </c>
      <c r="G521" s="399" t="str">
        <f t="shared" si="261"/>
        <v>rumus</v>
      </c>
      <c r="H521" s="114" t="s">
        <v>26</v>
      </c>
      <c r="I521" s="417"/>
      <c r="J521" s="417"/>
      <c r="K521" s="418" t="str">
        <f t="shared" si="262"/>
        <v>rumus</v>
      </c>
      <c r="L521" s="419" t="str">
        <f t="shared" si="263"/>
        <v xml:space="preserve"> </v>
      </c>
      <c r="M521" s="116"/>
    </row>
    <row r="522" spans="1:14" ht="15" customHeight="1" x14ac:dyDescent="0.2">
      <c r="A522" s="109">
        <v>10</v>
      </c>
      <c r="B522" s="397" t="s">
        <v>399</v>
      </c>
      <c r="C522" s="578" t="s">
        <v>334</v>
      </c>
      <c r="D522" s="106" t="str">
        <f t="shared" si="258"/>
        <v/>
      </c>
      <c r="E522" s="398" t="str">
        <f t="shared" si="259"/>
        <v/>
      </c>
      <c r="F522" s="398" t="str">
        <f t="shared" si="260"/>
        <v/>
      </c>
      <c r="G522" s="399" t="str">
        <f t="shared" si="261"/>
        <v>rumus</v>
      </c>
      <c r="H522" s="114" t="s">
        <v>26</v>
      </c>
      <c r="I522" s="417"/>
      <c r="J522" s="417"/>
      <c r="K522" s="418" t="str">
        <f t="shared" si="262"/>
        <v>rumus</v>
      </c>
      <c r="L522" s="419" t="str">
        <f t="shared" si="263"/>
        <v xml:space="preserve"> </v>
      </c>
      <c r="M522" s="116"/>
    </row>
    <row r="523" spans="1:14" ht="15.75" customHeight="1" x14ac:dyDescent="0.2">
      <c r="A523" s="109"/>
      <c r="B523" s="406" t="str">
        <f>"b. Semester Genap "&amp;IF(C524&lt;&gt;"",C524,"")&amp;" :"</f>
        <v>b. Semester Genap 2020/2021 :</v>
      </c>
      <c r="C523" s="407"/>
      <c r="D523" s="407"/>
      <c r="E523" s="407"/>
      <c r="F523" s="407"/>
      <c r="G523" s="407"/>
      <c r="H523" s="408"/>
      <c r="I523" s="116"/>
      <c r="M523" s="118">
        <f>IF(IF((COUNTIF(L513:L522,"Pembimbing Utama Laporan akhir studi"))&lt;=10,(SUMIF(L513:L522,"Pembimbing Utama Laporan akhir studi",K513:K522)),1*10)+IF((COUNTIF(L513:L522,"Pembimbing Pendamping Laporan akhir studi"))&lt;=10,(SUMIF(L513:L522,"Pembimbing Pendamping Laporan akhir studi",K513:K522)),0.5*10)+IF((COUNTIF(L513:L522,"Pembimbing Utama Skripsi"))&lt;=8,(SUMIF(L513:L522,"Pembimbing Utama Skripsi",K513:K522)),1*8)+IF((COUNTIF(L513:L522,"Pembimbing Pendamping Skripsi"))&lt;=8,(SUMIF(L513:L522,"Pembimbing Pendamping Skripsi",K513:K522)),1*8)+IF((COUNTIF(L513:L522,"Pembimbing Utama Tesis"))&lt;=6,(SUMIF(L513:L522,"Pembimbing Utama Tesis",K513:K522)),3*6)+IF((COUNTIF(L513:L522,"Pembimbing Pendamping Tesis"))&lt;=6,(SUMIF(L513:L522,"Pembimbing Pendamping Tesis",K513:K522)),2*6)+IF((COUNTIF(L513:L522,"Pembimbing Utama Disertasi"))&lt;=4,(SUMIF(L513:L522,"Pembimbing Utama Disertasi",K513:K522)),8*4)+IF((COUNTIF(L513:L522,"Pembimbing Pendamping Disertasi"))&lt;=4,(SUMIF(L513:L522,"Pembimbing Pendamping Disertasi",K513:K522)),6*4)&lt;=32,IF((COUNTIF(L513:L522,"Pembimbing Utama Laporan akhir studi"))&lt;=10,(SUMIF(L513:L522,"Pembimbing Utama Laporan akhir studi",K513:K522)),1*10)+IF((COUNTIF(L513:L522,"Pembimbing Pendamping Laporan akhir studi"))&lt;=10,(SUMIF(L513:L522,"Pembimbing Pendamping Laporan akhir studi",K513:K522)),0.5*10)+IF((COUNTIF(L513:L522,"Pembimbing Utama Skripsi"))&lt;=8,(SUMIF(L513:L522,"Pembimbing Utama Skripsi",K513:K522)),1*8)+IF((COUNTIF(L513:L522,"Pembimbing Pendamping Skripsi"))&lt;=8,(SUMIF(L513:L522,"Pembimbing Pendamping Skripsi",K513:K522)),1*8)+IF((COUNTIF(L513:L522,"Pembimbing Utama Tesis"))&lt;=6,(SUMIF(L513:L522,"Pembimbing Utama Tesis",K513:K522)),3*6)+IF((COUNTIF(L513:L522,"Pembimbing Pendamping Tesis"))&lt;=6,(SUMIF(L513:L522,"Pembimbing Pendamping Tesis",K513:K522)),2*6)+IF((COUNTIF(L513:L522,"Pembimbing Utama Disertasi"))&lt;=4,(SUMIF(L513:L522,"Pembimbing Utama Disertasi",K513:K522)),8*4)+IF((COUNTIF(L513:L522,"Pembimbing Pendamping Disertasi"))&lt;=4,(SUMIF(L513:L522,"Pembimbing Pendamping Disertasi",K513:K522)),6*4),32)</f>
        <v>4</v>
      </c>
      <c r="N523" s="103" t="str">
        <f>"Max 32"</f>
        <v>Max 32</v>
      </c>
    </row>
    <row r="524" spans="1:14" ht="15.75" customHeight="1" x14ac:dyDescent="0.2">
      <c r="A524" s="576">
        <v>1</v>
      </c>
      <c r="B524" s="609" t="s">
        <v>648</v>
      </c>
      <c r="C524" s="576" t="s">
        <v>337</v>
      </c>
      <c r="D524" s="106" t="str">
        <f t="shared" ref="D524:D533" si="264">IF(G524&lt;&gt;"rumus","Lulusan","")</f>
        <v>Lulusan</v>
      </c>
      <c r="E524" s="398">
        <f t="shared" ref="E524:E533" si="265">IF(I524&lt;&gt;"",1,"")</f>
        <v>1</v>
      </c>
      <c r="F524" s="398">
        <f t="shared" ref="F524:F533" si="266">IF(I524&lt;&gt;"",K524,"")</f>
        <v>1</v>
      </c>
      <c r="G524" s="399" t="str">
        <f t="shared" ref="G524:G533" si="267">IF(K524&lt;&gt;"rumus","1 x "&amp;K524&amp;" = "&amp;K524,"rumus")</f>
        <v>1 x 1 = 1</v>
      </c>
      <c r="H524" s="106" t="s">
        <v>649</v>
      </c>
      <c r="I524" s="577" t="s">
        <v>393</v>
      </c>
      <c r="J524" s="577" t="s">
        <v>394</v>
      </c>
      <c r="K524" s="418">
        <f t="shared" ref="K524:K533" si="268">IF(AND(I524&lt;&gt;"",J524&lt;&gt;""),IF(I524="Pembimbing Utama",IF(J524="Disertasi",8,IF(J524="Tesis",3,IF(J524="Skripsi",1,IF(J524="Laporan akhir studi",1,"")))),IF(I524="Pembimbing Pendamping",IF(J524="Disertasi",6,IF(J524="Tesis",2,IF(J524="Skripsi",0.5,IF(J524="Laporan akhir studi",0.5,"")))))),"rumus")</f>
        <v>1</v>
      </c>
      <c r="L524" s="419" t="str">
        <f t="shared" ref="L524:L533" si="269">I524&amp;" "&amp;J524</f>
        <v>Pembimbing Utama Laporan akhir studi</v>
      </c>
      <c r="M524" s="116"/>
    </row>
    <row r="525" spans="1:14" ht="15.75" customHeight="1" x14ac:dyDescent="0.2">
      <c r="A525" s="578">
        <v>2</v>
      </c>
      <c r="B525" s="610" t="s">
        <v>650</v>
      </c>
      <c r="C525" s="578" t="s">
        <v>337</v>
      </c>
      <c r="D525" s="106" t="str">
        <f t="shared" si="264"/>
        <v>Lulusan</v>
      </c>
      <c r="E525" s="398">
        <f t="shared" si="265"/>
        <v>1</v>
      </c>
      <c r="F525" s="398">
        <f t="shared" si="266"/>
        <v>1</v>
      </c>
      <c r="G525" s="399" t="str">
        <f t="shared" si="267"/>
        <v>1 x 1 = 1</v>
      </c>
      <c r="H525" s="106" t="s">
        <v>651</v>
      </c>
      <c r="I525" s="577" t="s">
        <v>393</v>
      </c>
      <c r="J525" s="577" t="s">
        <v>394</v>
      </c>
      <c r="K525" s="418">
        <f t="shared" si="268"/>
        <v>1</v>
      </c>
      <c r="L525" s="419" t="str">
        <f t="shared" si="269"/>
        <v>Pembimbing Utama Laporan akhir studi</v>
      </c>
      <c r="M525" s="116"/>
    </row>
    <row r="526" spans="1:14" ht="15.75" customHeight="1" x14ac:dyDescent="0.2">
      <c r="A526" s="578">
        <v>3</v>
      </c>
      <c r="B526" s="610" t="s">
        <v>652</v>
      </c>
      <c r="C526" s="578" t="s">
        <v>337</v>
      </c>
      <c r="D526" s="106" t="str">
        <f t="shared" si="264"/>
        <v>Lulusan</v>
      </c>
      <c r="E526" s="398">
        <f t="shared" si="265"/>
        <v>1</v>
      </c>
      <c r="F526" s="398">
        <f t="shared" si="266"/>
        <v>1</v>
      </c>
      <c r="G526" s="399" t="str">
        <f t="shared" si="267"/>
        <v>1 x 1 = 1</v>
      </c>
      <c r="H526" s="106" t="s">
        <v>653</v>
      </c>
      <c r="I526" s="577" t="s">
        <v>393</v>
      </c>
      <c r="J526" s="577" t="s">
        <v>394</v>
      </c>
      <c r="K526" s="418">
        <f t="shared" si="268"/>
        <v>1</v>
      </c>
      <c r="L526" s="419" t="str">
        <f t="shared" si="269"/>
        <v>Pembimbing Utama Laporan akhir studi</v>
      </c>
      <c r="M526" s="116"/>
    </row>
    <row r="527" spans="1:14" ht="15.75" customHeight="1" x14ac:dyDescent="0.2">
      <c r="A527" s="578">
        <v>4</v>
      </c>
      <c r="B527" s="610" t="s">
        <v>654</v>
      </c>
      <c r="C527" s="578" t="s">
        <v>337</v>
      </c>
      <c r="D527" s="106" t="str">
        <f t="shared" si="264"/>
        <v>Lulusan</v>
      </c>
      <c r="E527" s="398">
        <f t="shared" si="265"/>
        <v>1</v>
      </c>
      <c r="F527" s="398">
        <f t="shared" si="266"/>
        <v>1</v>
      </c>
      <c r="G527" s="399" t="str">
        <f t="shared" si="267"/>
        <v>1 x 1 = 1</v>
      </c>
      <c r="H527" s="106" t="s">
        <v>655</v>
      </c>
      <c r="I527" s="577" t="s">
        <v>393</v>
      </c>
      <c r="J527" s="577" t="s">
        <v>394</v>
      </c>
      <c r="K527" s="418">
        <f t="shared" si="268"/>
        <v>1</v>
      </c>
      <c r="L527" s="419" t="str">
        <f t="shared" si="269"/>
        <v>Pembimbing Utama Laporan akhir studi</v>
      </c>
      <c r="M527" s="116"/>
    </row>
    <row r="528" spans="1:14" ht="15.75" customHeight="1" x14ac:dyDescent="0.2">
      <c r="A528" s="109">
        <v>5</v>
      </c>
      <c r="B528" s="397" t="s">
        <v>399</v>
      </c>
      <c r="C528" s="578" t="s">
        <v>337</v>
      </c>
      <c r="D528" s="106" t="str">
        <f t="shared" si="264"/>
        <v/>
      </c>
      <c r="E528" s="398" t="str">
        <f t="shared" si="265"/>
        <v/>
      </c>
      <c r="F528" s="398" t="str">
        <f t="shared" si="266"/>
        <v/>
      </c>
      <c r="G528" s="399" t="str">
        <f t="shared" si="267"/>
        <v>rumus</v>
      </c>
      <c r="H528" s="114" t="s">
        <v>26</v>
      </c>
      <c r="I528" s="417"/>
      <c r="J528" s="417"/>
      <c r="K528" s="418" t="str">
        <f t="shared" si="268"/>
        <v>rumus</v>
      </c>
      <c r="L528" s="419" t="str">
        <f t="shared" si="269"/>
        <v xml:space="preserve"> </v>
      </c>
      <c r="M528" s="116"/>
    </row>
    <row r="529" spans="1:14" ht="15.75" customHeight="1" x14ac:dyDescent="0.2">
      <c r="A529" s="109">
        <v>6</v>
      </c>
      <c r="B529" s="397" t="s">
        <v>399</v>
      </c>
      <c r="C529" s="578" t="s">
        <v>337</v>
      </c>
      <c r="D529" s="106" t="str">
        <f t="shared" si="264"/>
        <v/>
      </c>
      <c r="E529" s="398" t="str">
        <f t="shared" si="265"/>
        <v/>
      </c>
      <c r="F529" s="398" t="str">
        <f t="shared" si="266"/>
        <v/>
      </c>
      <c r="G529" s="399" t="str">
        <f t="shared" si="267"/>
        <v>rumus</v>
      </c>
      <c r="H529" s="114" t="s">
        <v>26</v>
      </c>
      <c r="I529" s="417"/>
      <c r="J529" s="417"/>
      <c r="K529" s="418" t="str">
        <f t="shared" si="268"/>
        <v>rumus</v>
      </c>
      <c r="L529" s="419" t="str">
        <f t="shared" si="269"/>
        <v xml:space="preserve"> </v>
      </c>
      <c r="M529" s="116"/>
    </row>
    <row r="530" spans="1:14" ht="15" customHeight="1" x14ac:dyDescent="0.2">
      <c r="A530" s="109">
        <v>7</v>
      </c>
      <c r="B530" s="397" t="s">
        <v>399</v>
      </c>
      <c r="C530" s="578" t="s">
        <v>337</v>
      </c>
      <c r="D530" s="106" t="str">
        <f t="shared" si="264"/>
        <v/>
      </c>
      <c r="E530" s="398" t="str">
        <f t="shared" si="265"/>
        <v/>
      </c>
      <c r="F530" s="398" t="str">
        <f t="shared" si="266"/>
        <v/>
      </c>
      <c r="G530" s="399" t="str">
        <f t="shared" si="267"/>
        <v>rumus</v>
      </c>
      <c r="H530" s="114" t="s">
        <v>26</v>
      </c>
      <c r="I530" s="417"/>
      <c r="J530" s="417"/>
      <c r="K530" s="418" t="str">
        <f t="shared" si="268"/>
        <v>rumus</v>
      </c>
      <c r="L530" s="419" t="str">
        <f t="shared" si="269"/>
        <v xml:space="preserve"> </v>
      </c>
      <c r="M530" s="116"/>
    </row>
    <row r="531" spans="1:14" ht="15" customHeight="1" x14ac:dyDescent="0.2">
      <c r="A531" s="109">
        <v>8</v>
      </c>
      <c r="B531" s="397" t="s">
        <v>399</v>
      </c>
      <c r="C531" s="578" t="s">
        <v>337</v>
      </c>
      <c r="D531" s="106" t="str">
        <f t="shared" si="264"/>
        <v/>
      </c>
      <c r="E531" s="398" t="str">
        <f t="shared" si="265"/>
        <v/>
      </c>
      <c r="F531" s="398" t="str">
        <f t="shared" si="266"/>
        <v/>
      </c>
      <c r="G531" s="399" t="str">
        <f t="shared" si="267"/>
        <v>rumus</v>
      </c>
      <c r="H531" s="114" t="s">
        <v>26</v>
      </c>
      <c r="I531" s="417"/>
      <c r="J531" s="417"/>
      <c r="K531" s="418" t="str">
        <f t="shared" si="268"/>
        <v>rumus</v>
      </c>
      <c r="L531" s="419" t="str">
        <f t="shared" si="269"/>
        <v xml:space="preserve"> </v>
      </c>
      <c r="M531" s="116"/>
    </row>
    <row r="532" spans="1:14" ht="15" customHeight="1" x14ac:dyDescent="0.2">
      <c r="A532" s="109">
        <v>9</v>
      </c>
      <c r="B532" s="397" t="s">
        <v>399</v>
      </c>
      <c r="C532" s="578" t="s">
        <v>337</v>
      </c>
      <c r="D532" s="106" t="str">
        <f t="shared" si="264"/>
        <v/>
      </c>
      <c r="E532" s="398" t="str">
        <f t="shared" si="265"/>
        <v/>
      </c>
      <c r="F532" s="398" t="str">
        <f t="shared" si="266"/>
        <v/>
      </c>
      <c r="G532" s="399" t="str">
        <f t="shared" si="267"/>
        <v>rumus</v>
      </c>
      <c r="H532" s="114" t="s">
        <v>26</v>
      </c>
      <c r="I532" s="417"/>
      <c r="J532" s="417"/>
      <c r="K532" s="418" t="str">
        <f t="shared" si="268"/>
        <v>rumus</v>
      </c>
      <c r="L532" s="419" t="str">
        <f t="shared" si="269"/>
        <v xml:space="preserve"> </v>
      </c>
      <c r="M532" s="116"/>
    </row>
    <row r="533" spans="1:14" ht="15" customHeight="1" x14ac:dyDescent="0.2">
      <c r="A533" s="109">
        <v>10</v>
      </c>
      <c r="B533" s="397" t="s">
        <v>399</v>
      </c>
      <c r="C533" s="578" t="s">
        <v>337</v>
      </c>
      <c r="D533" s="106" t="str">
        <f t="shared" si="264"/>
        <v/>
      </c>
      <c r="E533" s="398" t="str">
        <f t="shared" si="265"/>
        <v/>
      </c>
      <c r="F533" s="398" t="str">
        <f t="shared" si="266"/>
        <v/>
      </c>
      <c r="G533" s="399" t="str">
        <f t="shared" si="267"/>
        <v>rumus</v>
      </c>
      <c r="H533" s="114" t="s">
        <v>26</v>
      </c>
      <c r="I533" s="417"/>
      <c r="J533" s="417"/>
      <c r="K533" s="418" t="str">
        <f t="shared" si="268"/>
        <v>rumus</v>
      </c>
      <c r="L533" s="419" t="str">
        <f t="shared" si="269"/>
        <v xml:space="preserve"> </v>
      </c>
      <c r="M533" s="116"/>
    </row>
    <row r="534" spans="1:14" ht="15.75" customHeight="1" x14ac:dyDescent="0.2">
      <c r="A534" s="109"/>
      <c r="B534" s="406" t="str">
        <f>"b. Semester Genap "&amp;IF(C535&lt;&gt;"",C535,"")&amp;" :"</f>
        <v>b. Semester Genap 2021/2022 :</v>
      </c>
      <c r="C534" s="407"/>
      <c r="D534" s="407"/>
      <c r="E534" s="407"/>
      <c r="F534" s="407"/>
      <c r="G534" s="407"/>
      <c r="H534" s="408"/>
      <c r="I534" s="116"/>
      <c r="M534" s="118">
        <f>IF(IF((COUNTIF(L524:L533,"Pembimbing Utama Laporan akhir studi"))&lt;=10,(SUMIF(L524:L533,"Pembimbing Utama Laporan akhir studi",K524:K533)),1*10)+IF((COUNTIF(L524:L533,"Pembimbing Pendamping Laporan akhir studi"))&lt;=10,(SUMIF(L524:L533,"Pembimbing Pendamping Laporan akhir studi",K524:K533)),0.5*10)+IF((COUNTIF(L524:L533,"Pembimbing Utama Skripsi"))&lt;=8,(SUMIF(L524:L533,"Pembimbing Utama Skripsi",K524:K533)),1*8)+IF((COUNTIF(L524:L533,"Pembimbing Pendamping Skripsi"))&lt;=8,(SUMIF(L524:L533,"Pembimbing Pendamping Skripsi",K524:K533)),1*8)+IF((COUNTIF(L524:L533,"Pembimbing Utama Tesis"))&lt;=6,(SUMIF(L524:L533,"Pembimbing Utama Tesis",K524:K533)),3*6)+IF((COUNTIF(L524:L533,"Pembimbing Pendamping Tesis"))&lt;=6,(SUMIF(L524:L533,"Pembimbing Pendamping Tesis",K524:K533)),2*6)+IF((COUNTIF(L524:L533,"Pembimbing Utama Disertasi"))&lt;=4,(SUMIF(L524:L533,"Pembimbing Utama Disertasi",K524:K533)),8*4)+IF((COUNTIF(L524:L533,"Pembimbing Pendamping Disertasi"))&lt;=4,(SUMIF(L524:L533,"Pembimbing Pendamping Disertasi",K524:K533)),6*4)&lt;=32,IF((COUNTIF(L524:L533,"Pembimbing Utama Laporan akhir studi"))&lt;=10,(SUMIF(L524:L533,"Pembimbing Utama Laporan akhir studi",K524:K533)),1*10)+IF((COUNTIF(L524:L533,"Pembimbing Pendamping Laporan akhir studi"))&lt;=10,(SUMIF(L524:L533,"Pembimbing Pendamping Laporan akhir studi",K524:K533)),0.5*10)+IF((COUNTIF(L524:L533,"Pembimbing Utama Skripsi"))&lt;=8,(SUMIF(L524:L533,"Pembimbing Utama Skripsi",K524:K533)),1*8)+IF((COUNTIF(L524:L533,"Pembimbing Pendamping Skripsi"))&lt;=8,(SUMIF(L524:L533,"Pembimbing Pendamping Skripsi",K524:K533)),1*8)+IF((COUNTIF(L524:L533,"Pembimbing Utama Tesis"))&lt;=6,(SUMIF(L524:L533,"Pembimbing Utama Tesis",K524:K533)),3*6)+IF((COUNTIF(L524:L533,"Pembimbing Pendamping Tesis"))&lt;=6,(SUMIF(L524:L533,"Pembimbing Pendamping Tesis",K524:K533)),2*6)+IF((COUNTIF(L524:L533,"Pembimbing Utama Disertasi"))&lt;=4,(SUMIF(L524:L533,"Pembimbing Utama Disertasi",K524:K533)),8*4)+IF((COUNTIF(L524:L533,"Pembimbing Pendamping Disertasi"))&lt;=4,(SUMIF(L524:L533,"Pembimbing Pendamping Disertasi",K524:K533)),6*4),32)</f>
        <v>4</v>
      </c>
      <c r="N534" s="103" t="str">
        <f>"Max 32"</f>
        <v>Max 32</v>
      </c>
    </row>
    <row r="535" spans="1:14" ht="15.75" customHeight="1" x14ac:dyDescent="0.2">
      <c r="A535" s="576">
        <v>1</v>
      </c>
      <c r="B535" s="609" t="s">
        <v>656</v>
      </c>
      <c r="C535" s="576" t="s">
        <v>341</v>
      </c>
      <c r="D535" s="106" t="str">
        <f t="shared" ref="D535:D544" si="270">IF(G535&lt;&gt;"rumus","Lulusan","")</f>
        <v>Lulusan</v>
      </c>
      <c r="E535" s="398">
        <f t="shared" ref="E535:E544" si="271">IF(I535&lt;&gt;"",1,"")</f>
        <v>1</v>
      </c>
      <c r="F535" s="398">
        <f t="shared" ref="F535:F544" si="272">IF(I535&lt;&gt;"",K535,"")</f>
        <v>1</v>
      </c>
      <c r="G535" s="399" t="str">
        <f t="shared" ref="G535:G544" si="273">IF(K535&lt;&gt;"rumus","1 x "&amp;K535&amp;" = "&amp;K535,"rumus")</f>
        <v>1 x 1 = 1</v>
      </c>
      <c r="H535" s="106" t="s">
        <v>657</v>
      </c>
      <c r="I535" s="577" t="s">
        <v>393</v>
      </c>
      <c r="J535" s="577" t="s">
        <v>394</v>
      </c>
      <c r="K535" s="418">
        <f t="shared" ref="K535:K544" si="274">IF(AND(I535&lt;&gt;"",J535&lt;&gt;""),IF(I535="Pembimbing Utama",IF(J535="Disertasi",8,IF(J535="Tesis",3,IF(J535="Skripsi",1,IF(J535="Laporan akhir studi",1,"")))),IF(I535="Pembimbing Pendamping",IF(J535="Disertasi",6,IF(J535="Tesis",2,IF(J535="Skripsi",0.5,IF(J535="Laporan akhir studi",0.5,"")))))),"rumus")</f>
        <v>1</v>
      </c>
      <c r="L535" s="419" t="str">
        <f t="shared" ref="L535:L544" si="275">I535&amp;" "&amp;J535</f>
        <v>Pembimbing Utama Laporan akhir studi</v>
      </c>
      <c r="M535" s="116"/>
    </row>
    <row r="536" spans="1:14" ht="15.75" customHeight="1" x14ac:dyDescent="0.2">
      <c r="A536" s="578">
        <v>2</v>
      </c>
      <c r="B536" s="610" t="s">
        <v>658</v>
      </c>
      <c r="C536" s="576" t="s">
        <v>341</v>
      </c>
      <c r="D536" s="106" t="str">
        <f t="shared" si="270"/>
        <v>Lulusan</v>
      </c>
      <c r="E536" s="398">
        <f t="shared" si="271"/>
        <v>1</v>
      </c>
      <c r="F536" s="398">
        <f t="shared" si="272"/>
        <v>1</v>
      </c>
      <c r="G536" s="399" t="str">
        <f t="shared" si="273"/>
        <v>1 x 1 = 1</v>
      </c>
      <c r="H536" s="106" t="s">
        <v>659</v>
      </c>
      <c r="I536" s="577" t="s">
        <v>393</v>
      </c>
      <c r="J536" s="577" t="s">
        <v>394</v>
      </c>
      <c r="K536" s="418">
        <f t="shared" si="274"/>
        <v>1</v>
      </c>
      <c r="L536" s="419" t="str">
        <f t="shared" si="275"/>
        <v>Pembimbing Utama Laporan akhir studi</v>
      </c>
      <c r="M536" s="116"/>
    </row>
    <row r="537" spans="1:14" ht="15.75" customHeight="1" x14ac:dyDescent="0.2">
      <c r="A537" s="578">
        <v>3</v>
      </c>
      <c r="B537" s="610" t="s">
        <v>660</v>
      </c>
      <c r="C537" s="576" t="s">
        <v>341</v>
      </c>
      <c r="D537" s="106" t="str">
        <f t="shared" si="270"/>
        <v>Lulusan</v>
      </c>
      <c r="E537" s="398">
        <f t="shared" si="271"/>
        <v>1</v>
      </c>
      <c r="F537" s="398">
        <f t="shared" si="272"/>
        <v>1</v>
      </c>
      <c r="G537" s="399" t="str">
        <f t="shared" si="273"/>
        <v>1 x 1 = 1</v>
      </c>
      <c r="H537" s="106" t="s">
        <v>661</v>
      </c>
      <c r="I537" s="577" t="s">
        <v>393</v>
      </c>
      <c r="J537" s="577" t="s">
        <v>394</v>
      </c>
      <c r="K537" s="418">
        <f t="shared" si="274"/>
        <v>1</v>
      </c>
      <c r="L537" s="419" t="str">
        <f t="shared" si="275"/>
        <v>Pembimbing Utama Laporan akhir studi</v>
      </c>
      <c r="M537" s="116"/>
    </row>
    <row r="538" spans="1:14" ht="15.75" customHeight="1" x14ac:dyDescent="0.2">
      <c r="A538" s="578">
        <v>4</v>
      </c>
      <c r="B538" s="610" t="s">
        <v>662</v>
      </c>
      <c r="C538" s="576" t="s">
        <v>341</v>
      </c>
      <c r="D538" s="106" t="str">
        <f t="shared" si="270"/>
        <v>Lulusan</v>
      </c>
      <c r="E538" s="398">
        <f t="shared" si="271"/>
        <v>1</v>
      </c>
      <c r="F538" s="398">
        <f t="shared" si="272"/>
        <v>1</v>
      </c>
      <c r="G538" s="399" t="str">
        <f t="shared" si="273"/>
        <v>1 x 1 = 1</v>
      </c>
      <c r="H538" s="106" t="s">
        <v>663</v>
      </c>
      <c r="I538" s="577" t="s">
        <v>393</v>
      </c>
      <c r="J538" s="577" t="s">
        <v>394</v>
      </c>
      <c r="K538" s="418">
        <f t="shared" si="274"/>
        <v>1</v>
      </c>
      <c r="L538" s="419" t="str">
        <f t="shared" si="275"/>
        <v>Pembimbing Utama Laporan akhir studi</v>
      </c>
      <c r="M538" s="116"/>
    </row>
    <row r="539" spans="1:14" ht="15.75" customHeight="1" x14ac:dyDescent="0.2">
      <c r="A539" s="109">
        <v>5</v>
      </c>
      <c r="B539" s="397" t="s">
        <v>399</v>
      </c>
      <c r="C539" s="576" t="s">
        <v>341</v>
      </c>
      <c r="D539" s="106" t="str">
        <f t="shared" si="270"/>
        <v/>
      </c>
      <c r="E539" s="398" t="str">
        <f t="shared" si="271"/>
        <v/>
      </c>
      <c r="F539" s="398" t="str">
        <f t="shared" si="272"/>
        <v/>
      </c>
      <c r="G539" s="399" t="str">
        <f t="shared" si="273"/>
        <v>rumus</v>
      </c>
      <c r="H539" s="114" t="s">
        <v>26</v>
      </c>
      <c r="I539" s="417"/>
      <c r="J539" s="417"/>
      <c r="K539" s="418" t="str">
        <f t="shared" si="274"/>
        <v>rumus</v>
      </c>
      <c r="L539" s="419" t="str">
        <f t="shared" si="275"/>
        <v xml:space="preserve"> </v>
      </c>
      <c r="M539" s="116"/>
    </row>
    <row r="540" spans="1:14" ht="15.75" customHeight="1" x14ac:dyDescent="0.2">
      <c r="A540" s="109">
        <v>6</v>
      </c>
      <c r="B540" s="397" t="s">
        <v>399</v>
      </c>
      <c r="C540" s="576" t="s">
        <v>341</v>
      </c>
      <c r="D540" s="106" t="str">
        <f t="shared" si="270"/>
        <v/>
      </c>
      <c r="E540" s="398" t="str">
        <f t="shared" si="271"/>
        <v/>
      </c>
      <c r="F540" s="398" t="str">
        <f t="shared" si="272"/>
        <v/>
      </c>
      <c r="G540" s="399" t="str">
        <f t="shared" si="273"/>
        <v>rumus</v>
      </c>
      <c r="H540" s="114" t="s">
        <v>26</v>
      </c>
      <c r="I540" s="417"/>
      <c r="J540" s="417"/>
      <c r="K540" s="418" t="str">
        <f t="shared" si="274"/>
        <v>rumus</v>
      </c>
      <c r="L540" s="419" t="str">
        <f t="shared" si="275"/>
        <v xml:space="preserve"> </v>
      </c>
      <c r="M540" s="116"/>
    </row>
    <row r="541" spans="1:14" ht="15" customHeight="1" x14ac:dyDescent="0.2">
      <c r="A541" s="109">
        <v>7</v>
      </c>
      <c r="B541" s="397" t="s">
        <v>399</v>
      </c>
      <c r="C541" s="576" t="s">
        <v>341</v>
      </c>
      <c r="D541" s="106" t="str">
        <f t="shared" si="270"/>
        <v/>
      </c>
      <c r="E541" s="398" t="str">
        <f t="shared" si="271"/>
        <v/>
      </c>
      <c r="F541" s="398" t="str">
        <f t="shared" si="272"/>
        <v/>
      </c>
      <c r="G541" s="399" t="str">
        <f t="shared" si="273"/>
        <v>rumus</v>
      </c>
      <c r="H541" s="114" t="s">
        <v>26</v>
      </c>
      <c r="I541" s="417"/>
      <c r="J541" s="417"/>
      <c r="K541" s="418" t="str">
        <f t="shared" si="274"/>
        <v>rumus</v>
      </c>
      <c r="L541" s="419" t="str">
        <f t="shared" si="275"/>
        <v xml:space="preserve"> </v>
      </c>
      <c r="M541" s="116"/>
    </row>
    <row r="542" spans="1:14" ht="15" customHeight="1" x14ac:dyDescent="0.2">
      <c r="A542" s="109">
        <v>8</v>
      </c>
      <c r="B542" s="397" t="s">
        <v>399</v>
      </c>
      <c r="C542" s="576" t="s">
        <v>341</v>
      </c>
      <c r="D542" s="106" t="str">
        <f t="shared" si="270"/>
        <v/>
      </c>
      <c r="E542" s="398" t="str">
        <f t="shared" si="271"/>
        <v/>
      </c>
      <c r="F542" s="398" t="str">
        <f t="shared" si="272"/>
        <v/>
      </c>
      <c r="G542" s="399" t="str">
        <f t="shared" si="273"/>
        <v>rumus</v>
      </c>
      <c r="H542" s="114" t="s">
        <v>26</v>
      </c>
      <c r="I542" s="417"/>
      <c r="J542" s="417"/>
      <c r="K542" s="418" t="str">
        <f t="shared" si="274"/>
        <v>rumus</v>
      </c>
      <c r="L542" s="419" t="str">
        <f t="shared" si="275"/>
        <v xml:space="preserve"> </v>
      </c>
      <c r="M542" s="116"/>
    </row>
    <row r="543" spans="1:14" ht="15" customHeight="1" x14ac:dyDescent="0.2">
      <c r="A543" s="109">
        <v>9</v>
      </c>
      <c r="B543" s="397" t="s">
        <v>399</v>
      </c>
      <c r="C543" s="576" t="s">
        <v>341</v>
      </c>
      <c r="D543" s="106" t="str">
        <f t="shared" si="270"/>
        <v/>
      </c>
      <c r="E543" s="398" t="str">
        <f t="shared" si="271"/>
        <v/>
      </c>
      <c r="F543" s="398" t="str">
        <f t="shared" si="272"/>
        <v/>
      </c>
      <c r="G543" s="399" t="str">
        <f t="shared" si="273"/>
        <v>rumus</v>
      </c>
      <c r="H543" s="114" t="s">
        <v>26</v>
      </c>
      <c r="I543" s="417"/>
      <c r="J543" s="417"/>
      <c r="K543" s="418" t="str">
        <f t="shared" si="274"/>
        <v>rumus</v>
      </c>
      <c r="L543" s="419" t="str">
        <f t="shared" si="275"/>
        <v xml:space="preserve"> </v>
      </c>
      <c r="M543" s="116"/>
    </row>
    <row r="544" spans="1:14" ht="15" customHeight="1" x14ac:dyDescent="0.2">
      <c r="A544" s="109">
        <v>10</v>
      </c>
      <c r="B544" s="397" t="s">
        <v>399</v>
      </c>
      <c r="C544" s="576" t="s">
        <v>341</v>
      </c>
      <c r="D544" s="106" t="str">
        <f t="shared" si="270"/>
        <v/>
      </c>
      <c r="E544" s="398" t="str">
        <f t="shared" si="271"/>
        <v/>
      </c>
      <c r="F544" s="398" t="str">
        <f t="shared" si="272"/>
        <v/>
      </c>
      <c r="G544" s="399" t="str">
        <f t="shared" si="273"/>
        <v>rumus</v>
      </c>
      <c r="H544" s="114" t="s">
        <v>26</v>
      </c>
      <c r="I544" s="417"/>
      <c r="J544" s="417"/>
      <c r="K544" s="418" t="str">
        <f t="shared" si="274"/>
        <v>rumus</v>
      </c>
      <c r="L544" s="419" t="str">
        <f t="shared" si="275"/>
        <v xml:space="preserve"> </v>
      </c>
      <c r="M544" s="116"/>
    </row>
    <row r="545" spans="1:14" ht="15.75" customHeight="1" x14ac:dyDescent="0.2">
      <c r="A545" s="109"/>
      <c r="B545" s="406" t="str">
        <f>"b. Semester Genap "&amp;IF(C546&lt;&gt;"",C546,"")&amp;" :"</f>
        <v>b. Semester Genap 2017/2018 :</v>
      </c>
      <c r="C545" s="407"/>
      <c r="D545" s="407"/>
      <c r="E545" s="407"/>
      <c r="F545" s="407"/>
      <c r="G545" s="407"/>
      <c r="H545" s="408"/>
      <c r="I545" s="116"/>
      <c r="M545" s="118">
        <f>IF(IF((COUNTIF(L535:L544,"Pembimbing Utama Laporan akhir studi"))&lt;=10,(SUMIF(L535:L544,"Pembimbing Utama Laporan akhir studi",K535:K544)),1*10)+IF((COUNTIF(L535:L544,"Pembimbing Pendamping Laporan akhir studi"))&lt;=10,(SUMIF(L535:L544,"Pembimbing Pendamping Laporan akhir studi",K535:K544)),0.5*10)+IF((COUNTIF(L535:L544,"Pembimbing Utama Skripsi"))&lt;=8,(SUMIF(L535:L544,"Pembimbing Utama Skripsi",K535:K544)),1*8)+IF((COUNTIF(L535:L544,"Pembimbing Pendamping Skripsi"))&lt;=8,(SUMIF(L535:L544,"Pembimbing Pendamping Skripsi",K535:K544)),1*8)+IF((COUNTIF(L535:L544,"Pembimbing Utama Tesis"))&lt;=6,(SUMIF(L535:L544,"Pembimbing Utama Tesis",K535:K544)),3*6)+IF((COUNTIF(L535:L544,"Pembimbing Pendamping Tesis"))&lt;=6,(SUMIF(L535:L544,"Pembimbing Pendamping Tesis",K535:K544)),2*6)+IF((COUNTIF(L535:L544,"Pembimbing Utama Disertasi"))&lt;=4,(SUMIF(L535:L544,"Pembimbing Utama Disertasi",K535:K544)),8*4)+IF((COUNTIF(L535:L544,"Pembimbing Pendamping Disertasi"))&lt;=4,(SUMIF(L535:L544,"Pembimbing Pendamping Disertasi",K535:K544)),6*4)&lt;=32,IF((COUNTIF(L535:L544,"Pembimbing Utama Laporan akhir studi"))&lt;=10,(SUMIF(L535:L544,"Pembimbing Utama Laporan akhir studi",K535:K544)),1*10)+IF((COUNTIF(L535:L544,"Pembimbing Pendamping Laporan akhir studi"))&lt;=10,(SUMIF(L535:L544,"Pembimbing Pendamping Laporan akhir studi",K535:K544)),0.5*10)+IF((COUNTIF(L535:L544,"Pembimbing Utama Skripsi"))&lt;=8,(SUMIF(L535:L544,"Pembimbing Utama Skripsi",K535:K544)),1*8)+IF((COUNTIF(L535:L544,"Pembimbing Pendamping Skripsi"))&lt;=8,(SUMIF(L535:L544,"Pembimbing Pendamping Skripsi",K535:K544)),1*8)+IF((COUNTIF(L535:L544,"Pembimbing Utama Tesis"))&lt;=6,(SUMIF(L535:L544,"Pembimbing Utama Tesis",K535:K544)),3*6)+IF((COUNTIF(L535:L544,"Pembimbing Pendamping Tesis"))&lt;=6,(SUMIF(L535:L544,"Pembimbing Pendamping Tesis",K535:K544)),2*6)+IF((COUNTIF(L535:L544,"Pembimbing Utama Disertasi"))&lt;=4,(SUMIF(L535:L544,"Pembimbing Utama Disertasi",K535:K544)),8*4)+IF((COUNTIF(L535:L544,"Pembimbing Pendamping Disertasi"))&lt;=4,(SUMIF(L535:L544,"Pembimbing Pendamping Disertasi",K535:K544)),6*4),32)</f>
        <v>4</v>
      </c>
      <c r="N545" s="103" t="str">
        <f>"Max 32"</f>
        <v>Max 32</v>
      </c>
    </row>
    <row r="546" spans="1:14" ht="15.75" customHeight="1" x14ac:dyDescent="0.2">
      <c r="A546" s="109">
        <v>1</v>
      </c>
      <c r="B546" s="397" t="s">
        <v>399</v>
      </c>
      <c r="C546" s="106" t="s">
        <v>327</v>
      </c>
      <c r="D546" s="106" t="str">
        <f t="shared" ref="D546:D555" si="276">IF(G546&lt;&gt;"rumus","Lulusan","")</f>
        <v/>
      </c>
      <c r="E546" s="398" t="str">
        <f t="shared" ref="E546:E555" si="277">IF(I546&lt;&gt;"",1,"")</f>
        <v/>
      </c>
      <c r="F546" s="398" t="str">
        <f t="shared" ref="F546:F555" si="278">IF(I546&lt;&gt;"",K546,"")</f>
        <v/>
      </c>
      <c r="G546" s="399" t="str">
        <f t="shared" ref="G546:G555" si="279">IF(K546&lt;&gt;"rumus","1 x "&amp;K546&amp;" = "&amp;K546,"rumus")</f>
        <v>rumus</v>
      </c>
      <c r="H546" s="106" t="s">
        <v>315</v>
      </c>
      <c r="I546" s="417"/>
      <c r="J546" s="417"/>
      <c r="K546" s="418" t="str">
        <f t="shared" ref="K546:K555" si="280">IF(AND(I546&lt;&gt;"",J546&lt;&gt;""),IF(I546="Pembimbing Utama",IF(J546="Disertasi",8,IF(J546="Tesis",3,IF(J546="Skripsi",1,IF(J546="Laporan akhir studi",1,"")))),IF(I546="Pembimbing Pendamping",IF(J546="Disertasi",6,IF(J546="Tesis",2,IF(J546="Skripsi",0.5,IF(J546="Laporan akhir studi",0.5,"")))))),"rumus")</f>
        <v>rumus</v>
      </c>
      <c r="L546" s="419" t="str">
        <f t="shared" ref="L546:L555" si="281">I546&amp;" "&amp;J546</f>
        <v xml:space="preserve"> </v>
      </c>
      <c r="M546" s="116"/>
    </row>
    <row r="547" spans="1:14" ht="15.75" customHeight="1" x14ac:dyDescent="0.2">
      <c r="A547" s="109">
        <v>2</v>
      </c>
      <c r="B547" s="397" t="s">
        <v>399</v>
      </c>
      <c r="C547" s="106" t="s">
        <v>327</v>
      </c>
      <c r="D547" s="106" t="str">
        <f t="shared" si="276"/>
        <v/>
      </c>
      <c r="E547" s="398" t="str">
        <f t="shared" si="277"/>
        <v/>
      </c>
      <c r="F547" s="398" t="str">
        <f t="shared" si="278"/>
        <v/>
      </c>
      <c r="G547" s="399" t="str">
        <f t="shared" si="279"/>
        <v>rumus</v>
      </c>
      <c r="H547" s="114" t="s">
        <v>26</v>
      </c>
      <c r="I547" s="417"/>
      <c r="J547" s="417"/>
      <c r="K547" s="418" t="str">
        <f t="shared" si="280"/>
        <v>rumus</v>
      </c>
      <c r="L547" s="419" t="str">
        <f t="shared" si="281"/>
        <v xml:space="preserve"> </v>
      </c>
      <c r="M547" s="116"/>
    </row>
    <row r="548" spans="1:14" ht="15.75" customHeight="1" x14ac:dyDescent="0.2">
      <c r="A548" s="109">
        <v>3</v>
      </c>
      <c r="B548" s="397" t="s">
        <v>399</v>
      </c>
      <c r="C548" s="106" t="s">
        <v>327</v>
      </c>
      <c r="D548" s="106" t="str">
        <f t="shared" si="276"/>
        <v/>
      </c>
      <c r="E548" s="398" t="str">
        <f t="shared" si="277"/>
        <v/>
      </c>
      <c r="F548" s="398" t="str">
        <f t="shared" si="278"/>
        <v/>
      </c>
      <c r="G548" s="399" t="str">
        <f t="shared" si="279"/>
        <v>rumus</v>
      </c>
      <c r="H548" s="114" t="s">
        <v>26</v>
      </c>
      <c r="I548" s="417"/>
      <c r="J548" s="417"/>
      <c r="K548" s="418" t="str">
        <f t="shared" si="280"/>
        <v>rumus</v>
      </c>
      <c r="L548" s="419" t="str">
        <f t="shared" si="281"/>
        <v xml:space="preserve"> </v>
      </c>
      <c r="M548" s="116"/>
    </row>
    <row r="549" spans="1:14" ht="15.75" customHeight="1" x14ac:dyDescent="0.2">
      <c r="A549" s="109">
        <v>4</v>
      </c>
      <c r="B549" s="397" t="s">
        <v>399</v>
      </c>
      <c r="C549" s="106" t="s">
        <v>327</v>
      </c>
      <c r="D549" s="106" t="str">
        <f t="shared" si="276"/>
        <v/>
      </c>
      <c r="E549" s="398" t="str">
        <f t="shared" si="277"/>
        <v/>
      </c>
      <c r="F549" s="398" t="str">
        <f t="shared" si="278"/>
        <v/>
      </c>
      <c r="G549" s="399" t="str">
        <f t="shared" si="279"/>
        <v>rumus</v>
      </c>
      <c r="H549" s="114" t="s">
        <v>26</v>
      </c>
      <c r="I549" s="417"/>
      <c r="J549" s="417"/>
      <c r="K549" s="418" t="str">
        <f t="shared" si="280"/>
        <v>rumus</v>
      </c>
      <c r="L549" s="419" t="str">
        <f t="shared" si="281"/>
        <v xml:space="preserve"> </v>
      </c>
      <c r="M549" s="116"/>
    </row>
    <row r="550" spans="1:14" ht="15.75" customHeight="1" x14ac:dyDescent="0.2">
      <c r="A550" s="109">
        <v>5</v>
      </c>
      <c r="B550" s="397" t="s">
        <v>399</v>
      </c>
      <c r="C550" s="106" t="s">
        <v>327</v>
      </c>
      <c r="D550" s="106" t="str">
        <f t="shared" si="276"/>
        <v/>
      </c>
      <c r="E550" s="398" t="str">
        <f t="shared" si="277"/>
        <v/>
      </c>
      <c r="F550" s="398" t="str">
        <f t="shared" si="278"/>
        <v/>
      </c>
      <c r="G550" s="399" t="str">
        <f t="shared" si="279"/>
        <v>rumus</v>
      </c>
      <c r="H550" s="114" t="s">
        <v>26</v>
      </c>
      <c r="I550" s="417"/>
      <c r="J550" s="417"/>
      <c r="K550" s="418" t="str">
        <f t="shared" si="280"/>
        <v>rumus</v>
      </c>
      <c r="L550" s="419" t="str">
        <f t="shared" si="281"/>
        <v xml:space="preserve"> </v>
      </c>
      <c r="M550" s="116"/>
    </row>
    <row r="551" spans="1:14" ht="15.75" customHeight="1" x14ac:dyDescent="0.2">
      <c r="A551" s="109">
        <v>6</v>
      </c>
      <c r="B551" s="397" t="s">
        <v>399</v>
      </c>
      <c r="C551" s="106" t="s">
        <v>327</v>
      </c>
      <c r="D551" s="106" t="str">
        <f t="shared" si="276"/>
        <v/>
      </c>
      <c r="E551" s="398" t="str">
        <f t="shared" si="277"/>
        <v/>
      </c>
      <c r="F551" s="398" t="str">
        <f t="shared" si="278"/>
        <v/>
      </c>
      <c r="G551" s="399" t="str">
        <f t="shared" si="279"/>
        <v>rumus</v>
      </c>
      <c r="H551" s="114" t="s">
        <v>26</v>
      </c>
      <c r="I551" s="417"/>
      <c r="J551" s="417"/>
      <c r="K551" s="418" t="str">
        <f t="shared" si="280"/>
        <v>rumus</v>
      </c>
      <c r="L551" s="419" t="str">
        <f t="shared" si="281"/>
        <v xml:space="preserve"> </v>
      </c>
      <c r="M551" s="116"/>
    </row>
    <row r="552" spans="1:14" ht="15" customHeight="1" x14ac:dyDescent="0.2">
      <c r="A552" s="109">
        <v>7</v>
      </c>
      <c r="B552" s="397" t="s">
        <v>399</v>
      </c>
      <c r="C552" s="106" t="s">
        <v>327</v>
      </c>
      <c r="D552" s="106" t="str">
        <f t="shared" si="276"/>
        <v/>
      </c>
      <c r="E552" s="398" t="str">
        <f t="shared" si="277"/>
        <v/>
      </c>
      <c r="F552" s="398" t="str">
        <f t="shared" si="278"/>
        <v/>
      </c>
      <c r="G552" s="399" t="str">
        <f t="shared" si="279"/>
        <v>rumus</v>
      </c>
      <c r="H552" s="114" t="s">
        <v>26</v>
      </c>
      <c r="I552" s="417"/>
      <c r="J552" s="417"/>
      <c r="K552" s="418" t="str">
        <f t="shared" si="280"/>
        <v>rumus</v>
      </c>
      <c r="L552" s="419" t="str">
        <f t="shared" si="281"/>
        <v xml:space="preserve"> </v>
      </c>
      <c r="M552" s="116"/>
    </row>
    <row r="553" spans="1:14" ht="15" customHeight="1" x14ac:dyDescent="0.2">
      <c r="A553" s="109">
        <v>8</v>
      </c>
      <c r="B553" s="397" t="s">
        <v>399</v>
      </c>
      <c r="C553" s="106" t="s">
        <v>327</v>
      </c>
      <c r="D553" s="106" t="str">
        <f t="shared" si="276"/>
        <v/>
      </c>
      <c r="E553" s="398" t="str">
        <f t="shared" si="277"/>
        <v/>
      </c>
      <c r="F553" s="398" t="str">
        <f t="shared" si="278"/>
        <v/>
      </c>
      <c r="G553" s="399" t="str">
        <f t="shared" si="279"/>
        <v>rumus</v>
      </c>
      <c r="H553" s="114" t="s">
        <v>26</v>
      </c>
      <c r="I553" s="417"/>
      <c r="J553" s="417"/>
      <c r="K553" s="418" t="str">
        <f t="shared" si="280"/>
        <v>rumus</v>
      </c>
      <c r="L553" s="419" t="str">
        <f t="shared" si="281"/>
        <v xml:space="preserve"> </v>
      </c>
      <c r="M553" s="116"/>
    </row>
    <row r="554" spans="1:14" ht="15" customHeight="1" x14ac:dyDescent="0.2">
      <c r="A554" s="109">
        <v>9</v>
      </c>
      <c r="B554" s="397" t="s">
        <v>399</v>
      </c>
      <c r="C554" s="106" t="s">
        <v>327</v>
      </c>
      <c r="D554" s="106" t="str">
        <f t="shared" si="276"/>
        <v/>
      </c>
      <c r="E554" s="398" t="str">
        <f t="shared" si="277"/>
        <v/>
      </c>
      <c r="F554" s="398" t="str">
        <f t="shared" si="278"/>
        <v/>
      </c>
      <c r="G554" s="399" t="str">
        <f t="shared" si="279"/>
        <v>rumus</v>
      </c>
      <c r="H554" s="114" t="s">
        <v>26</v>
      </c>
      <c r="I554" s="417"/>
      <c r="J554" s="417"/>
      <c r="K554" s="418" t="str">
        <f t="shared" si="280"/>
        <v>rumus</v>
      </c>
      <c r="L554" s="419" t="str">
        <f t="shared" si="281"/>
        <v xml:space="preserve"> </v>
      </c>
      <c r="M554" s="116"/>
    </row>
    <row r="555" spans="1:14" ht="15" customHeight="1" x14ac:dyDescent="0.2">
      <c r="A555" s="109">
        <v>10</v>
      </c>
      <c r="B555" s="397" t="s">
        <v>399</v>
      </c>
      <c r="C555" s="106" t="s">
        <v>327</v>
      </c>
      <c r="D555" s="106" t="str">
        <f t="shared" si="276"/>
        <v/>
      </c>
      <c r="E555" s="398" t="str">
        <f t="shared" si="277"/>
        <v/>
      </c>
      <c r="F555" s="398" t="str">
        <f t="shared" si="278"/>
        <v/>
      </c>
      <c r="G555" s="399" t="str">
        <f t="shared" si="279"/>
        <v>rumus</v>
      </c>
      <c r="H555" s="114" t="s">
        <v>26</v>
      </c>
      <c r="I555" s="417"/>
      <c r="J555" s="417"/>
      <c r="K555" s="418" t="str">
        <f t="shared" si="280"/>
        <v>rumus</v>
      </c>
      <c r="L555" s="419" t="str">
        <f t="shared" si="281"/>
        <v xml:space="preserve"> </v>
      </c>
      <c r="M555" s="116"/>
    </row>
    <row r="556" spans="1:14" ht="15.75" customHeight="1" x14ac:dyDescent="0.25">
      <c r="A556" s="109"/>
      <c r="B556" s="614" t="s">
        <v>304</v>
      </c>
      <c r="C556" s="615"/>
      <c r="D556" s="616"/>
      <c r="E556" s="403"/>
      <c r="F556" s="403"/>
      <c r="G556" s="113">
        <f>SUM(M265:M556)</f>
        <v>105</v>
      </c>
      <c r="H556" s="99"/>
      <c r="I556" s="116"/>
      <c r="J556" s="116"/>
      <c r="K556" s="118"/>
      <c r="L556" s="116"/>
      <c r="M556" s="118">
        <f>IF(IF((COUNTIF(L546:L555,"Pembimbing Utama Laporan akhir studi"))&lt;=10,(SUMIF(L546:L555,"Pembimbing Utama Laporan akhir studi",K546:K555)),1*10)+IF((COUNTIF(L546:L555,"Pembimbing Pendamping Laporan akhir studi"))&lt;=10,(SUMIF(L546:L555,"Pembimbing Pendamping Laporan akhir studi",K546:K555)),0.5*10)+IF((COUNTIF(L546:L555,"Pembimbing Utama Skripsi"))&lt;=8,(SUMIF(L546:L555,"Pembimbing Utama Skripsi",K546:K555)),1*8)+IF((COUNTIF(L546:L555,"Pembimbing Pendamping Skripsi"))&lt;=8,(SUMIF(L546:L555,"Pembimbing Pendamping Skripsi",K546:K555)),1*8)+IF((COUNTIF(L546:L555,"Pembimbing Utama Tesis"))&lt;=6,(SUMIF(L546:L555,"Pembimbing Utama Tesis",K546:K555)),3*6)+IF((COUNTIF(L546:L555,"Pembimbing Pendamping Tesis"))&lt;=6,(SUMIF(L546:L555,"Pembimbing Pendamping Tesis",K546:K555)),2*6)+IF((COUNTIF(L546:L555,"Pembimbing Utama Disertasi"))&lt;=4,(SUMIF(L546:L555,"Pembimbing Utama Disertasi",K546:K555)),8*4)+IF((COUNTIF(L546:L555,"Pembimbing Pendamping Disertasi"))&lt;=4,(SUMIF(L546:L555,"Pembimbing Pendamping Disertasi",K546:K555)),6*4)&lt;=32,IF((COUNTIF(L546:L555,"Pembimbing Utama Laporan akhir studi"))&lt;=10,(SUMIF(L546:L555,"Pembimbing Utama Laporan akhir studi",K546:K555)),1*10)+IF((COUNTIF(L546:L555,"Pembimbing Pendamping Laporan akhir studi"))&lt;=10,(SUMIF(L546:L555,"Pembimbing Pendamping Laporan akhir studi",K546:K555)),0.5*10)+IF((COUNTIF(L546:L555,"Pembimbing Utama Skripsi"))&lt;=8,(SUMIF(L546:L555,"Pembimbing Utama Skripsi",K546:K555)),1*8)+IF((COUNTIF(L546:L555,"Pembimbing Pendamping Skripsi"))&lt;=8,(SUMIF(L546:L555,"Pembimbing Pendamping Skripsi",K546:K555)),1*8)+IF((COUNTIF(L546:L555,"Pembimbing Utama Tesis"))&lt;=6,(SUMIF(L546:L555,"Pembimbing Utama Tesis",K546:K555)),3*6)+IF((COUNTIF(L546:L555,"Pembimbing Pendamping Tesis"))&lt;=6,(SUMIF(L546:L555,"Pembimbing Pendamping Tesis",K546:K555)),2*6)+IF((COUNTIF(L546:L555,"Pembimbing Utama Disertasi"))&lt;=4,(SUMIF(L546:L555,"Pembimbing Utama Disertasi",K546:K555)),8*4)+IF((COUNTIF(L546:L555,"Pembimbing Pendamping Disertasi"))&lt;=4,(SUMIF(L546:L555,"Pembimbing Pendamping Disertasi",K546:K555)),6*4),32)</f>
        <v>0</v>
      </c>
      <c r="N556" s="103" t="str">
        <f>"Max 32"</f>
        <v>Max 32</v>
      </c>
    </row>
    <row r="557" spans="1:14" ht="15" customHeight="1" x14ac:dyDescent="0.2">
      <c r="A557" s="115" t="s">
        <v>85</v>
      </c>
      <c r="B557" s="412" t="s">
        <v>664</v>
      </c>
      <c r="C557" s="407"/>
      <c r="D557" s="407"/>
      <c r="E557" s="407"/>
      <c r="F557" s="407"/>
      <c r="G557" s="407"/>
      <c r="H557" s="408"/>
      <c r="I557" s="116"/>
      <c r="J557" s="116"/>
      <c r="K557" s="116"/>
      <c r="L557" s="116"/>
      <c r="M557" s="116"/>
    </row>
    <row r="558" spans="1:14" ht="15" customHeight="1" x14ac:dyDescent="0.25">
      <c r="A558" s="109"/>
      <c r="B558" s="406" t="str">
        <f>"a. Semester Gasal "&amp;IF(C559&lt;&gt;"",C559,"")&amp;" :"</f>
        <v>a. Semester Gasal 2012/2013 :</v>
      </c>
      <c r="C558" s="415"/>
      <c r="D558" s="415"/>
      <c r="E558" s="415"/>
      <c r="F558" s="415"/>
      <c r="G558" s="415"/>
      <c r="H558" s="416"/>
      <c r="I558" s="116"/>
      <c r="J558" s="116"/>
      <c r="K558" s="116"/>
      <c r="L558" s="116"/>
      <c r="M558" s="2" t="s">
        <v>230</v>
      </c>
      <c r="N558" s="2" t="s">
        <v>213</v>
      </c>
    </row>
    <row r="559" spans="1:14" ht="15" customHeight="1" x14ac:dyDescent="0.2">
      <c r="A559" s="109">
        <v>1</v>
      </c>
      <c r="B559" s="570" t="s">
        <v>665</v>
      </c>
      <c r="C559" s="576" t="s">
        <v>312</v>
      </c>
      <c r="D559" s="106" t="str">
        <f t="shared" ref="D559:D568" si="282">IF(G559&lt;&gt;"rumus","Lulusan","")</f>
        <v>Lulusan</v>
      </c>
      <c r="E559" s="398">
        <f t="shared" ref="E559:E568" si="283">IF(I559&lt;&gt;"",1,"")</f>
        <v>1</v>
      </c>
      <c r="F559" s="398">
        <f t="shared" ref="F559:F568" si="284">IF(I559&lt;&gt;"",J559,"")</f>
        <v>1</v>
      </c>
      <c r="G559" s="399" t="str">
        <f t="shared" ref="G559:G568" si="285">IF(J559&lt;&gt;"rumus","1 x "&amp;J559&amp;" = "&amp;J559,"rumus")</f>
        <v>1 x 1 = 1</v>
      </c>
      <c r="H559" s="106" t="s">
        <v>315</v>
      </c>
      <c r="I559" s="577" t="s">
        <v>87</v>
      </c>
      <c r="J559" s="418">
        <f t="shared" ref="J559:J568" si="286">IF(I559&lt;&gt;"",IF(I559="Ketua Penguji",1,IF(I559="Anggota Penguji",0.5,"")),"rumus")</f>
        <v>1</v>
      </c>
      <c r="K559" s="116"/>
      <c r="L559" s="116"/>
      <c r="M559" s="116"/>
    </row>
    <row r="560" spans="1:14" ht="15" customHeight="1" x14ac:dyDescent="0.2">
      <c r="A560" s="109">
        <v>2</v>
      </c>
      <c r="B560" s="571" t="s">
        <v>666</v>
      </c>
      <c r="C560" s="578" t="s">
        <v>312</v>
      </c>
      <c r="D560" s="106" t="str">
        <f t="shared" si="282"/>
        <v>Lulusan</v>
      </c>
      <c r="E560" s="398">
        <f t="shared" si="283"/>
        <v>1</v>
      </c>
      <c r="F560" s="398">
        <f t="shared" si="284"/>
        <v>0.5</v>
      </c>
      <c r="G560" s="399" t="str">
        <f t="shared" si="285"/>
        <v>1 x 0.5 = 0.5</v>
      </c>
      <c r="H560" s="114" t="s">
        <v>26</v>
      </c>
      <c r="I560" s="577" t="s">
        <v>88</v>
      </c>
      <c r="J560" s="418">
        <f t="shared" si="286"/>
        <v>0.5</v>
      </c>
      <c r="K560" s="116"/>
      <c r="L560" s="116"/>
      <c r="M560" s="116"/>
    </row>
    <row r="561" spans="1:14" ht="15" customHeight="1" x14ac:dyDescent="0.2">
      <c r="A561" s="109">
        <v>3</v>
      </c>
      <c r="B561" s="571" t="s">
        <v>667</v>
      </c>
      <c r="C561" s="578" t="s">
        <v>312</v>
      </c>
      <c r="D561" s="106" t="str">
        <f t="shared" si="282"/>
        <v>Lulusan</v>
      </c>
      <c r="E561" s="398">
        <f t="shared" si="283"/>
        <v>1</v>
      </c>
      <c r="F561" s="398">
        <f t="shared" si="284"/>
        <v>1</v>
      </c>
      <c r="G561" s="399" t="str">
        <f t="shared" si="285"/>
        <v>1 x 1 = 1</v>
      </c>
      <c r="H561" s="114" t="s">
        <v>26</v>
      </c>
      <c r="I561" s="577" t="s">
        <v>87</v>
      </c>
      <c r="J561" s="418">
        <f t="shared" si="286"/>
        <v>1</v>
      </c>
      <c r="K561" s="116"/>
      <c r="L561" s="116"/>
      <c r="M561" s="116"/>
    </row>
    <row r="562" spans="1:14" ht="15" customHeight="1" x14ac:dyDescent="0.2">
      <c r="A562" s="109">
        <v>4</v>
      </c>
      <c r="B562" s="571" t="s">
        <v>668</v>
      </c>
      <c r="C562" s="578" t="s">
        <v>312</v>
      </c>
      <c r="D562" s="106" t="str">
        <f t="shared" si="282"/>
        <v>Lulusan</v>
      </c>
      <c r="E562" s="398">
        <f t="shared" si="283"/>
        <v>1</v>
      </c>
      <c r="F562" s="398">
        <f t="shared" si="284"/>
        <v>1</v>
      </c>
      <c r="G562" s="399" t="str">
        <f t="shared" si="285"/>
        <v>1 x 1 = 1</v>
      </c>
      <c r="H562" s="114" t="s">
        <v>26</v>
      </c>
      <c r="I562" s="577" t="s">
        <v>87</v>
      </c>
      <c r="J562" s="418">
        <f t="shared" si="286"/>
        <v>1</v>
      </c>
      <c r="K562" s="116"/>
      <c r="L562" s="116"/>
      <c r="M562" s="116"/>
    </row>
    <row r="563" spans="1:14" ht="15" customHeight="1" x14ac:dyDescent="0.2">
      <c r="A563" s="109">
        <v>5</v>
      </c>
      <c r="B563" s="571" t="s">
        <v>669</v>
      </c>
      <c r="C563" s="578" t="s">
        <v>312</v>
      </c>
      <c r="D563" s="106" t="str">
        <f t="shared" si="282"/>
        <v>Lulusan</v>
      </c>
      <c r="E563" s="398">
        <f t="shared" si="283"/>
        <v>1</v>
      </c>
      <c r="F563" s="398">
        <f t="shared" si="284"/>
        <v>1</v>
      </c>
      <c r="G563" s="399" t="str">
        <f t="shared" si="285"/>
        <v>1 x 1 = 1</v>
      </c>
      <c r="H563" s="114" t="s">
        <v>26</v>
      </c>
      <c r="I563" s="577" t="s">
        <v>87</v>
      </c>
      <c r="J563" s="418">
        <f t="shared" si="286"/>
        <v>1</v>
      </c>
      <c r="K563" s="116"/>
      <c r="L563" s="116"/>
      <c r="M563" s="116"/>
    </row>
    <row r="564" spans="1:14" ht="15" customHeight="1" x14ac:dyDescent="0.2">
      <c r="A564" s="109">
        <v>6</v>
      </c>
      <c r="B564" s="571" t="s">
        <v>670</v>
      </c>
      <c r="C564" s="578" t="s">
        <v>312</v>
      </c>
      <c r="D564" s="106" t="str">
        <f t="shared" si="282"/>
        <v>Lulusan</v>
      </c>
      <c r="E564" s="398">
        <f t="shared" si="283"/>
        <v>1</v>
      </c>
      <c r="F564" s="398">
        <f t="shared" si="284"/>
        <v>0.5</v>
      </c>
      <c r="G564" s="399" t="str">
        <f t="shared" si="285"/>
        <v>1 x 0.5 = 0.5</v>
      </c>
      <c r="H564" s="114" t="s">
        <v>26</v>
      </c>
      <c r="I564" s="577" t="s">
        <v>88</v>
      </c>
      <c r="J564" s="418">
        <f t="shared" si="286"/>
        <v>0.5</v>
      </c>
      <c r="K564" s="116"/>
      <c r="L564" s="116"/>
      <c r="M564" s="116"/>
    </row>
    <row r="565" spans="1:14" ht="15" customHeight="1" x14ac:dyDescent="0.2">
      <c r="A565" s="109">
        <v>7</v>
      </c>
      <c r="B565" s="571" t="s">
        <v>671</v>
      </c>
      <c r="C565" s="578" t="s">
        <v>312</v>
      </c>
      <c r="D565" s="106" t="str">
        <f t="shared" si="282"/>
        <v>Lulusan</v>
      </c>
      <c r="E565" s="398">
        <f t="shared" si="283"/>
        <v>1</v>
      </c>
      <c r="F565" s="398">
        <f t="shared" si="284"/>
        <v>0.5</v>
      </c>
      <c r="G565" s="399" t="str">
        <f t="shared" si="285"/>
        <v>1 x 0.5 = 0.5</v>
      </c>
      <c r="H565" s="114" t="s">
        <v>26</v>
      </c>
      <c r="I565" s="577" t="s">
        <v>88</v>
      </c>
      <c r="J565" s="418">
        <f t="shared" si="286"/>
        <v>0.5</v>
      </c>
      <c r="K565" s="116"/>
      <c r="L565" s="116"/>
      <c r="M565" s="116"/>
    </row>
    <row r="566" spans="1:14" ht="15" customHeight="1" x14ac:dyDescent="0.2">
      <c r="A566" s="109">
        <v>8</v>
      </c>
      <c r="B566" s="571" t="s">
        <v>672</v>
      </c>
      <c r="C566" s="578" t="s">
        <v>312</v>
      </c>
      <c r="D566" s="106" t="str">
        <f t="shared" si="282"/>
        <v>Lulusan</v>
      </c>
      <c r="E566" s="398">
        <f t="shared" si="283"/>
        <v>1</v>
      </c>
      <c r="F566" s="398">
        <f t="shared" si="284"/>
        <v>0.5</v>
      </c>
      <c r="G566" s="399" t="str">
        <f t="shared" si="285"/>
        <v>1 x 0.5 = 0.5</v>
      </c>
      <c r="H566" s="114" t="s">
        <v>26</v>
      </c>
      <c r="I566" s="577" t="s">
        <v>88</v>
      </c>
      <c r="J566" s="418">
        <f t="shared" si="286"/>
        <v>0.5</v>
      </c>
      <c r="K566" s="116"/>
      <c r="L566" s="116"/>
      <c r="M566" s="116"/>
    </row>
    <row r="567" spans="1:14" ht="15" customHeight="1" x14ac:dyDescent="0.2">
      <c r="A567" s="109">
        <v>9</v>
      </c>
      <c r="B567" s="571" t="s">
        <v>673</v>
      </c>
      <c r="C567" s="578" t="s">
        <v>312</v>
      </c>
      <c r="D567" s="106" t="str">
        <f t="shared" si="282"/>
        <v>Lulusan</v>
      </c>
      <c r="E567" s="398">
        <f t="shared" si="283"/>
        <v>1</v>
      </c>
      <c r="F567" s="398">
        <f t="shared" si="284"/>
        <v>1</v>
      </c>
      <c r="G567" s="399" t="str">
        <f t="shared" si="285"/>
        <v>1 x 1 = 1</v>
      </c>
      <c r="H567" s="114" t="s">
        <v>26</v>
      </c>
      <c r="I567" s="577" t="s">
        <v>87</v>
      </c>
      <c r="J567" s="418">
        <f t="shared" si="286"/>
        <v>1</v>
      </c>
      <c r="K567" s="116"/>
      <c r="L567" s="116"/>
      <c r="M567" s="116"/>
    </row>
    <row r="568" spans="1:14" ht="15" customHeight="1" x14ac:dyDescent="0.2">
      <c r="A568" s="109">
        <v>10</v>
      </c>
      <c r="B568" s="571" t="s">
        <v>674</v>
      </c>
      <c r="C568" s="578" t="s">
        <v>312</v>
      </c>
      <c r="D568" s="106" t="str">
        <f t="shared" si="282"/>
        <v>Lulusan</v>
      </c>
      <c r="E568" s="398">
        <f t="shared" si="283"/>
        <v>1</v>
      </c>
      <c r="F568" s="398">
        <f t="shared" si="284"/>
        <v>1</v>
      </c>
      <c r="G568" s="399" t="str">
        <f t="shared" si="285"/>
        <v>1 x 1 = 1</v>
      </c>
      <c r="H568" s="114" t="s">
        <v>26</v>
      </c>
      <c r="I568" s="577" t="s">
        <v>87</v>
      </c>
      <c r="J568" s="418">
        <f t="shared" si="286"/>
        <v>1</v>
      </c>
      <c r="K568" s="116"/>
      <c r="L568" s="116"/>
      <c r="M568" s="116"/>
    </row>
    <row r="569" spans="1:14" ht="15" customHeight="1" x14ac:dyDescent="0.25">
      <c r="A569" s="109"/>
      <c r="B569" s="406" t="str">
        <f>"a. Semester Gasal "&amp;IF(C570&lt;&gt;"",C570,"")&amp;" :"</f>
        <v>a. Semester Gasal 2013/2014 :</v>
      </c>
      <c r="C569" s="415"/>
      <c r="D569" s="415"/>
      <c r="E569" s="415"/>
      <c r="F569" s="415"/>
      <c r="G569" s="415"/>
      <c r="H569" s="416"/>
      <c r="I569" s="116"/>
      <c r="J569" s="116"/>
      <c r="K569" s="1">
        <f>IF(COUNTIF(I559:I568,"Ketua Penguji")&lt;=4,SUMIF(I559:I568,"Ketua Penguji",J559:J568),4*1)+IF(COUNTIF(I559:I568,"Anggota Penguji")&lt;=8,SUMIF(I559:I568,"Anggota Penguji",J559:J568),8*0.5)</f>
        <v>6</v>
      </c>
      <c r="L569" s="2" t="s">
        <v>675</v>
      </c>
      <c r="M569" s="2">
        <f>IF(COUNTIF(I559:I568,"Ketua Penguji")&lt;=4,SUMIF(I559:I568,"Ketua Penguji",J559:J568),4*1)</f>
        <v>4</v>
      </c>
      <c r="N569" s="2">
        <f>IF(COUNTIF(I559:I568,"Anggota Penguji")&lt;=8,SUMIF(I559:I568,"Anggota Penguji",J559:J568),8*0.5)</f>
        <v>2</v>
      </c>
    </row>
    <row r="570" spans="1:14" ht="15" customHeight="1" x14ac:dyDescent="0.2">
      <c r="A570" s="109">
        <v>1</v>
      </c>
      <c r="B570" s="570" t="s">
        <v>671</v>
      </c>
      <c r="C570" s="576" t="s">
        <v>317</v>
      </c>
      <c r="D570" s="106" t="str">
        <f t="shared" ref="D570:D579" si="287">IF(G570&lt;&gt;"rumus","Lulusan","")</f>
        <v>Lulusan</v>
      </c>
      <c r="E570" s="398">
        <f t="shared" ref="E570:E579" si="288">IF(I570&lt;&gt;"",1,"")</f>
        <v>1</v>
      </c>
      <c r="F570" s="398">
        <f t="shared" ref="F570:F579" si="289">IF(I570&lt;&gt;"",J570,"")</f>
        <v>0.5</v>
      </c>
      <c r="G570" s="399" t="str">
        <f t="shared" ref="G570:G579" si="290">IF(J570&lt;&gt;"rumus","1 x "&amp;J570&amp;" = "&amp;J570,"rumus")</f>
        <v>1 x 0.5 = 0.5</v>
      </c>
      <c r="H570" s="106" t="s">
        <v>315</v>
      </c>
      <c r="I570" s="577" t="s">
        <v>88</v>
      </c>
      <c r="J570" s="418">
        <f t="shared" ref="J570:J579" si="291">IF(I570&lt;&gt;"",IF(I570="Ketua Penguji",1,IF(I570="Anggota Penguji",0.5,"")),"rumus")</f>
        <v>0.5</v>
      </c>
      <c r="K570" s="116"/>
      <c r="L570" s="116"/>
      <c r="M570" s="116"/>
    </row>
    <row r="571" spans="1:14" ht="15" customHeight="1" x14ac:dyDescent="0.2">
      <c r="A571" s="109">
        <v>2</v>
      </c>
      <c r="B571" s="397" t="s">
        <v>399</v>
      </c>
      <c r="C571" s="576" t="s">
        <v>317</v>
      </c>
      <c r="D571" s="106" t="str">
        <f t="shared" si="287"/>
        <v/>
      </c>
      <c r="E571" s="398" t="str">
        <f t="shared" si="288"/>
        <v/>
      </c>
      <c r="F571" s="398" t="str">
        <f t="shared" si="289"/>
        <v/>
      </c>
      <c r="G571" s="399" t="str">
        <f t="shared" si="290"/>
        <v>rumus</v>
      </c>
      <c r="H571" s="114" t="s">
        <v>26</v>
      </c>
      <c r="I571" s="420"/>
      <c r="J571" s="418" t="str">
        <f t="shared" si="291"/>
        <v>rumus</v>
      </c>
      <c r="K571" s="116"/>
      <c r="L571" s="116"/>
      <c r="M571" s="116"/>
    </row>
    <row r="572" spans="1:14" ht="15" customHeight="1" x14ac:dyDescent="0.2">
      <c r="A572" s="109">
        <v>3</v>
      </c>
      <c r="B572" s="397" t="s">
        <v>399</v>
      </c>
      <c r="C572" s="576" t="s">
        <v>317</v>
      </c>
      <c r="D572" s="106" t="str">
        <f t="shared" si="287"/>
        <v/>
      </c>
      <c r="E572" s="398" t="str">
        <f t="shared" si="288"/>
        <v/>
      </c>
      <c r="F572" s="398" t="str">
        <f t="shared" si="289"/>
        <v/>
      </c>
      <c r="G572" s="399" t="str">
        <f t="shared" si="290"/>
        <v>rumus</v>
      </c>
      <c r="H572" s="114" t="s">
        <v>26</v>
      </c>
      <c r="I572" s="420"/>
      <c r="J572" s="418" t="str">
        <f t="shared" si="291"/>
        <v>rumus</v>
      </c>
      <c r="K572" s="116"/>
      <c r="L572" s="116"/>
      <c r="M572" s="116"/>
    </row>
    <row r="573" spans="1:14" ht="15" customHeight="1" x14ac:dyDescent="0.2">
      <c r="A573" s="109">
        <v>4</v>
      </c>
      <c r="B573" s="397" t="s">
        <v>399</v>
      </c>
      <c r="C573" s="576" t="s">
        <v>317</v>
      </c>
      <c r="D573" s="106" t="str">
        <f t="shared" si="287"/>
        <v/>
      </c>
      <c r="E573" s="398" t="str">
        <f t="shared" si="288"/>
        <v/>
      </c>
      <c r="F573" s="398" t="str">
        <f t="shared" si="289"/>
        <v/>
      </c>
      <c r="G573" s="399" t="str">
        <f t="shared" si="290"/>
        <v>rumus</v>
      </c>
      <c r="H573" s="114" t="s">
        <v>26</v>
      </c>
      <c r="I573" s="420"/>
      <c r="J573" s="418" t="str">
        <f t="shared" si="291"/>
        <v>rumus</v>
      </c>
      <c r="K573" s="116"/>
      <c r="L573" s="116"/>
      <c r="M573" s="116"/>
    </row>
    <row r="574" spans="1:14" ht="15" customHeight="1" x14ac:dyDescent="0.2">
      <c r="A574" s="109">
        <v>5</v>
      </c>
      <c r="B574" s="397" t="s">
        <v>399</v>
      </c>
      <c r="C574" s="576" t="s">
        <v>317</v>
      </c>
      <c r="D574" s="106" t="str">
        <f t="shared" si="287"/>
        <v/>
      </c>
      <c r="E574" s="398" t="str">
        <f t="shared" si="288"/>
        <v/>
      </c>
      <c r="F574" s="398" t="str">
        <f t="shared" si="289"/>
        <v/>
      </c>
      <c r="G574" s="399" t="str">
        <f t="shared" si="290"/>
        <v>rumus</v>
      </c>
      <c r="H574" s="114" t="s">
        <v>26</v>
      </c>
      <c r="I574" s="420"/>
      <c r="J574" s="418" t="str">
        <f t="shared" si="291"/>
        <v>rumus</v>
      </c>
      <c r="K574" s="116"/>
      <c r="L574" s="116"/>
      <c r="M574" s="116"/>
    </row>
    <row r="575" spans="1:14" ht="15" customHeight="1" x14ac:dyDescent="0.2">
      <c r="A575" s="109">
        <v>6</v>
      </c>
      <c r="B575" s="397" t="s">
        <v>399</v>
      </c>
      <c r="C575" s="576" t="s">
        <v>317</v>
      </c>
      <c r="D575" s="106" t="str">
        <f t="shared" si="287"/>
        <v/>
      </c>
      <c r="E575" s="398" t="str">
        <f t="shared" si="288"/>
        <v/>
      </c>
      <c r="F575" s="398" t="str">
        <f t="shared" si="289"/>
        <v/>
      </c>
      <c r="G575" s="399" t="str">
        <f t="shared" si="290"/>
        <v>rumus</v>
      </c>
      <c r="H575" s="114" t="s">
        <v>26</v>
      </c>
      <c r="I575" s="420"/>
      <c r="J575" s="418" t="str">
        <f t="shared" si="291"/>
        <v>rumus</v>
      </c>
      <c r="K575" s="116"/>
      <c r="L575" s="116"/>
      <c r="M575" s="116"/>
    </row>
    <row r="576" spans="1:14" ht="15" customHeight="1" x14ac:dyDescent="0.2">
      <c r="A576" s="109">
        <v>7</v>
      </c>
      <c r="B576" s="397" t="s">
        <v>399</v>
      </c>
      <c r="C576" s="576" t="s">
        <v>317</v>
      </c>
      <c r="D576" s="106" t="str">
        <f t="shared" si="287"/>
        <v/>
      </c>
      <c r="E576" s="398" t="str">
        <f t="shared" si="288"/>
        <v/>
      </c>
      <c r="F576" s="398" t="str">
        <f t="shared" si="289"/>
        <v/>
      </c>
      <c r="G576" s="399" t="str">
        <f t="shared" si="290"/>
        <v>rumus</v>
      </c>
      <c r="H576" s="114" t="s">
        <v>26</v>
      </c>
      <c r="I576" s="420"/>
      <c r="J576" s="418" t="str">
        <f t="shared" si="291"/>
        <v>rumus</v>
      </c>
      <c r="K576" s="116"/>
      <c r="L576" s="116"/>
      <c r="M576" s="116"/>
    </row>
    <row r="577" spans="1:14" ht="15" customHeight="1" x14ac:dyDescent="0.2">
      <c r="A577" s="109">
        <v>8</v>
      </c>
      <c r="B577" s="397" t="s">
        <v>399</v>
      </c>
      <c r="C577" s="576" t="s">
        <v>317</v>
      </c>
      <c r="D577" s="106" t="str">
        <f t="shared" si="287"/>
        <v/>
      </c>
      <c r="E577" s="398" t="str">
        <f t="shared" si="288"/>
        <v/>
      </c>
      <c r="F577" s="398" t="str">
        <f t="shared" si="289"/>
        <v/>
      </c>
      <c r="G577" s="399" t="str">
        <f t="shared" si="290"/>
        <v>rumus</v>
      </c>
      <c r="H577" s="114" t="s">
        <v>26</v>
      </c>
      <c r="I577" s="420"/>
      <c r="J577" s="418" t="str">
        <f t="shared" si="291"/>
        <v>rumus</v>
      </c>
      <c r="K577" s="116"/>
      <c r="L577" s="116"/>
      <c r="M577" s="116"/>
    </row>
    <row r="578" spans="1:14" ht="15" customHeight="1" x14ac:dyDescent="0.2">
      <c r="A578" s="109">
        <v>9</v>
      </c>
      <c r="B578" s="397" t="s">
        <v>399</v>
      </c>
      <c r="C578" s="576" t="s">
        <v>317</v>
      </c>
      <c r="D578" s="106" t="str">
        <f t="shared" si="287"/>
        <v/>
      </c>
      <c r="E578" s="398" t="str">
        <f t="shared" si="288"/>
        <v/>
      </c>
      <c r="F578" s="398" t="str">
        <f t="shared" si="289"/>
        <v/>
      </c>
      <c r="G578" s="399" t="str">
        <f t="shared" si="290"/>
        <v>rumus</v>
      </c>
      <c r="H578" s="114" t="s">
        <v>26</v>
      </c>
      <c r="I578" s="420"/>
      <c r="J578" s="418" t="str">
        <f t="shared" si="291"/>
        <v>rumus</v>
      </c>
      <c r="K578" s="116"/>
      <c r="L578" s="116"/>
      <c r="M578" s="116"/>
    </row>
    <row r="579" spans="1:14" ht="15" customHeight="1" x14ac:dyDescent="0.2">
      <c r="A579" s="109">
        <v>10</v>
      </c>
      <c r="B579" s="397" t="s">
        <v>399</v>
      </c>
      <c r="C579" s="576" t="s">
        <v>317</v>
      </c>
      <c r="D579" s="106" t="str">
        <f t="shared" si="287"/>
        <v/>
      </c>
      <c r="E579" s="398" t="str">
        <f t="shared" si="288"/>
        <v/>
      </c>
      <c r="F579" s="398" t="str">
        <f t="shared" si="289"/>
        <v/>
      </c>
      <c r="G579" s="399" t="str">
        <f t="shared" si="290"/>
        <v>rumus</v>
      </c>
      <c r="H579" s="114" t="s">
        <v>26</v>
      </c>
      <c r="I579" s="420"/>
      <c r="J579" s="418" t="str">
        <f t="shared" si="291"/>
        <v>rumus</v>
      </c>
      <c r="K579" s="116"/>
      <c r="L579" s="116"/>
      <c r="M579" s="116"/>
    </row>
    <row r="580" spans="1:14" ht="15" customHeight="1" x14ac:dyDescent="0.25">
      <c r="A580" s="109"/>
      <c r="B580" s="406" t="str">
        <f>"a. Semester Gasal "&amp;IF(C581&lt;&gt;"",C581,"")&amp;" :"</f>
        <v>a. Semester Gasal 2014/2015 :</v>
      </c>
      <c r="C580" s="415"/>
      <c r="D580" s="415"/>
      <c r="E580" s="415"/>
      <c r="F580" s="415"/>
      <c r="G580" s="415"/>
      <c r="H580" s="416"/>
      <c r="I580" s="116"/>
      <c r="J580" s="116"/>
      <c r="K580" s="1">
        <f>IF(COUNTIF(I570:I579,"Ketua Penguji")&lt;=4,SUMIF(I570:I579,"Ketua Penguji",J570:J579),4*1)+IF(COUNTIF(I570:I579,"Anggota Penguji")&lt;=8,SUMIF(I570:I579,"Anggota Penguji",J570:J579),8*0.5)</f>
        <v>0.5</v>
      </c>
      <c r="L580" s="2" t="s">
        <v>675</v>
      </c>
      <c r="M580" s="2">
        <f>IF(COUNTIF(I570:I579,"Ketua Penguji")&lt;=4,SUMIF(I570:I579,"Ketua Penguji",J570:J579),4*1)</f>
        <v>0</v>
      </c>
      <c r="N580" s="2">
        <f>IF(COUNTIF(I570:I579,"Anggota Penguji")&lt;=8,SUMIF(I570:I579,"Anggota Penguji",J570:J579),8*0.5)</f>
        <v>0.5</v>
      </c>
    </row>
    <row r="581" spans="1:14" ht="15" customHeight="1" x14ac:dyDescent="0.2">
      <c r="A581" s="109">
        <v>1</v>
      </c>
      <c r="B581" s="570" t="s">
        <v>676</v>
      </c>
      <c r="C581" s="576" t="s">
        <v>319</v>
      </c>
      <c r="D581" s="106" t="str">
        <f t="shared" ref="D581:D590" si="292">IF(G581&lt;&gt;"rumus","Lulusan","")</f>
        <v>Lulusan</v>
      </c>
      <c r="E581" s="398">
        <f t="shared" ref="E581:E590" si="293">IF(I581&lt;&gt;"",1,"")</f>
        <v>1</v>
      </c>
      <c r="F581" s="398">
        <f t="shared" ref="F581:F590" si="294">IF(I581&lt;&gt;"",J581,"")</f>
        <v>0.5</v>
      </c>
      <c r="G581" s="399" t="str">
        <f t="shared" ref="G581:G590" si="295">IF(J581&lt;&gt;"rumus","1 x "&amp;J581&amp;" = "&amp;J581,"rumus")</f>
        <v>1 x 0.5 = 0.5</v>
      </c>
      <c r="H581" s="106" t="s">
        <v>315</v>
      </c>
      <c r="I581" s="577" t="s">
        <v>88</v>
      </c>
      <c r="J581" s="418">
        <f t="shared" ref="J581:J590" si="296">IF(I581&lt;&gt;"",IF(I581="Ketua Penguji",1,IF(I581="Anggota Penguji",0.5,"")),"rumus")</f>
        <v>0.5</v>
      </c>
      <c r="K581" s="116"/>
      <c r="L581" s="116"/>
      <c r="M581" s="116"/>
    </row>
    <row r="582" spans="1:14" ht="15" customHeight="1" x14ac:dyDescent="0.2">
      <c r="A582" s="109">
        <v>2</v>
      </c>
      <c r="B582" s="571" t="s">
        <v>677</v>
      </c>
      <c r="C582" s="578" t="s">
        <v>319</v>
      </c>
      <c r="D582" s="106" t="str">
        <f t="shared" si="292"/>
        <v>Lulusan</v>
      </c>
      <c r="E582" s="398">
        <f t="shared" si="293"/>
        <v>1</v>
      </c>
      <c r="F582" s="398">
        <f t="shared" si="294"/>
        <v>0.5</v>
      </c>
      <c r="G582" s="399" t="str">
        <f t="shared" si="295"/>
        <v>1 x 0.5 = 0.5</v>
      </c>
      <c r="H582" s="114" t="s">
        <v>26</v>
      </c>
      <c r="I582" s="577" t="s">
        <v>88</v>
      </c>
      <c r="J582" s="418">
        <f t="shared" si="296"/>
        <v>0.5</v>
      </c>
      <c r="K582" s="116"/>
      <c r="L582" s="116"/>
      <c r="M582" s="116"/>
    </row>
    <row r="583" spans="1:14" ht="15" customHeight="1" x14ac:dyDescent="0.2">
      <c r="A583" s="109">
        <v>3</v>
      </c>
      <c r="B583" s="571" t="s">
        <v>678</v>
      </c>
      <c r="C583" s="578" t="s">
        <v>319</v>
      </c>
      <c r="D583" s="106" t="str">
        <f t="shared" si="292"/>
        <v>Lulusan</v>
      </c>
      <c r="E583" s="398">
        <f t="shared" si="293"/>
        <v>1</v>
      </c>
      <c r="F583" s="398">
        <f t="shared" si="294"/>
        <v>0.5</v>
      </c>
      <c r="G583" s="399" t="str">
        <f t="shared" si="295"/>
        <v>1 x 0.5 = 0.5</v>
      </c>
      <c r="H583" s="114" t="s">
        <v>26</v>
      </c>
      <c r="I583" s="577" t="s">
        <v>88</v>
      </c>
      <c r="J583" s="418">
        <f t="shared" si="296"/>
        <v>0.5</v>
      </c>
      <c r="K583" s="116"/>
      <c r="L583" s="116"/>
      <c r="M583" s="116"/>
    </row>
    <row r="584" spans="1:14" ht="15" customHeight="1" x14ac:dyDescent="0.2">
      <c r="A584" s="109">
        <v>4</v>
      </c>
      <c r="B584" s="571" t="s">
        <v>679</v>
      </c>
      <c r="C584" s="578" t="s">
        <v>319</v>
      </c>
      <c r="D584" s="106" t="str">
        <f t="shared" si="292"/>
        <v>Lulusan</v>
      </c>
      <c r="E584" s="398">
        <f t="shared" si="293"/>
        <v>1</v>
      </c>
      <c r="F584" s="398">
        <f t="shared" si="294"/>
        <v>0.5</v>
      </c>
      <c r="G584" s="399" t="str">
        <f t="shared" si="295"/>
        <v>1 x 0.5 = 0.5</v>
      </c>
      <c r="H584" s="114" t="s">
        <v>26</v>
      </c>
      <c r="I584" s="577" t="s">
        <v>88</v>
      </c>
      <c r="J584" s="418">
        <f t="shared" si="296"/>
        <v>0.5</v>
      </c>
      <c r="K584" s="116"/>
      <c r="L584" s="116"/>
      <c r="M584" s="116"/>
    </row>
    <row r="585" spans="1:14" ht="15" customHeight="1" x14ac:dyDescent="0.2">
      <c r="A585" s="109">
        <v>5</v>
      </c>
      <c r="B585" s="571" t="s">
        <v>680</v>
      </c>
      <c r="C585" s="578" t="s">
        <v>319</v>
      </c>
      <c r="D585" s="106" t="str">
        <f t="shared" si="292"/>
        <v>Lulusan</v>
      </c>
      <c r="E585" s="398">
        <f t="shared" si="293"/>
        <v>1</v>
      </c>
      <c r="F585" s="398">
        <f t="shared" si="294"/>
        <v>0.5</v>
      </c>
      <c r="G585" s="399" t="str">
        <f t="shared" si="295"/>
        <v>1 x 0.5 = 0.5</v>
      </c>
      <c r="H585" s="114" t="s">
        <v>26</v>
      </c>
      <c r="I585" s="577" t="s">
        <v>88</v>
      </c>
      <c r="J585" s="418">
        <f t="shared" si="296"/>
        <v>0.5</v>
      </c>
      <c r="K585" s="116"/>
      <c r="L585" s="116"/>
      <c r="M585" s="116"/>
    </row>
    <row r="586" spans="1:14" ht="15" customHeight="1" x14ac:dyDescent="0.2">
      <c r="A586" s="109">
        <v>6</v>
      </c>
      <c r="B586" s="571" t="s">
        <v>681</v>
      </c>
      <c r="C586" s="578" t="s">
        <v>319</v>
      </c>
      <c r="D586" s="106" t="str">
        <f t="shared" si="292"/>
        <v>Lulusan</v>
      </c>
      <c r="E586" s="398">
        <f t="shared" si="293"/>
        <v>1</v>
      </c>
      <c r="F586" s="398">
        <f t="shared" si="294"/>
        <v>1</v>
      </c>
      <c r="G586" s="399" t="str">
        <f t="shared" si="295"/>
        <v>1 x 1 = 1</v>
      </c>
      <c r="H586" s="114" t="s">
        <v>26</v>
      </c>
      <c r="I586" s="577" t="s">
        <v>87</v>
      </c>
      <c r="J586" s="418">
        <f t="shared" si="296"/>
        <v>1</v>
      </c>
      <c r="K586" s="116"/>
      <c r="L586" s="116"/>
      <c r="M586" s="116"/>
    </row>
    <row r="587" spans="1:14" ht="15" customHeight="1" x14ac:dyDescent="0.2">
      <c r="A587" s="109">
        <v>7</v>
      </c>
      <c r="B587" s="571" t="s">
        <v>682</v>
      </c>
      <c r="C587" s="578" t="s">
        <v>319</v>
      </c>
      <c r="D587" s="106" t="str">
        <f t="shared" si="292"/>
        <v>Lulusan</v>
      </c>
      <c r="E587" s="398">
        <f t="shared" si="293"/>
        <v>1</v>
      </c>
      <c r="F587" s="398">
        <f t="shared" si="294"/>
        <v>0.5</v>
      </c>
      <c r="G587" s="399" t="str">
        <f t="shared" si="295"/>
        <v>1 x 0.5 = 0.5</v>
      </c>
      <c r="H587" s="114" t="s">
        <v>26</v>
      </c>
      <c r="I587" s="577" t="s">
        <v>88</v>
      </c>
      <c r="J587" s="418">
        <f t="shared" si="296"/>
        <v>0.5</v>
      </c>
      <c r="K587" s="116"/>
      <c r="L587" s="116"/>
      <c r="M587" s="116"/>
    </row>
    <row r="588" spans="1:14" ht="15" customHeight="1" x14ac:dyDescent="0.2">
      <c r="A588" s="109">
        <v>8</v>
      </c>
      <c r="B588" s="397" t="s">
        <v>399</v>
      </c>
      <c r="C588" s="578" t="s">
        <v>319</v>
      </c>
      <c r="D588" s="106" t="str">
        <f t="shared" si="292"/>
        <v/>
      </c>
      <c r="E588" s="398" t="str">
        <f t="shared" si="293"/>
        <v/>
      </c>
      <c r="F588" s="398" t="str">
        <f t="shared" si="294"/>
        <v/>
      </c>
      <c r="G588" s="399" t="str">
        <f t="shared" si="295"/>
        <v>rumus</v>
      </c>
      <c r="H588" s="114" t="s">
        <v>26</v>
      </c>
      <c r="I588" s="420"/>
      <c r="J588" s="418" t="str">
        <f t="shared" si="296"/>
        <v>rumus</v>
      </c>
      <c r="K588" s="116"/>
      <c r="L588" s="116"/>
      <c r="M588" s="116"/>
    </row>
    <row r="589" spans="1:14" ht="15" customHeight="1" x14ac:dyDescent="0.2">
      <c r="A589" s="109">
        <v>9</v>
      </c>
      <c r="B589" s="397" t="s">
        <v>399</v>
      </c>
      <c r="C589" s="578" t="s">
        <v>319</v>
      </c>
      <c r="D589" s="106" t="str">
        <f t="shared" si="292"/>
        <v/>
      </c>
      <c r="E589" s="398" t="str">
        <f t="shared" si="293"/>
        <v/>
      </c>
      <c r="F589" s="398" t="str">
        <f t="shared" si="294"/>
        <v/>
      </c>
      <c r="G589" s="399" t="str">
        <f t="shared" si="295"/>
        <v>rumus</v>
      </c>
      <c r="H589" s="114" t="s">
        <v>26</v>
      </c>
      <c r="I589" s="420"/>
      <c r="J589" s="418" t="str">
        <f t="shared" si="296"/>
        <v>rumus</v>
      </c>
      <c r="K589" s="116"/>
      <c r="L589" s="116"/>
      <c r="M589" s="116"/>
    </row>
    <row r="590" spans="1:14" ht="15" customHeight="1" x14ac:dyDescent="0.2">
      <c r="A590" s="109">
        <v>10</v>
      </c>
      <c r="B590" s="397" t="s">
        <v>399</v>
      </c>
      <c r="C590" s="578" t="s">
        <v>319</v>
      </c>
      <c r="D590" s="106" t="str">
        <f t="shared" si="292"/>
        <v/>
      </c>
      <c r="E590" s="398" t="str">
        <f t="shared" si="293"/>
        <v/>
      </c>
      <c r="F590" s="398" t="str">
        <f t="shared" si="294"/>
        <v/>
      </c>
      <c r="G590" s="399" t="str">
        <f t="shared" si="295"/>
        <v>rumus</v>
      </c>
      <c r="H590" s="114" t="s">
        <v>26</v>
      </c>
      <c r="I590" s="420"/>
      <c r="J590" s="418" t="str">
        <f t="shared" si="296"/>
        <v>rumus</v>
      </c>
      <c r="K590" s="116"/>
      <c r="L590" s="116"/>
      <c r="M590" s="116"/>
    </row>
    <row r="591" spans="1:14" ht="15" customHeight="1" x14ac:dyDescent="0.25">
      <c r="A591" s="109"/>
      <c r="B591" s="406" t="str">
        <f>"a. Semester Gasal "&amp;IF(C592&lt;&gt;"",C592,"")&amp;" :"</f>
        <v>a. Semester Gasal 2015/2016 :</v>
      </c>
      <c r="C591" s="415"/>
      <c r="D591" s="415"/>
      <c r="E591" s="415"/>
      <c r="F591" s="415"/>
      <c r="G591" s="415"/>
      <c r="H591" s="416"/>
      <c r="I591" s="116"/>
      <c r="J591" s="116"/>
      <c r="K591" s="1">
        <f>IF(COUNTIF(I581:I590,"Ketua Penguji")&lt;=4,SUMIF(I581:I590,"Ketua Penguji",J581:J590),4*1)+IF(COUNTIF(I581:I590,"Anggota Penguji")&lt;=8,SUMIF(I581:I590,"Anggota Penguji",J581:J590),8*0.5)</f>
        <v>4</v>
      </c>
      <c r="L591" s="2" t="s">
        <v>675</v>
      </c>
      <c r="M591" s="2">
        <f>IF(COUNTIF(I581:I590,"Ketua Penguji")&lt;=4,SUMIF(I581:I590,"Ketua Penguji",J581:J590),4*1)</f>
        <v>1</v>
      </c>
      <c r="N591" s="2">
        <f>IF(COUNTIF(I581:I590,"Anggota Penguji")&lt;=8,SUMIF(I581:I590,"Anggota Penguji",J581:J590),8*0.5)</f>
        <v>3</v>
      </c>
    </row>
    <row r="592" spans="1:14" ht="15" customHeight="1" x14ac:dyDescent="0.2">
      <c r="A592" s="109">
        <v>1</v>
      </c>
      <c r="B592" s="570" t="s">
        <v>683</v>
      </c>
      <c r="C592" s="576" t="s">
        <v>321</v>
      </c>
      <c r="D592" s="106" t="str">
        <f t="shared" ref="D592:D601" si="297">IF(G592&lt;&gt;"rumus","Lulusan","")</f>
        <v>Lulusan</v>
      </c>
      <c r="E592" s="398">
        <f t="shared" ref="E592:E601" si="298">IF(I592&lt;&gt;"",1,"")</f>
        <v>1</v>
      </c>
      <c r="F592" s="398">
        <f t="shared" ref="F592:F601" si="299">IF(I592&lt;&gt;"",J592,"")</f>
        <v>1</v>
      </c>
      <c r="G592" s="399" t="str">
        <f t="shared" ref="G592:G601" si="300">IF(J592&lt;&gt;"rumus","1 x "&amp;J592&amp;" = "&amp;J592,"rumus")</f>
        <v>1 x 1 = 1</v>
      </c>
      <c r="H592" s="106" t="s">
        <v>315</v>
      </c>
      <c r="I592" s="577" t="s">
        <v>87</v>
      </c>
      <c r="J592" s="418">
        <f t="shared" ref="J592:J601" si="301">IF(I592&lt;&gt;"",IF(I592="Ketua Penguji",1,IF(I592="Anggota Penguji",0.5,"")),"rumus")</f>
        <v>1</v>
      </c>
      <c r="K592" s="116"/>
      <c r="L592" s="116"/>
      <c r="M592" s="116"/>
    </row>
    <row r="593" spans="1:14" ht="15" customHeight="1" x14ac:dyDescent="0.2">
      <c r="A593" s="109">
        <v>2</v>
      </c>
      <c r="B593" s="571" t="s">
        <v>684</v>
      </c>
      <c r="C593" s="578" t="s">
        <v>321</v>
      </c>
      <c r="D593" s="106" t="str">
        <f t="shared" si="297"/>
        <v>Lulusan</v>
      </c>
      <c r="E593" s="398">
        <f t="shared" si="298"/>
        <v>1</v>
      </c>
      <c r="F593" s="398">
        <f t="shared" si="299"/>
        <v>1</v>
      </c>
      <c r="G593" s="399" t="str">
        <f t="shared" si="300"/>
        <v>1 x 1 = 1</v>
      </c>
      <c r="H593" s="114" t="s">
        <v>26</v>
      </c>
      <c r="I593" s="577" t="s">
        <v>87</v>
      </c>
      <c r="J593" s="418">
        <f t="shared" si="301"/>
        <v>1</v>
      </c>
      <c r="K593" s="116"/>
      <c r="L593" s="116"/>
      <c r="M593" s="116"/>
    </row>
    <row r="594" spans="1:14" ht="15" customHeight="1" x14ac:dyDescent="0.2">
      <c r="A594" s="109">
        <v>3</v>
      </c>
      <c r="B594" s="571" t="s">
        <v>685</v>
      </c>
      <c r="C594" s="578" t="s">
        <v>321</v>
      </c>
      <c r="D594" s="106" t="str">
        <f t="shared" si="297"/>
        <v>Lulusan</v>
      </c>
      <c r="E594" s="398">
        <f t="shared" si="298"/>
        <v>1</v>
      </c>
      <c r="F594" s="398">
        <f t="shared" si="299"/>
        <v>1</v>
      </c>
      <c r="G594" s="399" t="str">
        <f t="shared" si="300"/>
        <v>1 x 1 = 1</v>
      </c>
      <c r="H594" s="114" t="s">
        <v>26</v>
      </c>
      <c r="I594" s="577" t="s">
        <v>87</v>
      </c>
      <c r="J594" s="418">
        <f t="shared" si="301"/>
        <v>1</v>
      </c>
      <c r="K594" s="116"/>
      <c r="L594" s="116"/>
      <c r="M594" s="116"/>
    </row>
    <row r="595" spans="1:14" ht="15" customHeight="1" x14ac:dyDescent="0.2">
      <c r="A595" s="109">
        <v>4</v>
      </c>
      <c r="B595" s="571" t="s">
        <v>686</v>
      </c>
      <c r="C595" s="578" t="s">
        <v>321</v>
      </c>
      <c r="D595" s="106" t="str">
        <f t="shared" si="297"/>
        <v>Lulusan</v>
      </c>
      <c r="E595" s="398">
        <f t="shared" si="298"/>
        <v>1</v>
      </c>
      <c r="F595" s="398">
        <f t="shared" si="299"/>
        <v>1</v>
      </c>
      <c r="G595" s="399" t="str">
        <f t="shared" si="300"/>
        <v>1 x 1 = 1</v>
      </c>
      <c r="H595" s="114" t="s">
        <v>26</v>
      </c>
      <c r="I595" s="577" t="s">
        <v>87</v>
      </c>
      <c r="J595" s="418">
        <f t="shared" si="301"/>
        <v>1</v>
      </c>
      <c r="K595" s="116"/>
      <c r="L595" s="116"/>
      <c r="M595" s="116"/>
    </row>
    <row r="596" spans="1:14" ht="15" customHeight="1" x14ac:dyDescent="0.2">
      <c r="A596" s="109">
        <v>5</v>
      </c>
      <c r="B596" s="571" t="s">
        <v>687</v>
      </c>
      <c r="C596" s="578" t="s">
        <v>321</v>
      </c>
      <c r="D596" s="106" t="str">
        <f t="shared" si="297"/>
        <v>Lulusan</v>
      </c>
      <c r="E596" s="398">
        <f t="shared" si="298"/>
        <v>1</v>
      </c>
      <c r="F596" s="398">
        <f t="shared" si="299"/>
        <v>1</v>
      </c>
      <c r="G596" s="399" t="str">
        <f t="shared" si="300"/>
        <v>1 x 1 = 1</v>
      </c>
      <c r="H596" s="114" t="s">
        <v>26</v>
      </c>
      <c r="I596" s="577" t="s">
        <v>87</v>
      </c>
      <c r="J596" s="418">
        <f t="shared" si="301"/>
        <v>1</v>
      </c>
      <c r="K596" s="116"/>
      <c r="L596" s="116"/>
      <c r="M596" s="116"/>
    </row>
    <row r="597" spans="1:14" ht="15" customHeight="1" x14ac:dyDescent="0.2">
      <c r="A597" s="109">
        <v>6</v>
      </c>
      <c r="B597" s="397" t="s">
        <v>399</v>
      </c>
      <c r="C597" s="578" t="s">
        <v>321</v>
      </c>
      <c r="D597" s="106" t="str">
        <f t="shared" si="297"/>
        <v/>
      </c>
      <c r="E597" s="398" t="str">
        <f t="shared" si="298"/>
        <v/>
      </c>
      <c r="F597" s="398" t="str">
        <f t="shared" si="299"/>
        <v/>
      </c>
      <c r="G597" s="399" t="str">
        <f t="shared" si="300"/>
        <v>rumus</v>
      </c>
      <c r="H597" s="114" t="s">
        <v>26</v>
      </c>
      <c r="I597" s="420"/>
      <c r="J597" s="418" t="str">
        <f t="shared" si="301"/>
        <v>rumus</v>
      </c>
      <c r="K597" s="116"/>
      <c r="L597" s="116"/>
      <c r="M597" s="116"/>
    </row>
    <row r="598" spans="1:14" ht="15" customHeight="1" x14ac:dyDescent="0.2">
      <c r="A598" s="109">
        <v>7</v>
      </c>
      <c r="B598" s="397" t="s">
        <v>399</v>
      </c>
      <c r="C598" s="578" t="s">
        <v>321</v>
      </c>
      <c r="D598" s="106" t="str">
        <f t="shared" si="297"/>
        <v/>
      </c>
      <c r="E598" s="398" t="str">
        <f t="shared" si="298"/>
        <v/>
      </c>
      <c r="F598" s="398" t="str">
        <f t="shared" si="299"/>
        <v/>
      </c>
      <c r="G598" s="399" t="str">
        <f t="shared" si="300"/>
        <v>rumus</v>
      </c>
      <c r="H598" s="114" t="s">
        <v>26</v>
      </c>
      <c r="I598" s="420"/>
      <c r="J598" s="418" t="str">
        <f t="shared" si="301"/>
        <v>rumus</v>
      </c>
      <c r="K598" s="116"/>
      <c r="L598" s="116"/>
      <c r="M598" s="116"/>
    </row>
    <row r="599" spans="1:14" ht="15" customHeight="1" x14ac:dyDescent="0.2">
      <c r="A599" s="109">
        <v>8</v>
      </c>
      <c r="B599" s="397" t="s">
        <v>399</v>
      </c>
      <c r="C599" s="578" t="s">
        <v>321</v>
      </c>
      <c r="D599" s="106" t="str">
        <f t="shared" si="297"/>
        <v/>
      </c>
      <c r="E599" s="398" t="str">
        <f t="shared" si="298"/>
        <v/>
      </c>
      <c r="F599" s="398" t="str">
        <f t="shared" si="299"/>
        <v/>
      </c>
      <c r="G599" s="399" t="str">
        <f t="shared" si="300"/>
        <v>rumus</v>
      </c>
      <c r="H599" s="114" t="s">
        <v>26</v>
      </c>
      <c r="I599" s="420"/>
      <c r="J599" s="418" t="str">
        <f t="shared" si="301"/>
        <v>rumus</v>
      </c>
      <c r="K599" s="116"/>
      <c r="L599" s="116"/>
      <c r="M599" s="116"/>
    </row>
    <row r="600" spans="1:14" ht="15" customHeight="1" x14ac:dyDescent="0.2">
      <c r="A600" s="109">
        <v>9</v>
      </c>
      <c r="B600" s="397" t="s">
        <v>399</v>
      </c>
      <c r="C600" s="578" t="s">
        <v>321</v>
      </c>
      <c r="D600" s="106" t="str">
        <f t="shared" si="297"/>
        <v/>
      </c>
      <c r="E600" s="398" t="str">
        <f t="shared" si="298"/>
        <v/>
      </c>
      <c r="F600" s="398" t="str">
        <f t="shared" si="299"/>
        <v/>
      </c>
      <c r="G600" s="399" t="str">
        <f t="shared" si="300"/>
        <v>rumus</v>
      </c>
      <c r="H600" s="114" t="s">
        <v>26</v>
      </c>
      <c r="I600" s="420"/>
      <c r="J600" s="418" t="str">
        <f t="shared" si="301"/>
        <v>rumus</v>
      </c>
      <c r="K600" s="116"/>
      <c r="L600" s="116"/>
      <c r="M600" s="116"/>
    </row>
    <row r="601" spans="1:14" ht="15" customHeight="1" x14ac:dyDescent="0.2">
      <c r="A601" s="109">
        <v>10</v>
      </c>
      <c r="B601" s="397" t="s">
        <v>399</v>
      </c>
      <c r="C601" s="578" t="s">
        <v>321</v>
      </c>
      <c r="D601" s="106" t="str">
        <f t="shared" si="297"/>
        <v/>
      </c>
      <c r="E601" s="398" t="str">
        <f t="shared" si="298"/>
        <v/>
      </c>
      <c r="F601" s="398" t="str">
        <f t="shared" si="299"/>
        <v/>
      </c>
      <c r="G601" s="399" t="str">
        <f t="shared" si="300"/>
        <v>rumus</v>
      </c>
      <c r="H601" s="114" t="s">
        <v>26</v>
      </c>
      <c r="I601" s="420"/>
      <c r="J601" s="418" t="str">
        <f t="shared" si="301"/>
        <v>rumus</v>
      </c>
      <c r="K601" s="116"/>
      <c r="L601" s="116"/>
      <c r="M601" s="116"/>
    </row>
    <row r="602" spans="1:14" ht="15" customHeight="1" x14ac:dyDescent="0.25">
      <c r="A602" s="109"/>
      <c r="B602" s="406" t="str">
        <f>"a. Semester Gasal "&amp;IF(C603&lt;&gt;"",C603,"")&amp;" :"</f>
        <v>a. Semester Gasal 2016/2017 :</v>
      </c>
      <c r="C602" s="415"/>
      <c r="D602" s="415"/>
      <c r="E602" s="415"/>
      <c r="F602" s="415"/>
      <c r="G602" s="415"/>
      <c r="H602" s="416"/>
      <c r="I602" s="116"/>
      <c r="J602" s="116"/>
      <c r="K602" s="1">
        <f>IF(COUNTIF(I592:I601,"Ketua Penguji")&lt;=4,SUMIF(I592:I601,"Ketua Penguji",J592:J601),4*1)+IF(COUNTIF(I592:I601,"Anggota Penguji")&lt;=8,SUMIF(I592:I601,"Anggota Penguji",J592:J601),8*0.5)</f>
        <v>4</v>
      </c>
      <c r="L602" s="2" t="s">
        <v>675</v>
      </c>
      <c r="M602" s="2">
        <f>IF(COUNTIF(I592:I601,"Ketua Penguji")&lt;=4,SUMIF(I592:I601,"Ketua Penguji",J592:J601),4*1)</f>
        <v>4</v>
      </c>
      <c r="N602" s="2">
        <f>IF(COUNTIF(I592:I601,"Anggota Penguji")&lt;=8,SUMIF(I592:I601,"Anggota Penguji",J592:J601),8*0.5)</f>
        <v>0</v>
      </c>
    </row>
    <row r="603" spans="1:14" ht="15" customHeight="1" x14ac:dyDescent="0.2">
      <c r="A603" s="109">
        <v>1</v>
      </c>
      <c r="B603" s="570" t="s">
        <v>688</v>
      </c>
      <c r="C603" s="576" t="s">
        <v>324</v>
      </c>
      <c r="D603" s="106" t="str">
        <f t="shared" ref="D603:D612" si="302">IF(G603&lt;&gt;"rumus","Lulusan","")</f>
        <v>Lulusan</v>
      </c>
      <c r="E603" s="398">
        <f t="shared" ref="E603:E612" si="303">IF(I603&lt;&gt;"",1,"")</f>
        <v>1</v>
      </c>
      <c r="F603" s="398">
        <f t="shared" ref="F603:F612" si="304">IF(I603&lt;&gt;"",J603,"")</f>
        <v>1</v>
      </c>
      <c r="G603" s="399" t="str">
        <f t="shared" ref="G603:G612" si="305">IF(J603&lt;&gt;"rumus","1 x "&amp;J603&amp;" = "&amp;J603,"rumus")</f>
        <v>1 x 1 = 1</v>
      </c>
      <c r="H603" s="106" t="s">
        <v>315</v>
      </c>
      <c r="I603" s="577" t="s">
        <v>87</v>
      </c>
      <c r="J603" s="418">
        <f t="shared" ref="J603:J612" si="306">IF(I603&lt;&gt;"",IF(I603="Ketua Penguji",1,IF(I603="Anggota Penguji",0.5,"")),"rumus")</f>
        <v>1</v>
      </c>
      <c r="K603" s="116"/>
      <c r="L603" s="116"/>
      <c r="M603" s="116"/>
    </row>
    <row r="604" spans="1:14" ht="15" customHeight="1" x14ac:dyDescent="0.2">
      <c r="A604" s="109">
        <v>2</v>
      </c>
      <c r="B604" s="571" t="s">
        <v>689</v>
      </c>
      <c r="C604" s="578" t="s">
        <v>324</v>
      </c>
      <c r="D604" s="106" t="str">
        <f t="shared" si="302"/>
        <v>Lulusan</v>
      </c>
      <c r="E604" s="398">
        <f t="shared" si="303"/>
        <v>1</v>
      </c>
      <c r="F604" s="398">
        <f t="shared" si="304"/>
        <v>0.5</v>
      </c>
      <c r="G604" s="399" t="str">
        <f t="shared" si="305"/>
        <v>1 x 0.5 = 0.5</v>
      </c>
      <c r="H604" s="114" t="s">
        <v>26</v>
      </c>
      <c r="I604" s="577" t="s">
        <v>88</v>
      </c>
      <c r="J604" s="418">
        <f t="shared" si="306"/>
        <v>0.5</v>
      </c>
      <c r="K604" s="116"/>
      <c r="L604" s="116"/>
      <c r="M604" s="116"/>
    </row>
    <row r="605" spans="1:14" ht="15" customHeight="1" x14ac:dyDescent="0.2">
      <c r="A605" s="109">
        <v>3</v>
      </c>
      <c r="B605" s="397" t="s">
        <v>399</v>
      </c>
      <c r="C605" s="578" t="s">
        <v>324</v>
      </c>
      <c r="D605" s="106" t="str">
        <f t="shared" si="302"/>
        <v/>
      </c>
      <c r="E605" s="398" t="str">
        <f t="shared" si="303"/>
        <v/>
      </c>
      <c r="F605" s="398" t="str">
        <f t="shared" si="304"/>
        <v/>
      </c>
      <c r="G605" s="399" t="str">
        <f t="shared" si="305"/>
        <v>rumus</v>
      </c>
      <c r="H605" s="114" t="s">
        <v>26</v>
      </c>
      <c r="I605" s="420"/>
      <c r="J605" s="418" t="str">
        <f t="shared" si="306"/>
        <v>rumus</v>
      </c>
      <c r="K605" s="116"/>
      <c r="L605" s="116"/>
      <c r="M605" s="116"/>
    </row>
    <row r="606" spans="1:14" ht="15" customHeight="1" x14ac:dyDescent="0.2">
      <c r="A606" s="109">
        <v>4</v>
      </c>
      <c r="B606" s="397" t="s">
        <v>399</v>
      </c>
      <c r="C606" s="578" t="s">
        <v>324</v>
      </c>
      <c r="D606" s="106" t="str">
        <f t="shared" si="302"/>
        <v/>
      </c>
      <c r="E606" s="398" t="str">
        <f t="shared" si="303"/>
        <v/>
      </c>
      <c r="F606" s="398" t="str">
        <f t="shared" si="304"/>
        <v/>
      </c>
      <c r="G606" s="399" t="str">
        <f t="shared" si="305"/>
        <v>rumus</v>
      </c>
      <c r="H606" s="114" t="s">
        <v>26</v>
      </c>
      <c r="I606" s="420"/>
      <c r="J606" s="418" t="str">
        <f t="shared" si="306"/>
        <v>rumus</v>
      </c>
      <c r="K606" s="116"/>
      <c r="L606" s="116"/>
      <c r="M606" s="116"/>
    </row>
    <row r="607" spans="1:14" ht="15" customHeight="1" x14ac:dyDescent="0.2">
      <c r="A607" s="109">
        <v>5</v>
      </c>
      <c r="B607" s="397" t="s">
        <v>399</v>
      </c>
      <c r="C607" s="578" t="s">
        <v>324</v>
      </c>
      <c r="D607" s="106" t="str">
        <f t="shared" si="302"/>
        <v/>
      </c>
      <c r="E607" s="398" t="str">
        <f t="shared" si="303"/>
        <v/>
      </c>
      <c r="F607" s="398" t="str">
        <f t="shared" si="304"/>
        <v/>
      </c>
      <c r="G607" s="399" t="str">
        <f t="shared" si="305"/>
        <v>rumus</v>
      </c>
      <c r="H607" s="114" t="s">
        <v>26</v>
      </c>
      <c r="I607" s="420"/>
      <c r="J607" s="418" t="str">
        <f t="shared" si="306"/>
        <v>rumus</v>
      </c>
      <c r="K607" s="116"/>
      <c r="L607" s="116"/>
      <c r="M607" s="116"/>
    </row>
    <row r="608" spans="1:14" ht="15" customHeight="1" x14ac:dyDescent="0.2">
      <c r="A608" s="109">
        <v>6</v>
      </c>
      <c r="B608" s="397" t="s">
        <v>399</v>
      </c>
      <c r="C608" s="578" t="s">
        <v>324</v>
      </c>
      <c r="D608" s="106" t="str">
        <f t="shared" si="302"/>
        <v/>
      </c>
      <c r="E608" s="398" t="str">
        <f t="shared" si="303"/>
        <v/>
      </c>
      <c r="F608" s="398" t="str">
        <f t="shared" si="304"/>
        <v/>
      </c>
      <c r="G608" s="399" t="str">
        <f t="shared" si="305"/>
        <v>rumus</v>
      </c>
      <c r="H608" s="114" t="s">
        <v>26</v>
      </c>
      <c r="I608" s="420"/>
      <c r="J608" s="418" t="str">
        <f t="shared" si="306"/>
        <v>rumus</v>
      </c>
      <c r="K608" s="116"/>
      <c r="L608" s="116"/>
      <c r="M608" s="116"/>
    </row>
    <row r="609" spans="1:14" ht="15" customHeight="1" x14ac:dyDescent="0.2">
      <c r="A609" s="109">
        <v>7</v>
      </c>
      <c r="B609" s="397" t="s">
        <v>399</v>
      </c>
      <c r="C609" s="578" t="s">
        <v>324</v>
      </c>
      <c r="D609" s="106" t="str">
        <f t="shared" si="302"/>
        <v/>
      </c>
      <c r="E609" s="398" t="str">
        <f t="shared" si="303"/>
        <v/>
      </c>
      <c r="F609" s="398" t="str">
        <f t="shared" si="304"/>
        <v/>
      </c>
      <c r="G609" s="399" t="str">
        <f t="shared" si="305"/>
        <v>rumus</v>
      </c>
      <c r="H609" s="114" t="s">
        <v>26</v>
      </c>
      <c r="I609" s="420"/>
      <c r="J609" s="418" t="str">
        <f t="shared" si="306"/>
        <v>rumus</v>
      </c>
      <c r="K609" s="116"/>
      <c r="L609" s="116"/>
      <c r="M609" s="116"/>
    </row>
    <row r="610" spans="1:14" ht="15" customHeight="1" x14ac:dyDescent="0.2">
      <c r="A610" s="109">
        <v>8</v>
      </c>
      <c r="B610" s="397" t="s">
        <v>399</v>
      </c>
      <c r="C610" s="578" t="s">
        <v>324</v>
      </c>
      <c r="D610" s="106" t="str">
        <f t="shared" si="302"/>
        <v/>
      </c>
      <c r="E610" s="398" t="str">
        <f t="shared" si="303"/>
        <v/>
      </c>
      <c r="F610" s="398" t="str">
        <f t="shared" si="304"/>
        <v/>
      </c>
      <c r="G610" s="399" t="str">
        <f t="shared" si="305"/>
        <v>rumus</v>
      </c>
      <c r="H610" s="114" t="s">
        <v>26</v>
      </c>
      <c r="I610" s="420"/>
      <c r="J610" s="418" t="str">
        <f t="shared" si="306"/>
        <v>rumus</v>
      </c>
      <c r="K610" s="116"/>
      <c r="L610" s="116"/>
      <c r="M610" s="116"/>
    </row>
    <row r="611" spans="1:14" ht="15" customHeight="1" x14ac:dyDescent="0.2">
      <c r="A611" s="109">
        <v>9</v>
      </c>
      <c r="B611" s="397" t="s">
        <v>399</v>
      </c>
      <c r="C611" s="578" t="s">
        <v>324</v>
      </c>
      <c r="D611" s="106" t="str">
        <f t="shared" si="302"/>
        <v/>
      </c>
      <c r="E611" s="398" t="str">
        <f t="shared" si="303"/>
        <v/>
      </c>
      <c r="F611" s="398" t="str">
        <f t="shared" si="304"/>
        <v/>
      </c>
      <c r="G611" s="399" t="str">
        <f t="shared" si="305"/>
        <v>rumus</v>
      </c>
      <c r="H611" s="114" t="s">
        <v>26</v>
      </c>
      <c r="I611" s="420"/>
      <c r="J611" s="418" t="str">
        <f t="shared" si="306"/>
        <v>rumus</v>
      </c>
      <c r="K611" s="116"/>
      <c r="L611" s="116"/>
      <c r="M611" s="116"/>
    </row>
    <row r="612" spans="1:14" ht="15" customHeight="1" x14ac:dyDescent="0.2">
      <c r="A612" s="109">
        <v>10</v>
      </c>
      <c r="B612" s="397" t="s">
        <v>399</v>
      </c>
      <c r="C612" s="578" t="s">
        <v>324</v>
      </c>
      <c r="D612" s="106" t="str">
        <f t="shared" si="302"/>
        <v/>
      </c>
      <c r="E612" s="398" t="str">
        <f t="shared" si="303"/>
        <v/>
      </c>
      <c r="F612" s="398" t="str">
        <f t="shared" si="304"/>
        <v/>
      </c>
      <c r="G612" s="399" t="str">
        <f t="shared" si="305"/>
        <v>rumus</v>
      </c>
      <c r="H612" s="114" t="s">
        <v>26</v>
      </c>
      <c r="I612" s="420"/>
      <c r="J612" s="418" t="str">
        <f t="shared" si="306"/>
        <v>rumus</v>
      </c>
      <c r="K612" s="116"/>
      <c r="L612" s="116"/>
      <c r="M612" s="116"/>
    </row>
    <row r="613" spans="1:14" ht="15" customHeight="1" x14ac:dyDescent="0.25">
      <c r="A613" s="109"/>
      <c r="B613" s="406" t="str">
        <f>"a. Semester Gasal "&amp;IF(C614&lt;&gt;"",C614,"")&amp;" :"</f>
        <v>a. Semester Gasal 2017/2018 :</v>
      </c>
      <c r="C613" s="415"/>
      <c r="D613" s="415"/>
      <c r="E613" s="415"/>
      <c r="F613" s="415"/>
      <c r="G613" s="415"/>
      <c r="H613" s="416"/>
      <c r="I613" s="116"/>
      <c r="J613" s="116"/>
      <c r="K613" s="1">
        <f>IF(COUNTIF(I603:I612,"Ketua Penguji")&lt;=4,SUMIF(I603:I612,"Ketua Penguji",J603:J612),4*1)+IF(COUNTIF(I603:I612,"Anggota Penguji")&lt;=8,SUMIF(I603:I612,"Anggota Penguji",J603:J612),8*0.5)</f>
        <v>1.5</v>
      </c>
      <c r="L613" s="2" t="s">
        <v>675</v>
      </c>
      <c r="M613" s="2">
        <f>IF(COUNTIF(I603:I612,"Ketua Penguji")&lt;=4,SUMIF(I603:I612,"Ketua Penguji",J603:J612),4*1)</f>
        <v>1</v>
      </c>
      <c r="N613" s="2">
        <f>IF(COUNTIF(I603:I612,"Anggota Penguji")&lt;=8,SUMIF(I603:I612,"Anggota Penguji",J603:J612),8*0.5)</f>
        <v>0.5</v>
      </c>
    </row>
    <row r="614" spans="1:14" ht="15.75" customHeight="1" x14ac:dyDescent="0.2">
      <c r="A614" s="109">
        <v>1</v>
      </c>
      <c r="B614" s="570" t="s">
        <v>688</v>
      </c>
      <c r="C614" s="576" t="s">
        <v>327</v>
      </c>
      <c r="D614" s="106" t="str">
        <f t="shared" ref="D614:D623" si="307">IF(G614&lt;&gt;"rumus","Lulusan","")</f>
        <v>Lulusan</v>
      </c>
      <c r="E614" s="398">
        <f t="shared" ref="E614:E623" si="308">IF(I614&lt;&gt;"",1,"")</f>
        <v>1</v>
      </c>
      <c r="F614" s="398">
        <f t="shared" ref="F614:F623" si="309">IF(I614&lt;&gt;"",J614,"")</f>
        <v>1</v>
      </c>
      <c r="G614" s="399" t="str">
        <f t="shared" ref="G614:G623" si="310">IF(J614&lt;&gt;"rumus","1 x "&amp;J614&amp;" = "&amp;J614,"rumus")</f>
        <v>1 x 1 = 1</v>
      </c>
      <c r="H614" s="106" t="s">
        <v>315</v>
      </c>
      <c r="I614" s="577" t="s">
        <v>87</v>
      </c>
      <c r="J614" s="418">
        <f t="shared" ref="J614:J623" si="311">IF(I614&lt;&gt;"",IF(I614="Ketua Penguji",1,IF(I614="Anggota Penguji",0.5,"")),"rumus")</f>
        <v>1</v>
      </c>
      <c r="K614" s="116"/>
      <c r="L614" s="116"/>
      <c r="M614" s="116"/>
    </row>
    <row r="615" spans="1:14" ht="15" customHeight="1" x14ac:dyDescent="0.2">
      <c r="A615" s="109">
        <v>2</v>
      </c>
      <c r="B615" s="571" t="s">
        <v>690</v>
      </c>
      <c r="C615" s="578" t="s">
        <v>327</v>
      </c>
      <c r="D615" s="106" t="str">
        <f t="shared" si="307"/>
        <v>Lulusan</v>
      </c>
      <c r="E615" s="398">
        <f t="shared" si="308"/>
        <v>1</v>
      </c>
      <c r="F615" s="398">
        <f t="shared" si="309"/>
        <v>0.5</v>
      </c>
      <c r="G615" s="399" t="str">
        <f t="shared" si="310"/>
        <v>1 x 0.5 = 0.5</v>
      </c>
      <c r="H615" s="114" t="s">
        <v>26</v>
      </c>
      <c r="I615" s="577" t="s">
        <v>88</v>
      </c>
      <c r="J615" s="418">
        <f t="shared" si="311"/>
        <v>0.5</v>
      </c>
      <c r="K615" s="116"/>
      <c r="L615" s="116"/>
      <c r="M615" s="116"/>
    </row>
    <row r="616" spans="1:14" ht="15" customHeight="1" x14ac:dyDescent="0.2">
      <c r="A616" s="109">
        <v>3</v>
      </c>
      <c r="B616" s="397" t="s">
        <v>399</v>
      </c>
      <c r="C616" s="578" t="s">
        <v>327</v>
      </c>
      <c r="D616" s="106" t="str">
        <f t="shared" si="307"/>
        <v/>
      </c>
      <c r="E616" s="398" t="str">
        <f t="shared" si="308"/>
        <v/>
      </c>
      <c r="F616" s="398" t="str">
        <f t="shared" si="309"/>
        <v/>
      </c>
      <c r="G616" s="399" t="str">
        <f t="shared" si="310"/>
        <v>rumus</v>
      </c>
      <c r="H616" s="114" t="s">
        <v>26</v>
      </c>
      <c r="I616" s="420"/>
      <c r="J616" s="418" t="str">
        <f t="shared" si="311"/>
        <v>rumus</v>
      </c>
      <c r="K616" s="116"/>
      <c r="L616" s="116"/>
      <c r="M616" s="116"/>
    </row>
    <row r="617" spans="1:14" ht="15" customHeight="1" x14ac:dyDescent="0.2">
      <c r="A617" s="109">
        <v>4</v>
      </c>
      <c r="B617" s="397" t="s">
        <v>399</v>
      </c>
      <c r="C617" s="578" t="s">
        <v>327</v>
      </c>
      <c r="D617" s="106" t="str">
        <f t="shared" si="307"/>
        <v/>
      </c>
      <c r="E617" s="398" t="str">
        <f t="shared" si="308"/>
        <v/>
      </c>
      <c r="F617" s="398" t="str">
        <f t="shared" si="309"/>
        <v/>
      </c>
      <c r="G617" s="399" t="str">
        <f t="shared" si="310"/>
        <v>rumus</v>
      </c>
      <c r="H617" s="114" t="s">
        <v>26</v>
      </c>
      <c r="I617" s="420"/>
      <c r="J617" s="418" t="str">
        <f t="shared" si="311"/>
        <v>rumus</v>
      </c>
      <c r="K617" s="116"/>
      <c r="L617" s="116"/>
      <c r="M617" s="116"/>
    </row>
    <row r="618" spans="1:14" ht="15" customHeight="1" x14ac:dyDescent="0.2">
      <c r="A618" s="109">
        <v>5</v>
      </c>
      <c r="B618" s="397" t="s">
        <v>399</v>
      </c>
      <c r="C618" s="578" t="s">
        <v>327</v>
      </c>
      <c r="D618" s="106" t="str">
        <f t="shared" si="307"/>
        <v/>
      </c>
      <c r="E618" s="398" t="str">
        <f t="shared" si="308"/>
        <v/>
      </c>
      <c r="F618" s="398" t="str">
        <f t="shared" si="309"/>
        <v/>
      </c>
      <c r="G618" s="399" t="str">
        <f t="shared" si="310"/>
        <v>rumus</v>
      </c>
      <c r="H618" s="114" t="s">
        <v>26</v>
      </c>
      <c r="I618" s="420"/>
      <c r="J618" s="418" t="str">
        <f t="shared" si="311"/>
        <v>rumus</v>
      </c>
      <c r="K618" s="116"/>
      <c r="L618" s="116"/>
      <c r="M618" s="116"/>
    </row>
    <row r="619" spans="1:14" ht="15" customHeight="1" x14ac:dyDescent="0.2">
      <c r="A619" s="109">
        <v>6</v>
      </c>
      <c r="B619" s="397" t="s">
        <v>399</v>
      </c>
      <c r="C619" s="578" t="s">
        <v>327</v>
      </c>
      <c r="D619" s="106" t="str">
        <f t="shared" si="307"/>
        <v/>
      </c>
      <c r="E619" s="398" t="str">
        <f t="shared" si="308"/>
        <v/>
      </c>
      <c r="F619" s="398" t="str">
        <f t="shared" si="309"/>
        <v/>
      </c>
      <c r="G619" s="399" t="str">
        <f t="shared" si="310"/>
        <v>rumus</v>
      </c>
      <c r="H619" s="114" t="s">
        <v>26</v>
      </c>
      <c r="I619" s="420"/>
      <c r="J619" s="418" t="str">
        <f t="shared" si="311"/>
        <v>rumus</v>
      </c>
      <c r="K619" s="116"/>
      <c r="L619" s="116"/>
      <c r="M619" s="116"/>
    </row>
    <row r="620" spans="1:14" ht="15" customHeight="1" x14ac:dyDescent="0.2">
      <c r="A620" s="109">
        <v>7</v>
      </c>
      <c r="B620" s="397" t="s">
        <v>399</v>
      </c>
      <c r="C620" s="578" t="s">
        <v>327</v>
      </c>
      <c r="D620" s="106" t="str">
        <f t="shared" si="307"/>
        <v/>
      </c>
      <c r="E620" s="398" t="str">
        <f t="shared" si="308"/>
        <v/>
      </c>
      <c r="F620" s="398" t="str">
        <f t="shared" si="309"/>
        <v/>
      </c>
      <c r="G620" s="399" t="str">
        <f t="shared" si="310"/>
        <v>rumus</v>
      </c>
      <c r="H620" s="114" t="s">
        <v>26</v>
      </c>
      <c r="I620" s="420"/>
      <c r="J620" s="418" t="str">
        <f t="shared" si="311"/>
        <v>rumus</v>
      </c>
      <c r="K620" s="116"/>
      <c r="L620" s="116"/>
      <c r="M620" s="116"/>
    </row>
    <row r="621" spans="1:14" ht="15" customHeight="1" x14ac:dyDescent="0.2">
      <c r="A621" s="109">
        <v>8</v>
      </c>
      <c r="B621" s="397" t="s">
        <v>399</v>
      </c>
      <c r="C621" s="578" t="s">
        <v>327</v>
      </c>
      <c r="D621" s="106" t="str">
        <f t="shared" si="307"/>
        <v/>
      </c>
      <c r="E621" s="398" t="str">
        <f t="shared" si="308"/>
        <v/>
      </c>
      <c r="F621" s="398" t="str">
        <f t="shared" si="309"/>
        <v/>
      </c>
      <c r="G621" s="399" t="str">
        <f t="shared" si="310"/>
        <v>rumus</v>
      </c>
      <c r="H621" s="114" t="s">
        <v>26</v>
      </c>
      <c r="I621" s="420"/>
      <c r="J621" s="418" t="str">
        <f t="shared" si="311"/>
        <v>rumus</v>
      </c>
      <c r="K621" s="116"/>
      <c r="L621" s="116"/>
      <c r="M621" s="116"/>
    </row>
    <row r="622" spans="1:14" ht="15" customHeight="1" x14ac:dyDescent="0.2">
      <c r="A622" s="109">
        <v>9</v>
      </c>
      <c r="B622" s="397" t="s">
        <v>399</v>
      </c>
      <c r="C622" s="578" t="s">
        <v>327</v>
      </c>
      <c r="D622" s="106" t="str">
        <f t="shared" si="307"/>
        <v/>
      </c>
      <c r="E622" s="398" t="str">
        <f t="shared" si="308"/>
        <v/>
      </c>
      <c r="F622" s="398" t="str">
        <f t="shared" si="309"/>
        <v/>
      </c>
      <c r="G622" s="399" t="str">
        <f t="shared" si="310"/>
        <v>rumus</v>
      </c>
      <c r="H622" s="114" t="s">
        <v>26</v>
      </c>
      <c r="I622" s="420"/>
      <c r="J622" s="418" t="str">
        <f t="shared" si="311"/>
        <v>rumus</v>
      </c>
      <c r="K622" s="116"/>
      <c r="L622" s="116"/>
      <c r="M622" s="116"/>
    </row>
    <row r="623" spans="1:14" ht="15" customHeight="1" x14ac:dyDescent="0.2">
      <c r="A623" s="109">
        <v>10</v>
      </c>
      <c r="B623" s="397" t="s">
        <v>399</v>
      </c>
      <c r="C623" s="578" t="s">
        <v>327</v>
      </c>
      <c r="D623" s="106" t="str">
        <f t="shared" si="307"/>
        <v/>
      </c>
      <c r="E623" s="398" t="str">
        <f t="shared" si="308"/>
        <v/>
      </c>
      <c r="F623" s="398" t="str">
        <f t="shared" si="309"/>
        <v/>
      </c>
      <c r="G623" s="399" t="str">
        <f t="shared" si="310"/>
        <v>rumus</v>
      </c>
      <c r="H623" s="114" t="s">
        <v>26</v>
      </c>
      <c r="I623" s="420"/>
      <c r="J623" s="418" t="str">
        <f t="shared" si="311"/>
        <v>rumus</v>
      </c>
      <c r="K623" s="116"/>
      <c r="L623" s="116"/>
      <c r="M623" s="116"/>
    </row>
    <row r="624" spans="1:14" ht="15" customHeight="1" x14ac:dyDescent="0.25">
      <c r="A624" s="109"/>
      <c r="B624" s="406" t="str">
        <f>"a. Semester Gasal "&amp;IF(C625&lt;&gt;"",C625,"")&amp;" :"</f>
        <v>a. Semester Gasal 2018/2019 :</v>
      </c>
      <c r="C624" s="415"/>
      <c r="D624" s="415"/>
      <c r="E624" s="415"/>
      <c r="F624" s="415"/>
      <c r="G624" s="415"/>
      <c r="H624" s="416"/>
      <c r="I624" s="116"/>
      <c r="J624" s="116"/>
      <c r="K624" s="1">
        <f>IF(COUNTIF(I614:I623,"Ketua Penguji")&lt;=4,SUMIF(I614:I623,"Ketua Penguji",J614:J623),4*1)+IF(COUNTIF(I614:I623,"Anggota Penguji")&lt;=8,SUMIF(I614:I623,"Anggota Penguji",J614:J623),8*0.5)</f>
        <v>1.5</v>
      </c>
      <c r="L624" s="2" t="s">
        <v>675</v>
      </c>
      <c r="M624" s="2">
        <f>IF(COUNTIF(I614:I623,"Ketua Penguji")&lt;=4,SUMIF(I614:I623,"Ketua Penguji",J614:J623),4*1)</f>
        <v>1</v>
      </c>
      <c r="N624" s="2">
        <f>IF(COUNTIF(I614:I623,"Anggota Penguji")&lt;=8,SUMIF(I614:I623,"Anggota Penguji",J614:J623),8*0.5)</f>
        <v>0.5</v>
      </c>
    </row>
    <row r="625" spans="1:14" ht="15" customHeight="1" x14ac:dyDescent="0.2">
      <c r="A625" s="109">
        <v>1</v>
      </c>
      <c r="B625" s="570" t="s">
        <v>691</v>
      </c>
      <c r="C625" s="576" t="s">
        <v>331</v>
      </c>
      <c r="D625" s="106" t="str">
        <f t="shared" ref="D625:D634" si="312">IF(G625&lt;&gt;"rumus","Lulusan","")</f>
        <v/>
      </c>
      <c r="E625" s="398" t="str">
        <f t="shared" ref="E625:E634" si="313">IF(I625&lt;&gt;"",1,"")</f>
        <v/>
      </c>
      <c r="F625" s="398" t="str">
        <f t="shared" ref="F625:F634" si="314">IF(I625&lt;&gt;"",J625,"")</f>
        <v/>
      </c>
      <c r="G625" s="399" t="str">
        <f t="shared" ref="G625:G634" si="315">IF(J625&lt;&gt;"rumus","1 x "&amp;J625&amp;" = "&amp;J625,"rumus")</f>
        <v>rumus</v>
      </c>
      <c r="H625" s="106" t="s">
        <v>315</v>
      </c>
      <c r="I625" s="420"/>
      <c r="J625" s="418" t="str">
        <f t="shared" ref="J625:J634" si="316">IF(I625&lt;&gt;"",IF(I625="Ketua Penguji",1,IF(I625="Anggota Penguji",0.5,"")),"rumus")</f>
        <v>rumus</v>
      </c>
      <c r="K625" s="116"/>
      <c r="L625" s="116"/>
      <c r="M625" s="116"/>
    </row>
    <row r="626" spans="1:14" ht="15" customHeight="1" x14ac:dyDescent="0.2">
      <c r="A626" s="109">
        <v>2</v>
      </c>
      <c r="B626" s="397" t="s">
        <v>399</v>
      </c>
      <c r="C626" s="576" t="s">
        <v>331</v>
      </c>
      <c r="D626" s="106" t="str">
        <f t="shared" si="312"/>
        <v/>
      </c>
      <c r="E626" s="398" t="str">
        <f t="shared" si="313"/>
        <v/>
      </c>
      <c r="F626" s="398" t="str">
        <f t="shared" si="314"/>
        <v/>
      </c>
      <c r="G626" s="399" t="str">
        <f t="shared" si="315"/>
        <v>rumus</v>
      </c>
      <c r="H626" s="114" t="s">
        <v>26</v>
      </c>
      <c r="I626" s="420"/>
      <c r="J626" s="418" t="str">
        <f t="shared" si="316"/>
        <v>rumus</v>
      </c>
      <c r="K626" s="116"/>
      <c r="L626" s="116"/>
      <c r="M626" s="116"/>
    </row>
    <row r="627" spans="1:14" ht="15" customHeight="1" x14ac:dyDescent="0.2">
      <c r="A627" s="109">
        <v>3</v>
      </c>
      <c r="B627" s="397" t="s">
        <v>399</v>
      </c>
      <c r="C627" s="576" t="s">
        <v>331</v>
      </c>
      <c r="D627" s="106" t="str">
        <f t="shared" si="312"/>
        <v/>
      </c>
      <c r="E627" s="398" t="str">
        <f t="shared" si="313"/>
        <v/>
      </c>
      <c r="F627" s="398" t="str">
        <f t="shared" si="314"/>
        <v/>
      </c>
      <c r="G627" s="399" t="str">
        <f t="shared" si="315"/>
        <v>rumus</v>
      </c>
      <c r="H627" s="114" t="s">
        <v>26</v>
      </c>
      <c r="I627" s="420"/>
      <c r="J627" s="418" t="str">
        <f t="shared" si="316"/>
        <v>rumus</v>
      </c>
      <c r="K627" s="116"/>
      <c r="L627" s="116"/>
      <c r="M627" s="116"/>
    </row>
    <row r="628" spans="1:14" ht="15" customHeight="1" x14ac:dyDescent="0.2">
      <c r="A628" s="109">
        <v>4</v>
      </c>
      <c r="B628" s="397" t="s">
        <v>399</v>
      </c>
      <c r="C628" s="576" t="s">
        <v>331</v>
      </c>
      <c r="D628" s="106" t="str">
        <f t="shared" si="312"/>
        <v/>
      </c>
      <c r="E628" s="398" t="str">
        <f t="shared" si="313"/>
        <v/>
      </c>
      <c r="F628" s="398" t="str">
        <f t="shared" si="314"/>
        <v/>
      </c>
      <c r="G628" s="399" t="str">
        <f t="shared" si="315"/>
        <v>rumus</v>
      </c>
      <c r="H628" s="114" t="s">
        <v>26</v>
      </c>
      <c r="I628" s="420"/>
      <c r="J628" s="418" t="str">
        <f t="shared" si="316"/>
        <v>rumus</v>
      </c>
      <c r="K628" s="116"/>
      <c r="L628" s="116"/>
      <c r="M628" s="116"/>
    </row>
    <row r="629" spans="1:14" ht="15" customHeight="1" x14ac:dyDescent="0.2">
      <c r="A629" s="109">
        <v>5</v>
      </c>
      <c r="B629" s="397" t="s">
        <v>399</v>
      </c>
      <c r="C629" s="576" t="s">
        <v>331</v>
      </c>
      <c r="D629" s="106" t="str">
        <f t="shared" si="312"/>
        <v/>
      </c>
      <c r="E629" s="398" t="str">
        <f t="shared" si="313"/>
        <v/>
      </c>
      <c r="F629" s="398" t="str">
        <f t="shared" si="314"/>
        <v/>
      </c>
      <c r="G629" s="399" t="str">
        <f t="shared" si="315"/>
        <v>rumus</v>
      </c>
      <c r="H629" s="114" t="s">
        <v>26</v>
      </c>
      <c r="I629" s="420"/>
      <c r="J629" s="418" t="str">
        <f t="shared" si="316"/>
        <v>rumus</v>
      </c>
      <c r="K629" s="116"/>
      <c r="L629" s="116"/>
      <c r="M629" s="116"/>
    </row>
    <row r="630" spans="1:14" ht="15" customHeight="1" x14ac:dyDescent="0.2">
      <c r="A630" s="109">
        <v>6</v>
      </c>
      <c r="B630" s="397" t="s">
        <v>399</v>
      </c>
      <c r="C630" s="576" t="s">
        <v>331</v>
      </c>
      <c r="D630" s="106" t="str">
        <f t="shared" si="312"/>
        <v/>
      </c>
      <c r="E630" s="398" t="str">
        <f t="shared" si="313"/>
        <v/>
      </c>
      <c r="F630" s="398" t="str">
        <f t="shared" si="314"/>
        <v/>
      </c>
      <c r="G630" s="399" t="str">
        <f t="shared" si="315"/>
        <v>rumus</v>
      </c>
      <c r="H630" s="114" t="s">
        <v>26</v>
      </c>
      <c r="I630" s="420"/>
      <c r="J630" s="418" t="str">
        <f t="shared" si="316"/>
        <v>rumus</v>
      </c>
      <c r="K630" s="116"/>
      <c r="L630" s="116"/>
      <c r="M630" s="116"/>
    </row>
    <row r="631" spans="1:14" ht="15" customHeight="1" x14ac:dyDescent="0.2">
      <c r="A631" s="109">
        <v>7</v>
      </c>
      <c r="B631" s="397" t="s">
        <v>399</v>
      </c>
      <c r="C631" s="576" t="s">
        <v>331</v>
      </c>
      <c r="D631" s="106" t="str">
        <f t="shared" si="312"/>
        <v/>
      </c>
      <c r="E631" s="398" t="str">
        <f t="shared" si="313"/>
        <v/>
      </c>
      <c r="F631" s="398" t="str">
        <f t="shared" si="314"/>
        <v/>
      </c>
      <c r="G631" s="399" t="str">
        <f t="shared" si="315"/>
        <v>rumus</v>
      </c>
      <c r="H631" s="114" t="s">
        <v>26</v>
      </c>
      <c r="I631" s="420"/>
      <c r="J631" s="418" t="str">
        <f t="shared" si="316"/>
        <v>rumus</v>
      </c>
      <c r="K631" s="116"/>
      <c r="L631" s="116"/>
      <c r="M631" s="116"/>
    </row>
    <row r="632" spans="1:14" ht="15" customHeight="1" x14ac:dyDescent="0.2">
      <c r="A632" s="109">
        <v>8</v>
      </c>
      <c r="B632" s="397" t="s">
        <v>399</v>
      </c>
      <c r="C632" s="576" t="s">
        <v>331</v>
      </c>
      <c r="D632" s="106" t="str">
        <f t="shared" si="312"/>
        <v/>
      </c>
      <c r="E632" s="398" t="str">
        <f t="shared" si="313"/>
        <v/>
      </c>
      <c r="F632" s="398" t="str">
        <f t="shared" si="314"/>
        <v/>
      </c>
      <c r="G632" s="399" t="str">
        <f t="shared" si="315"/>
        <v>rumus</v>
      </c>
      <c r="H632" s="114" t="s">
        <v>26</v>
      </c>
      <c r="I632" s="420"/>
      <c r="J632" s="418" t="str">
        <f t="shared" si="316"/>
        <v>rumus</v>
      </c>
      <c r="K632" s="116"/>
      <c r="L632" s="116"/>
      <c r="M632" s="116"/>
    </row>
    <row r="633" spans="1:14" ht="15" customHeight="1" x14ac:dyDescent="0.2">
      <c r="A633" s="109">
        <v>9</v>
      </c>
      <c r="B633" s="397" t="s">
        <v>399</v>
      </c>
      <c r="C633" s="576" t="s">
        <v>331</v>
      </c>
      <c r="D633" s="106" t="str">
        <f t="shared" si="312"/>
        <v/>
      </c>
      <c r="E633" s="398" t="str">
        <f t="shared" si="313"/>
        <v/>
      </c>
      <c r="F633" s="398" t="str">
        <f t="shared" si="314"/>
        <v/>
      </c>
      <c r="G633" s="399" t="str">
        <f t="shared" si="315"/>
        <v>rumus</v>
      </c>
      <c r="H633" s="114" t="s">
        <v>26</v>
      </c>
      <c r="I633" s="420"/>
      <c r="J633" s="418" t="str">
        <f t="shared" si="316"/>
        <v>rumus</v>
      </c>
      <c r="K633" s="116"/>
      <c r="L633" s="116"/>
      <c r="M633" s="116"/>
    </row>
    <row r="634" spans="1:14" ht="15" customHeight="1" x14ac:dyDescent="0.2">
      <c r="A634" s="109">
        <v>10</v>
      </c>
      <c r="B634" s="397" t="s">
        <v>399</v>
      </c>
      <c r="C634" s="576" t="s">
        <v>331</v>
      </c>
      <c r="D634" s="106" t="str">
        <f t="shared" si="312"/>
        <v/>
      </c>
      <c r="E634" s="398" t="str">
        <f t="shared" si="313"/>
        <v/>
      </c>
      <c r="F634" s="398" t="str">
        <f t="shared" si="314"/>
        <v/>
      </c>
      <c r="G634" s="399" t="str">
        <f t="shared" si="315"/>
        <v>rumus</v>
      </c>
      <c r="H634" s="114" t="s">
        <v>26</v>
      </c>
      <c r="I634" s="420"/>
      <c r="J634" s="418" t="str">
        <f t="shared" si="316"/>
        <v>rumus</v>
      </c>
      <c r="K634" s="116"/>
      <c r="L634" s="116"/>
      <c r="M634" s="116"/>
    </row>
    <row r="635" spans="1:14" ht="15" customHeight="1" x14ac:dyDescent="0.25">
      <c r="A635" s="109"/>
      <c r="B635" s="406" t="str">
        <f>"a. Semester Gasal "&amp;IF(C636&lt;&gt;"",C636,"")&amp;" :"</f>
        <v>a. Semester Gasal 2019/2020 :</v>
      </c>
      <c r="C635" s="415"/>
      <c r="D635" s="415"/>
      <c r="E635" s="415"/>
      <c r="F635" s="415"/>
      <c r="G635" s="415"/>
      <c r="H635" s="416"/>
      <c r="I635" s="116"/>
      <c r="J635" s="116"/>
      <c r="K635" s="1">
        <f>IF(COUNTIF(I625:I634,"Ketua Penguji")&lt;=4,SUMIF(I625:I634,"Ketua Penguji",J625:J634),4*1)+IF(COUNTIF(I625:I634,"Anggota Penguji")&lt;=8,SUMIF(I625:I634,"Anggota Penguji",J625:J634),8*0.5)</f>
        <v>0</v>
      </c>
      <c r="L635" s="2" t="s">
        <v>675</v>
      </c>
      <c r="M635" s="2">
        <f>IF(COUNTIF(I625:I634,"Ketua Penguji")&lt;=4,SUMIF(I625:I634,"Ketua Penguji",J625:J634),4*1)</f>
        <v>0</v>
      </c>
      <c r="N635" s="2">
        <f>IF(COUNTIF(I625:I634,"Anggota Penguji")&lt;=8,SUMIF(I625:I634,"Anggota Penguji",J625:J634),8*0.5)</f>
        <v>0</v>
      </c>
    </row>
    <row r="636" spans="1:14" ht="15" customHeight="1" x14ac:dyDescent="0.2">
      <c r="A636" s="109">
        <v>1</v>
      </c>
      <c r="B636" s="570" t="s">
        <v>692</v>
      </c>
      <c r="C636" s="576" t="s">
        <v>334</v>
      </c>
      <c r="D636" s="106" t="str">
        <f t="shared" ref="D636:D645" si="317">IF(G636&lt;&gt;"rumus","Lulusan","")</f>
        <v>Lulusan</v>
      </c>
      <c r="E636" s="398">
        <f t="shared" ref="E636:E645" si="318">IF(I636&lt;&gt;"",1,"")</f>
        <v>1</v>
      </c>
      <c r="F636" s="398">
        <f t="shared" ref="F636:F645" si="319">IF(I636&lt;&gt;"",J636,"")</f>
        <v>1</v>
      </c>
      <c r="G636" s="399" t="str">
        <f t="shared" ref="G636:G645" si="320">IF(J636&lt;&gt;"rumus","1 x "&amp;J636&amp;" = "&amp;J636,"rumus")</f>
        <v>1 x 1 = 1</v>
      </c>
      <c r="H636" s="106" t="s">
        <v>315</v>
      </c>
      <c r="I636" s="577" t="s">
        <v>87</v>
      </c>
      <c r="J636" s="418">
        <f t="shared" ref="J636:J645" si="321">IF(I636&lt;&gt;"",IF(I636="Ketua Penguji",1,IF(I636="Anggota Penguji",0.5,"")),"rumus")</f>
        <v>1</v>
      </c>
      <c r="K636" s="116"/>
      <c r="L636" s="116"/>
      <c r="M636" s="116"/>
    </row>
    <row r="637" spans="1:14" ht="15" customHeight="1" x14ac:dyDescent="0.2">
      <c r="A637" s="109">
        <v>2</v>
      </c>
      <c r="B637" s="571" t="s">
        <v>693</v>
      </c>
      <c r="C637" s="578" t="s">
        <v>334</v>
      </c>
      <c r="D637" s="106" t="str">
        <f t="shared" si="317"/>
        <v>Lulusan</v>
      </c>
      <c r="E637" s="398">
        <f t="shared" si="318"/>
        <v>1</v>
      </c>
      <c r="F637" s="398">
        <f t="shared" si="319"/>
        <v>0.5</v>
      </c>
      <c r="G637" s="399" t="str">
        <f t="shared" si="320"/>
        <v>1 x 0.5 = 0.5</v>
      </c>
      <c r="H637" s="114" t="s">
        <v>26</v>
      </c>
      <c r="I637" s="577" t="s">
        <v>88</v>
      </c>
      <c r="J637" s="418">
        <f t="shared" si="321"/>
        <v>0.5</v>
      </c>
      <c r="K637" s="116"/>
      <c r="L637" s="116"/>
      <c r="M637" s="116"/>
    </row>
    <row r="638" spans="1:14" ht="15" customHeight="1" x14ac:dyDescent="0.2">
      <c r="A638" s="109">
        <v>3</v>
      </c>
      <c r="B638" s="397" t="s">
        <v>399</v>
      </c>
      <c r="C638" s="578" t="s">
        <v>334</v>
      </c>
      <c r="D638" s="106" t="str">
        <f t="shared" si="317"/>
        <v/>
      </c>
      <c r="E638" s="398" t="str">
        <f t="shared" si="318"/>
        <v/>
      </c>
      <c r="F638" s="398" t="str">
        <f t="shared" si="319"/>
        <v/>
      </c>
      <c r="G638" s="399" t="str">
        <f t="shared" si="320"/>
        <v>rumus</v>
      </c>
      <c r="H638" s="114" t="s">
        <v>26</v>
      </c>
      <c r="I638" s="420"/>
      <c r="J638" s="418" t="str">
        <f t="shared" si="321"/>
        <v>rumus</v>
      </c>
      <c r="K638" s="116"/>
      <c r="L638" s="116"/>
      <c r="M638" s="116"/>
    </row>
    <row r="639" spans="1:14" ht="15" customHeight="1" x14ac:dyDescent="0.2">
      <c r="A639" s="109">
        <v>4</v>
      </c>
      <c r="B639" s="397" t="s">
        <v>399</v>
      </c>
      <c r="C639" s="578" t="s">
        <v>334</v>
      </c>
      <c r="D639" s="106" t="str">
        <f t="shared" si="317"/>
        <v/>
      </c>
      <c r="E639" s="398" t="str">
        <f t="shared" si="318"/>
        <v/>
      </c>
      <c r="F639" s="398" t="str">
        <f t="shared" si="319"/>
        <v/>
      </c>
      <c r="G639" s="399" t="str">
        <f t="shared" si="320"/>
        <v>rumus</v>
      </c>
      <c r="H639" s="114" t="s">
        <v>26</v>
      </c>
      <c r="I639" s="420"/>
      <c r="J639" s="418" t="str">
        <f t="shared" si="321"/>
        <v>rumus</v>
      </c>
      <c r="K639" s="116"/>
      <c r="L639" s="116"/>
      <c r="M639" s="116"/>
    </row>
    <row r="640" spans="1:14" ht="15" customHeight="1" x14ac:dyDescent="0.2">
      <c r="A640" s="109">
        <v>5</v>
      </c>
      <c r="B640" s="397" t="s">
        <v>399</v>
      </c>
      <c r="C640" s="578" t="s">
        <v>334</v>
      </c>
      <c r="D640" s="106" t="str">
        <f t="shared" si="317"/>
        <v/>
      </c>
      <c r="E640" s="398" t="str">
        <f t="shared" si="318"/>
        <v/>
      </c>
      <c r="F640" s="398" t="str">
        <f t="shared" si="319"/>
        <v/>
      </c>
      <c r="G640" s="399" t="str">
        <f t="shared" si="320"/>
        <v>rumus</v>
      </c>
      <c r="H640" s="114" t="s">
        <v>26</v>
      </c>
      <c r="I640" s="420"/>
      <c r="J640" s="418" t="str">
        <f t="shared" si="321"/>
        <v>rumus</v>
      </c>
      <c r="K640" s="116"/>
      <c r="L640" s="116"/>
      <c r="M640" s="116"/>
    </row>
    <row r="641" spans="1:14" ht="15" customHeight="1" x14ac:dyDescent="0.2">
      <c r="A641" s="109">
        <v>6</v>
      </c>
      <c r="B641" s="397" t="s">
        <v>399</v>
      </c>
      <c r="C641" s="578" t="s">
        <v>334</v>
      </c>
      <c r="D641" s="106" t="str">
        <f t="shared" si="317"/>
        <v/>
      </c>
      <c r="E641" s="398" t="str">
        <f t="shared" si="318"/>
        <v/>
      </c>
      <c r="F641" s="398" t="str">
        <f t="shared" si="319"/>
        <v/>
      </c>
      <c r="G641" s="399" t="str">
        <f t="shared" si="320"/>
        <v>rumus</v>
      </c>
      <c r="H641" s="114" t="s">
        <v>26</v>
      </c>
      <c r="I641" s="420"/>
      <c r="J641" s="418" t="str">
        <f t="shared" si="321"/>
        <v>rumus</v>
      </c>
      <c r="K641" s="116"/>
      <c r="L641" s="116"/>
      <c r="M641" s="116"/>
    </row>
    <row r="642" spans="1:14" ht="15" customHeight="1" x14ac:dyDescent="0.2">
      <c r="A642" s="109">
        <v>7</v>
      </c>
      <c r="B642" s="397" t="s">
        <v>399</v>
      </c>
      <c r="C642" s="578" t="s">
        <v>334</v>
      </c>
      <c r="D642" s="106" t="str">
        <f t="shared" si="317"/>
        <v/>
      </c>
      <c r="E642" s="398" t="str">
        <f t="shared" si="318"/>
        <v/>
      </c>
      <c r="F642" s="398" t="str">
        <f t="shared" si="319"/>
        <v/>
      </c>
      <c r="G642" s="399" t="str">
        <f t="shared" si="320"/>
        <v>rumus</v>
      </c>
      <c r="H642" s="114" t="s">
        <v>26</v>
      </c>
      <c r="I642" s="420"/>
      <c r="J642" s="418" t="str">
        <f t="shared" si="321"/>
        <v>rumus</v>
      </c>
      <c r="K642" s="116"/>
      <c r="L642" s="116"/>
      <c r="M642" s="116"/>
    </row>
    <row r="643" spans="1:14" ht="15" customHeight="1" x14ac:dyDescent="0.2">
      <c r="A643" s="109">
        <v>8</v>
      </c>
      <c r="B643" s="397" t="s">
        <v>399</v>
      </c>
      <c r="C643" s="578" t="s">
        <v>334</v>
      </c>
      <c r="D643" s="106" t="str">
        <f t="shared" si="317"/>
        <v/>
      </c>
      <c r="E643" s="398" t="str">
        <f t="shared" si="318"/>
        <v/>
      </c>
      <c r="F643" s="398" t="str">
        <f t="shared" si="319"/>
        <v/>
      </c>
      <c r="G643" s="399" t="str">
        <f t="shared" si="320"/>
        <v>rumus</v>
      </c>
      <c r="H643" s="114" t="s">
        <v>26</v>
      </c>
      <c r="I643" s="420"/>
      <c r="J643" s="418" t="str">
        <f t="shared" si="321"/>
        <v>rumus</v>
      </c>
      <c r="K643" s="116"/>
      <c r="L643" s="116"/>
      <c r="M643" s="116"/>
    </row>
    <row r="644" spans="1:14" ht="15" customHeight="1" x14ac:dyDescent="0.2">
      <c r="A644" s="109">
        <v>9</v>
      </c>
      <c r="B644" s="397" t="s">
        <v>399</v>
      </c>
      <c r="C644" s="578" t="s">
        <v>334</v>
      </c>
      <c r="D644" s="106" t="str">
        <f t="shared" si="317"/>
        <v/>
      </c>
      <c r="E644" s="398" t="str">
        <f t="shared" si="318"/>
        <v/>
      </c>
      <c r="F644" s="398" t="str">
        <f t="shared" si="319"/>
        <v/>
      </c>
      <c r="G644" s="399" t="str">
        <f t="shared" si="320"/>
        <v>rumus</v>
      </c>
      <c r="H644" s="114" t="s">
        <v>26</v>
      </c>
      <c r="I644" s="420"/>
      <c r="J644" s="418" t="str">
        <f t="shared" si="321"/>
        <v>rumus</v>
      </c>
      <c r="K644" s="116"/>
      <c r="L644" s="116"/>
      <c r="M644" s="116"/>
    </row>
    <row r="645" spans="1:14" ht="15" customHeight="1" x14ac:dyDescent="0.2">
      <c r="A645" s="109">
        <v>10</v>
      </c>
      <c r="B645" s="397" t="s">
        <v>399</v>
      </c>
      <c r="C645" s="578" t="s">
        <v>334</v>
      </c>
      <c r="D645" s="106" t="str">
        <f t="shared" si="317"/>
        <v/>
      </c>
      <c r="E645" s="398" t="str">
        <f t="shared" si="318"/>
        <v/>
      </c>
      <c r="F645" s="398" t="str">
        <f t="shared" si="319"/>
        <v/>
      </c>
      <c r="G645" s="399" t="str">
        <f t="shared" si="320"/>
        <v>rumus</v>
      </c>
      <c r="H645" s="114" t="s">
        <v>26</v>
      </c>
      <c r="I645" s="420"/>
      <c r="J645" s="418" t="str">
        <f t="shared" si="321"/>
        <v>rumus</v>
      </c>
      <c r="K645" s="116"/>
      <c r="L645" s="116"/>
      <c r="M645" s="116"/>
    </row>
    <row r="646" spans="1:14" ht="15" customHeight="1" x14ac:dyDescent="0.25">
      <c r="A646" s="109"/>
      <c r="B646" s="406" t="str">
        <f>"a. Semester Gasal "&amp;IF(C647&lt;&gt;"",C647,"")&amp;" :"</f>
        <v>a. Semester Gasal 2021/2022 :</v>
      </c>
      <c r="C646" s="415"/>
      <c r="D646" s="415"/>
      <c r="E646" s="415"/>
      <c r="F646" s="415"/>
      <c r="G646" s="415"/>
      <c r="H646" s="416"/>
      <c r="I646" s="116"/>
      <c r="J646" s="116"/>
      <c r="K646" s="1">
        <f>IF(COUNTIF(I636:I645,"Ketua Penguji")&lt;=4,SUMIF(I636:I645,"Ketua Penguji",J636:J645),4*1)+IF(COUNTIF(I636:I645,"Anggota Penguji")&lt;=8,SUMIF(I636:I645,"Anggota Penguji",J636:J645),8*0.5)</f>
        <v>1.5</v>
      </c>
      <c r="L646" s="2" t="s">
        <v>675</v>
      </c>
      <c r="M646" s="2">
        <f>IF(COUNTIF(I636:I645,"Ketua Penguji")&lt;=4,SUMIF(I636:I645,"Ketua Penguji",J636:J645),4*1)</f>
        <v>1</v>
      </c>
      <c r="N646" s="2">
        <f>IF(COUNTIF(I636:I645,"Anggota Penguji")&lt;=8,SUMIF(I636:I645,"Anggota Penguji",J636:J645),8*0.5)</f>
        <v>0.5</v>
      </c>
    </row>
    <row r="647" spans="1:14" ht="15.75" customHeight="1" x14ac:dyDescent="0.2">
      <c r="A647" s="109">
        <v>1</v>
      </c>
      <c r="B647" s="570" t="s">
        <v>694</v>
      </c>
      <c r="C647" s="576" t="s">
        <v>341</v>
      </c>
      <c r="D647" s="106" t="str">
        <f t="shared" ref="D647:D656" si="322">IF(G647&lt;&gt;"rumus","Lulusan","")</f>
        <v>Lulusan</v>
      </c>
      <c r="E647" s="398">
        <f t="shared" ref="E647:E656" si="323">IF(I647&lt;&gt;"",1,"")</f>
        <v>1</v>
      </c>
      <c r="F647" s="398">
        <f t="shared" ref="F647:F656" si="324">IF(I647&lt;&gt;"",J647,"")</f>
        <v>1</v>
      </c>
      <c r="G647" s="399" t="str">
        <f t="shared" ref="G647:G656" si="325">IF(J647&lt;&gt;"rumus","1 x "&amp;J647&amp;" = "&amp;J647,"rumus")</f>
        <v>1 x 1 = 1</v>
      </c>
      <c r="H647" s="106" t="s">
        <v>315</v>
      </c>
      <c r="I647" s="577" t="s">
        <v>87</v>
      </c>
      <c r="J647" s="418">
        <f t="shared" ref="J647:J656" si="326">IF(I647&lt;&gt;"",IF(I647="Ketua Penguji",1,IF(I647="Anggota Penguji",0.5,"")),"rumus")</f>
        <v>1</v>
      </c>
      <c r="K647" s="116"/>
      <c r="L647" s="116"/>
      <c r="M647" s="116"/>
    </row>
    <row r="648" spans="1:14" ht="15.75" customHeight="1" x14ac:dyDescent="0.2">
      <c r="A648" s="109">
        <v>2</v>
      </c>
      <c r="B648" s="571" t="s">
        <v>695</v>
      </c>
      <c r="C648" s="576" t="s">
        <v>341</v>
      </c>
      <c r="D648" s="106" t="str">
        <f t="shared" si="322"/>
        <v>Lulusan</v>
      </c>
      <c r="E648" s="398">
        <f t="shared" si="323"/>
        <v>1</v>
      </c>
      <c r="F648" s="398">
        <f t="shared" si="324"/>
        <v>1</v>
      </c>
      <c r="G648" s="399" t="str">
        <f t="shared" si="325"/>
        <v>1 x 1 = 1</v>
      </c>
      <c r="H648" s="114" t="s">
        <v>26</v>
      </c>
      <c r="I648" s="577" t="s">
        <v>87</v>
      </c>
      <c r="J648" s="418">
        <f t="shared" si="326"/>
        <v>1</v>
      </c>
      <c r="K648" s="116"/>
      <c r="L648" s="116"/>
      <c r="M648" s="116"/>
    </row>
    <row r="649" spans="1:14" ht="15.75" customHeight="1" x14ac:dyDescent="0.2">
      <c r="A649" s="109">
        <v>3</v>
      </c>
      <c r="B649" s="571" t="s">
        <v>696</v>
      </c>
      <c r="C649" s="576" t="s">
        <v>341</v>
      </c>
      <c r="D649" s="106" t="str">
        <f t="shared" si="322"/>
        <v>Lulusan</v>
      </c>
      <c r="E649" s="398">
        <f t="shared" si="323"/>
        <v>1</v>
      </c>
      <c r="F649" s="398">
        <f t="shared" si="324"/>
        <v>1</v>
      </c>
      <c r="G649" s="399" t="str">
        <f t="shared" si="325"/>
        <v>1 x 1 = 1</v>
      </c>
      <c r="H649" s="114" t="s">
        <v>26</v>
      </c>
      <c r="I649" s="577" t="s">
        <v>87</v>
      </c>
      <c r="J649" s="418">
        <f t="shared" si="326"/>
        <v>1</v>
      </c>
      <c r="K649" s="116"/>
      <c r="L649" s="116"/>
      <c r="M649" s="116"/>
    </row>
    <row r="650" spans="1:14" ht="15.75" customHeight="1" x14ac:dyDescent="0.2">
      <c r="A650" s="109">
        <v>4</v>
      </c>
      <c r="B650" s="571" t="s">
        <v>697</v>
      </c>
      <c r="C650" s="576" t="s">
        <v>341</v>
      </c>
      <c r="D650" s="106" t="str">
        <f t="shared" si="322"/>
        <v>Lulusan</v>
      </c>
      <c r="E650" s="398">
        <f t="shared" si="323"/>
        <v>1</v>
      </c>
      <c r="F650" s="398">
        <f t="shared" si="324"/>
        <v>1</v>
      </c>
      <c r="G650" s="399" t="str">
        <f t="shared" si="325"/>
        <v>1 x 1 = 1</v>
      </c>
      <c r="H650" s="114" t="s">
        <v>26</v>
      </c>
      <c r="I650" s="577" t="s">
        <v>87</v>
      </c>
      <c r="J650" s="418">
        <f t="shared" si="326"/>
        <v>1</v>
      </c>
      <c r="K650" s="116"/>
      <c r="L650" s="116"/>
      <c r="M650" s="116"/>
    </row>
    <row r="651" spans="1:14" ht="15.75" customHeight="1" x14ac:dyDescent="0.2">
      <c r="A651" s="109">
        <v>5</v>
      </c>
      <c r="B651" s="571" t="s">
        <v>698</v>
      </c>
      <c r="C651" s="576" t="s">
        <v>341</v>
      </c>
      <c r="D651" s="106" t="str">
        <f t="shared" si="322"/>
        <v>Lulusan</v>
      </c>
      <c r="E651" s="398">
        <f t="shared" si="323"/>
        <v>1</v>
      </c>
      <c r="F651" s="398">
        <f t="shared" si="324"/>
        <v>0.5</v>
      </c>
      <c r="G651" s="399" t="str">
        <f t="shared" si="325"/>
        <v>1 x 0.5 = 0.5</v>
      </c>
      <c r="H651" s="114" t="s">
        <v>26</v>
      </c>
      <c r="I651" s="577" t="s">
        <v>88</v>
      </c>
      <c r="J651" s="418">
        <f t="shared" si="326"/>
        <v>0.5</v>
      </c>
      <c r="K651" s="116"/>
      <c r="L651" s="116"/>
      <c r="M651" s="116"/>
    </row>
    <row r="652" spans="1:14" ht="15.75" customHeight="1" x14ac:dyDescent="0.2">
      <c r="A652" s="109">
        <v>6</v>
      </c>
      <c r="B652" s="571" t="s">
        <v>699</v>
      </c>
      <c r="C652" s="576" t="s">
        <v>341</v>
      </c>
      <c r="D652" s="106" t="str">
        <f t="shared" si="322"/>
        <v>Lulusan</v>
      </c>
      <c r="E652" s="398">
        <f t="shared" si="323"/>
        <v>1</v>
      </c>
      <c r="F652" s="398">
        <f t="shared" si="324"/>
        <v>0.5</v>
      </c>
      <c r="G652" s="399" t="str">
        <f t="shared" si="325"/>
        <v>1 x 0.5 = 0.5</v>
      </c>
      <c r="H652" s="114" t="s">
        <v>26</v>
      </c>
      <c r="I652" s="577" t="s">
        <v>88</v>
      </c>
      <c r="J652" s="418">
        <f t="shared" si="326"/>
        <v>0.5</v>
      </c>
      <c r="K652" s="116"/>
      <c r="L652" s="116"/>
      <c r="M652" s="116"/>
    </row>
    <row r="653" spans="1:14" ht="15.75" customHeight="1" x14ac:dyDescent="0.2">
      <c r="A653" s="109">
        <v>7</v>
      </c>
      <c r="B653" s="571" t="s">
        <v>700</v>
      </c>
      <c r="C653" s="576" t="s">
        <v>341</v>
      </c>
      <c r="D653" s="106" t="str">
        <f t="shared" si="322"/>
        <v>Lulusan</v>
      </c>
      <c r="E653" s="398">
        <f t="shared" si="323"/>
        <v>1</v>
      </c>
      <c r="F653" s="398">
        <f t="shared" si="324"/>
        <v>0.5</v>
      </c>
      <c r="G653" s="399" t="str">
        <f t="shared" si="325"/>
        <v>1 x 0.5 = 0.5</v>
      </c>
      <c r="H653" s="114" t="s">
        <v>26</v>
      </c>
      <c r="I653" s="577" t="s">
        <v>88</v>
      </c>
      <c r="J653" s="418">
        <f t="shared" si="326"/>
        <v>0.5</v>
      </c>
      <c r="K653" s="116"/>
      <c r="L653" s="116"/>
      <c r="M653" s="116"/>
    </row>
    <row r="654" spans="1:14" ht="15.75" customHeight="1" x14ac:dyDescent="0.2">
      <c r="A654" s="109">
        <v>8</v>
      </c>
      <c r="B654" s="397" t="s">
        <v>399</v>
      </c>
      <c r="C654" s="576" t="s">
        <v>341</v>
      </c>
      <c r="D654" s="106" t="str">
        <f t="shared" si="322"/>
        <v/>
      </c>
      <c r="E654" s="398" t="str">
        <f t="shared" si="323"/>
        <v/>
      </c>
      <c r="F654" s="398" t="str">
        <f t="shared" si="324"/>
        <v/>
      </c>
      <c r="G654" s="399" t="str">
        <f t="shared" si="325"/>
        <v>rumus</v>
      </c>
      <c r="H654" s="114" t="s">
        <v>26</v>
      </c>
      <c r="I654" s="420"/>
      <c r="J654" s="418" t="str">
        <f t="shared" si="326"/>
        <v>rumus</v>
      </c>
      <c r="K654" s="116"/>
      <c r="L654" s="116"/>
      <c r="M654" s="116"/>
    </row>
    <row r="655" spans="1:14" ht="15.75" customHeight="1" x14ac:dyDescent="0.2">
      <c r="A655" s="109">
        <v>9</v>
      </c>
      <c r="B655" s="397" t="s">
        <v>399</v>
      </c>
      <c r="C655" s="576" t="s">
        <v>341</v>
      </c>
      <c r="D655" s="106" t="str">
        <f t="shared" si="322"/>
        <v/>
      </c>
      <c r="E655" s="398" t="str">
        <f t="shared" si="323"/>
        <v/>
      </c>
      <c r="F655" s="398" t="str">
        <f t="shared" si="324"/>
        <v/>
      </c>
      <c r="G655" s="399" t="str">
        <f t="shared" si="325"/>
        <v>rumus</v>
      </c>
      <c r="H655" s="114" t="s">
        <v>26</v>
      </c>
      <c r="I655" s="420"/>
      <c r="J655" s="418" t="str">
        <f t="shared" si="326"/>
        <v>rumus</v>
      </c>
      <c r="K655" s="116"/>
      <c r="L655" s="116"/>
      <c r="M655" s="116"/>
    </row>
    <row r="656" spans="1:14" ht="15.75" customHeight="1" x14ac:dyDescent="0.2">
      <c r="A656" s="109">
        <v>10</v>
      </c>
      <c r="B656" s="397" t="s">
        <v>399</v>
      </c>
      <c r="C656" s="576" t="s">
        <v>341</v>
      </c>
      <c r="D656" s="106" t="str">
        <f t="shared" si="322"/>
        <v/>
      </c>
      <c r="E656" s="398" t="str">
        <f t="shared" si="323"/>
        <v/>
      </c>
      <c r="F656" s="398" t="str">
        <f t="shared" si="324"/>
        <v/>
      </c>
      <c r="G656" s="399" t="str">
        <f t="shared" si="325"/>
        <v>rumus</v>
      </c>
      <c r="H656" s="114" t="s">
        <v>26</v>
      </c>
      <c r="I656" s="420"/>
      <c r="J656" s="418" t="str">
        <f t="shared" si="326"/>
        <v>rumus</v>
      </c>
      <c r="K656" s="116"/>
      <c r="L656" s="116"/>
      <c r="M656" s="116"/>
    </row>
    <row r="657" spans="1:14" ht="15.75" customHeight="1" x14ac:dyDescent="0.25">
      <c r="A657" s="109"/>
      <c r="B657" s="406" t="str">
        <f>"a. Semester Gasal "&amp;IF(C658&lt;&gt;"",C658,"")&amp;" :"</f>
        <v>a. Semester Gasal 2013/2014 :</v>
      </c>
      <c r="C657" s="415"/>
      <c r="D657" s="415"/>
      <c r="E657" s="415"/>
      <c r="F657" s="415"/>
      <c r="G657" s="415"/>
      <c r="H657" s="416"/>
      <c r="I657" s="116"/>
      <c r="J657" s="116"/>
      <c r="K657" s="1">
        <f>IF(COUNTIF(I647:I656,"Ketua Penguji")&lt;=4,SUMIF(I647:I656,"Ketua Penguji",J647:J656),4*1)+IF(COUNTIF(I647:I656,"Anggota Penguji")&lt;=8,SUMIF(I647:I656,"Anggota Penguji",J647:J656),8*0.5)</f>
        <v>5.5</v>
      </c>
      <c r="L657" s="2" t="s">
        <v>675</v>
      </c>
      <c r="M657" s="2">
        <f>IF(COUNTIF(I647:I656,"Ketua Penguji")&lt;=4,SUMIF(I647:I656,"Ketua Penguji",J647:J656),4*1)</f>
        <v>4</v>
      </c>
      <c r="N657" s="2">
        <f>IF(COUNTIF(I647:I656,"Anggota Penguji")&lt;=8,SUMIF(I647:I656,"Anggota Penguji",J647:J656),8*0.5)</f>
        <v>1.5</v>
      </c>
    </row>
    <row r="658" spans="1:14" ht="15.75" customHeight="1" x14ac:dyDescent="0.2">
      <c r="A658" s="109">
        <v>1</v>
      </c>
      <c r="B658" s="397" t="s">
        <v>399</v>
      </c>
      <c r="C658" s="106" t="s">
        <v>317</v>
      </c>
      <c r="D658" s="106" t="str">
        <f t="shared" ref="D658:D667" si="327">IF(G658&lt;&gt;"rumus","Lulusan","")</f>
        <v/>
      </c>
      <c r="E658" s="398" t="str">
        <f t="shared" ref="E658:E667" si="328">IF(I658&lt;&gt;"",1,"")</f>
        <v/>
      </c>
      <c r="F658" s="398" t="str">
        <f t="shared" ref="F658:F667" si="329">IF(I658&lt;&gt;"",J658,"")</f>
        <v/>
      </c>
      <c r="G658" s="399" t="str">
        <f t="shared" ref="G658:G667" si="330">IF(J658&lt;&gt;"rumus","1 x "&amp;J658&amp;" = "&amp;J658,"rumus")</f>
        <v>rumus</v>
      </c>
      <c r="H658" s="106" t="s">
        <v>315</v>
      </c>
      <c r="I658" s="420"/>
      <c r="J658" s="418" t="str">
        <f t="shared" ref="J658:J667" si="331">IF(I658&lt;&gt;"",IF(I658="Ketua Penguji",1,IF(I658="Anggota Penguji",0.5,"")),"rumus")</f>
        <v>rumus</v>
      </c>
      <c r="K658" s="116"/>
      <c r="L658" s="116"/>
      <c r="M658" s="116"/>
    </row>
    <row r="659" spans="1:14" ht="15.75" customHeight="1" x14ac:dyDescent="0.2">
      <c r="A659" s="109">
        <v>2</v>
      </c>
      <c r="B659" s="397" t="s">
        <v>399</v>
      </c>
      <c r="C659" s="106" t="s">
        <v>317</v>
      </c>
      <c r="D659" s="106" t="str">
        <f t="shared" si="327"/>
        <v/>
      </c>
      <c r="E659" s="398" t="str">
        <f t="shared" si="328"/>
        <v/>
      </c>
      <c r="F659" s="398" t="str">
        <f t="shared" si="329"/>
        <v/>
      </c>
      <c r="G659" s="399" t="str">
        <f t="shared" si="330"/>
        <v>rumus</v>
      </c>
      <c r="H659" s="114" t="s">
        <v>26</v>
      </c>
      <c r="I659" s="420"/>
      <c r="J659" s="418" t="str">
        <f t="shared" si="331"/>
        <v>rumus</v>
      </c>
      <c r="K659" s="116"/>
      <c r="L659" s="116"/>
      <c r="M659" s="116"/>
    </row>
    <row r="660" spans="1:14" ht="15.75" customHeight="1" x14ac:dyDescent="0.2">
      <c r="A660" s="109">
        <v>3</v>
      </c>
      <c r="B660" s="397" t="s">
        <v>399</v>
      </c>
      <c r="C660" s="106" t="s">
        <v>317</v>
      </c>
      <c r="D660" s="106" t="str">
        <f t="shared" si="327"/>
        <v/>
      </c>
      <c r="E660" s="398" t="str">
        <f t="shared" si="328"/>
        <v/>
      </c>
      <c r="F660" s="398" t="str">
        <f t="shared" si="329"/>
        <v/>
      </c>
      <c r="G660" s="399" t="str">
        <f t="shared" si="330"/>
        <v>rumus</v>
      </c>
      <c r="H660" s="114" t="s">
        <v>26</v>
      </c>
      <c r="I660" s="420"/>
      <c r="J660" s="418" t="str">
        <f t="shared" si="331"/>
        <v>rumus</v>
      </c>
      <c r="K660" s="116"/>
      <c r="L660" s="116"/>
      <c r="M660" s="116"/>
    </row>
    <row r="661" spans="1:14" ht="15.75" customHeight="1" x14ac:dyDescent="0.2">
      <c r="A661" s="109">
        <v>4</v>
      </c>
      <c r="B661" s="397" t="s">
        <v>399</v>
      </c>
      <c r="C661" s="106" t="s">
        <v>317</v>
      </c>
      <c r="D661" s="106" t="str">
        <f t="shared" si="327"/>
        <v/>
      </c>
      <c r="E661" s="398" t="str">
        <f t="shared" si="328"/>
        <v/>
      </c>
      <c r="F661" s="398" t="str">
        <f t="shared" si="329"/>
        <v/>
      </c>
      <c r="G661" s="399" t="str">
        <f t="shared" si="330"/>
        <v>rumus</v>
      </c>
      <c r="H661" s="114" t="s">
        <v>26</v>
      </c>
      <c r="I661" s="420"/>
      <c r="J661" s="418" t="str">
        <f t="shared" si="331"/>
        <v>rumus</v>
      </c>
      <c r="K661" s="116"/>
      <c r="L661" s="116"/>
      <c r="M661" s="116"/>
    </row>
    <row r="662" spans="1:14" ht="15.75" customHeight="1" x14ac:dyDescent="0.2">
      <c r="A662" s="109">
        <v>5</v>
      </c>
      <c r="B662" s="397" t="s">
        <v>399</v>
      </c>
      <c r="C662" s="106" t="s">
        <v>317</v>
      </c>
      <c r="D662" s="106" t="str">
        <f t="shared" si="327"/>
        <v/>
      </c>
      <c r="E662" s="398" t="str">
        <f t="shared" si="328"/>
        <v/>
      </c>
      <c r="F662" s="398" t="str">
        <f t="shared" si="329"/>
        <v/>
      </c>
      <c r="G662" s="399" t="str">
        <f t="shared" si="330"/>
        <v>rumus</v>
      </c>
      <c r="H662" s="114" t="s">
        <v>26</v>
      </c>
      <c r="I662" s="420"/>
      <c r="J662" s="418" t="str">
        <f t="shared" si="331"/>
        <v>rumus</v>
      </c>
      <c r="K662" s="116"/>
      <c r="L662" s="116"/>
      <c r="M662" s="116"/>
    </row>
    <row r="663" spans="1:14" ht="15.75" customHeight="1" x14ac:dyDescent="0.2">
      <c r="A663" s="109">
        <v>6</v>
      </c>
      <c r="B663" s="397" t="s">
        <v>399</v>
      </c>
      <c r="C663" s="106" t="s">
        <v>317</v>
      </c>
      <c r="D663" s="106" t="str">
        <f t="shared" si="327"/>
        <v/>
      </c>
      <c r="E663" s="398" t="str">
        <f t="shared" si="328"/>
        <v/>
      </c>
      <c r="F663" s="398" t="str">
        <f t="shared" si="329"/>
        <v/>
      </c>
      <c r="G663" s="399" t="str">
        <f t="shared" si="330"/>
        <v>rumus</v>
      </c>
      <c r="H663" s="114" t="s">
        <v>26</v>
      </c>
      <c r="I663" s="420"/>
      <c r="J663" s="418" t="str">
        <f t="shared" si="331"/>
        <v>rumus</v>
      </c>
      <c r="K663" s="116"/>
      <c r="L663" s="116"/>
      <c r="M663" s="116"/>
    </row>
    <row r="664" spans="1:14" ht="15.75" customHeight="1" x14ac:dyDescent="0.2">
      <c r="A664" s="109">
        <v>7</v>
      </c>
      <c r="B664" s="397" t="s">
        <v>399</v>
      </c>
      <c r="C664" s="106" t="s">
        <v>317</v>
      </c>
      <c r="D664" s="106" t="str">
        <f t="shared" si="327"/>
        <v/>
      </c>
      <c r="E664" s="398" t="str">
        <f t="shared" si="328"/>
        <v/>
      </c>
      <c r="F664" s="398" t="str">
        <f t="shared" si="329"/>
        <v/>
      </c>
      <c r="G664" s="399" t="str">
        <f t="shared" si="330"/>
        <v>rumus</v>
      </c>
      <c r="H664" s="114" t="s">
        <v>26</v>
      </c>
      <c r="I664" s="420"/>
      <c r="J664" s="418" t="str">
        <f t="shared" si="331"/>
        <v>rumus</v>
      </c>
      <c r="K664" s="116"/>
      <c r="L664" s="116"/>
      <c r="M664" s="116"/>
    </row>
    <row r="665" spans="1:14" ht="15.75" customHeight="1" x14ac:dyDescent="0.2">
      <c r="A665" s="109">
        <v>8</v>
      </c>
      <c r="B665" s="397" t="s">
        <v>399</v>
      </c>
      <c r="C665" s="106" t="s">
        <v>317</v>
      </c>
      <c r="D665" s="106" t="str">
        <f t="shared" si="327"/>
        <v/>
      </c>
      <c r="E665" s="398" t="str">
        <f t="shared" si="328"/>
        <v/>
      </c>
      <c r="F665" s="398" t="str">
        <f t="shared" si="329"/>
        <v/>
      </c>
      <c r="G665" s="399" t="str">
        <f t="shared" si="330"/>
        <v>rumus</v>
      </c>
      <c r="H665" s="114" t="s">
        <v>26</v>
      </c>
      <c r="I665" s="420"/>
      <c r="J665" s="418" t="str">
        <f t="shared" si="331"/>
        <v>rumus</v>
      </c>
      <c r="K665" s="116"/>
      <c r="L665" s="116"/>
      <c r="M665" s="116"/>
    </row>
    <row r="666" spans="1:14" ht="15.75" customHeight="1" x14ac:dyDescent="0.2">
      <c r="A666" s="109">
        <v>9</v>
      </c>
      <c r="B666" s="397" t="s">
        <v>399</v>
      </c>
      <c r="C666" s="106" t="s">
        <v>317</v>
      </c>
      <c r="D666" s="106" t="str">
        <f t="shared" si="327"/>
        <v/>
      </c>
      <c r="E666" s="398" t="str">
        <f t="shared" si="328"/>
        <v/>
      </c>
      <c r="F666" s="398" t="str">
        <f t="shared" si="329"/>
        <v/>
      </c>
      <c r="G666" s="399" t="str">
        <f t="shared" si="330"/>
        <v>rumus</v>
      </c>
      <c r="H666" s="114" t="s">
        <v>26</v>
      </c>
      <c r="I666" s="420"/>
      <c r="J666" s="418" t="str">
        <f t="shared" si="331"/>
        <v>rumus</v>
      </c>
      <c r="K666" s="116"/>
      <c r="L666" s="116"/>
      <c r="M666" s="116"/>
    </row>
    <row r="667" spans="1:14" ht="15.75" customHeight="1" x14ac:dyDescent="0.2">
      <c r="A667" s="109">
        <v>10</v>
      </c>
      <c r="B667" s="397" t="s">
        <v>399</v>
      </c>
      <c r="C667" s="106" t="s">
        <v>317</v>
      </c>
      <c r="D667" s="106" t="str">
        <f t="shared" si="327"/>
        <v/>
      </c>
      <c r="E667" s="398" t="str">
        <f t="shared" si="328"/>
        <v/>
      </c>
      <c r="F667" s="398" t="str">
        <f t="shared" si="329"/>
        <v/>
      </c>
      <c r="G667" s="399" t="str">
        <f t="shared" si="330"/>
        <v>rumus</v>
      </c>
      <c r="H667" s="114" t="s">
        <v>26</v>
      </c>
      <c r="I667" s="420"/>
      <c r="J667" s="418" t="str">
        <f t="shared" si="331"/>
        <v>rumus</v>
      </c>
      <c r="K667" s="116"/>
      <c r="L667" s="116"/>
      <c r="M667" s="116"/>
    </row>
    <row r="668" spans="1:14" ht="15.75" customHeight="1" x14ac:dyDescent="0.25">
      <c r="A668" s="109"/>
      <c r="B668" s="406" t="str">
        <f>"a. Semester Gasal "&amp;IF(C669&lt;&gt;"",C669,"")&amp;" :"</f>
        <v>a. Semester Gasal 2014/2015 :</v>
      </c>
      <c r="C668" s="415"/>
      <c r="D668" s="415"/>
      <c r="E668" s="415"/>
      <c r="F668" s="415"/>
      <c r="G668" s="415"/>
      <c r="H668" s="416"/>
      <c r="I668" s="116"/>
      <c r="J668" s="116"/>
      <c r="K668" s="1">
        <f>IF(COUNTIF(I658:I667,"Ketua Penguji")&lt;=4,SUMIF(I658:I667,"Ketua Penguji",J658:J667),4*1)+IF(COUNTIF(I658:I667,"Anggota Penguji")&lt;=8,SUMIF(I658:I667,"Anggota Penguji",J658:J667),8*0.5)</f>
        <v>0</v>
      </c>
      <c r="L668" s="2" t="s">
        <v>675</v>
      </c>
      <c r="M668" s="2">
        <f>IF(COUNTIF(I658:I667,"Ketua Penguji")&lt;=4,SUMIF(I658:I667,"Ketua Penguji",J658:J667),4*1)</f>
        <v>0</v>
      </c>
      <c r="N668" s="2">
        <f>IF(COUNTIF(I658:I667,"Anggota Penguji")&lt;=8,SUMIF(I658:I667,"Anggota Penguji",J658:J667),8*0.5)</f>
        <v>0</v>
      </c>
    </row>
    <row r="669" spans="1:14" ht="15.75" customHeight="1" x14ac:dyDescent="0.2">
      <c r="A669" s="109">
        <v>1</v>
      </c>
      <c r="B669" s="397" t="s">
        <v>399</v>
      </c>
      <c r="C669" s="106" t="s">
        <v>319</v>
      </c>
      <c r="D669" s="106" t="str">
        <f t="shared" ref="D669:D678" si="332">IF(G669&lt;&gt;"rumus","Lulusan","")</f>
        <v/>
      </c>
      <c r="E669" s="398" t="str">
        <f t="shared" ref="E669:E678" si="333">IF(I669&lt;&gt;"",1,"")</f>
        <v/>
      </c>
      <c r="F669" s="398" t="str">
        <f t="shared" ref="F669:F678" si="334">IF(I669&lt;&gt;"",J669,"")</f>
        <v/>
      </c>
      <c r="G669" s="399" t="str">
        <f t="shared" ref="G669:G678" si="335">IF(J669&lt;&gt;"rumus","1 x "&amp;J669&amp;" = "&amp;J669,"rumus")</f>
        <v>rumus</v>
      </c>
      <c r="H669" s="106" t="s">
        <v>315</v>
      </c>
      <c r="I669" s="420"/>
      <c r="J669" s="418" t="str">
        <f t="shared" ref="J669:J678" si="336">IF(I669&lt;&gt;"",IF(I669="Ketua Penguji",1,IF(I669="Anggota Penguji",0.5,"")),"rumus")</f>
        <v>rumus</v>
      </c>
      <c r="K669" s="116"/>
      <c r="L669" s="116"/>
      <c r="M669" s="116"/>
    </row>
    <row r="670" spans="1:14" ht="15.75" customHeight="1" x14ac:dyDescent="0.2">
      <c r="A670" s="109">
        <v>2</v>
      </c>
      <c r="B670" s="397" t="s">
        <v>399</v>
      </c>
      <c r="C670" s="106" t="s">
        <v>319</v>
      </c>
      <c r="D670" s="106" t="str">
        <f t="shared" si="332"/>
        <v/>
      </c>
      <c r="E670" s="398" t="str">
        <f t="shared" si="333"/>
        <v/>
      </c>
      <c r="F670" s="398" t="str">
        <f t="shared" si="334"/>
        <v/>
      </c>
      <c r="G670" s="399" t="str">
        <f t="shared" si="335"/>
        <v>rumus</v>
      </c>
      <c r="H670" s="114" t="s">
        <v>26</v>
      </c>
      <c r="I670" s="420"/>
      <c r="J670" s="418" t="str">
        <f t="shared" si="336"/>
        <v>rumus</v>
      </c>
      <c r="K670" s="116"/>
      <c r="L670" s="116"/>
      <c r="M670" s="116"/>
    </row>
    <row r="671" spans="1:14" ht="15.75" customHeight="1" x14ac:dyDescent="0.2">
      <c r="A671" s="109">
        <v>3</v>
      </c>
      <c r="B671" s="397" t="s">
        <v>399</v>
      </c>
      <c r="C671" s="106" t="s">
        <v>319</v>
      </c>
      <c r="D671" s="106" t="str">
        <f t="shared" si="332"/>
        <v/>
      </c>
      <c r="E671" s="398" t="str">
        <f t="shared" si="333"/>
        <v/>
      </c>
      <c r="F671" s="398" t="str">
        <f t="shared" si="334"/>
        <v/>
      </c>
      <c r="G671" s="399" t="str">
        <f t="shared" si="335"/>
        <v>rumus</v>
      </c>
      <c r="H671" s="114" t="s">
        <v>26</v>
      </c>
      <c r="I671" s="420"/>
      <c r="J671" s="418" t="str">
        <f t="shared" si="336"/>
        <v>rumus</v>
      </c>
      <c r="K671" s="116"/>
      <c r="L671" s="116"/>
      <c r="M671" s="116"/>
    </row>
    <row r="672" spans="1:14" ht="15.75" customHeight="1" x14ac:dyDescent="0.2">
      <c r="A672" s="109">
        <v>4</v>
      </c>
      <c r="B672" s="397" t="s">
        <v>399</v>
      </c>
      <c r="C672" s="106" t="s">
        <v>319</v>
      </c>
      <c r="D672" s="106" t="str">
        <f t="shared" si="332"/>
        <v/>
      </c>
      <c r="E672" s="398" t="str">
        <f t="shared" si="333"/>
        <v/>
      </c>
      <c r="F672" s="398" t="str">
        <f t="shared" si="334"/>
        <v/>
      </c>
      <c r="G672" s="399" t="str">
        <f t="shared" si="335"/>
        <v>rumus</v>
      </c>
      <c r="H672" s="114" t="s">
        <v>26</v>
      </c>
      <c r="I672" s="420"/>
      <c r="J672" s="418" t="str">
        <f t="shared" si="336"/>
        <v>rumus</v>
      </c>
      <c r="K672" s="116"/>
      <c r="L672" s="116"/>
      <c r="M672" s="116"/>
    </row>
    <row r="673" spans="1:14" ht="15.75" customHeight="1" x14ac:dyDescent="0.2">
      <c r="A673" s="109">
        <v>5</v>
      </c>
      <c r="B673" s="397" t="s">
        <v>399</v>
      </c>
      <c r="C673" s="106" t="s">
        <v>319</v>
      </c>
      <c r="D673" s="106" t="str">
        <f t="shared" si="332"/>
        <v/>
      </c>
      <c r="E673" s="398" t="str">
        <f t="shared" si="333"/>
        <v/>
      </c>
      <c r="F673" s="398" t="str">
        <f t="shared" si="334"/>
        <v/>
      </c>
      <c r="G673" s="399" t="str">
        <f t="shared" si="335"/>
        <v>rumus</v>
      </c>
      <c r="H673" s="114" t="s">
        <v>26</v>
      </c>
      <c r="I673" s="420"/>
      <c r="J673" s="418" t="str">
        <f t="shared" si="336"/>
        <v>rumus</v>
      </c>
      <c r="K673" s="116"/>
      <c r="L673" s="116"/>
      <c r="M673" s="116"/>
    </row>
    <row r="674" spans="1:14" ht="15.75" customHeight="1" x14ac:dyDescent="0.2">
      <c r="A674" s="109">
        <v>6</v>
      </c>
      <c r="B674" s="397" t="s">
        <v>399</v>
      </c>
      <c r="C674" s="106" t="s">
        <v>319</v>
      </c>
      <c r="D674" s="106" t="str">
        <f t="shared" si="332"/>
        <v/>
      </c>
      <c r="E674" s="398" t="str">
        <f t="shared" si="333"/>
        <v/>
      </c>
      <c r="F674" s="398" t="str">
        <f t="shared" si="334"/>
        <v/>
      </c>
      <c r="G674" s="399" t="str">
        <f t="shared" si="335"/>
        <v>rumus</v>
      </c>
      <c r="H674" s="114" t="s">
        <v>26</v>
      </c>
      <c r="I674" s="420"/>
      <c r="J674" s="418" t="str">
        <f t="shared" si="336"/>
        <v>rumus</v>
      </c>
      <c r="K674" s="116"/>
      <c r="L674" s="116"/>
      <c r="M674" s="116"/>
    </row>
    <row r="675" spans="1:14" ht="15.75" customHeight="1" x14ac:dyDescent="0.2">
      <c r="A675" s="109">
        <v>7</v>
      </c>
      <c r="B675" s="397" t="s">
        <v>399</v>
      </c>
      <c r="C675" s="106" t="s">
        <v>319</v>
      </c>
      <c r="D675" s="106" t="str">
        <f t="shared" si="332"/>
        <v/>
      </c>
      <c r="E675" s="398" t="str">
        <f t="shared" si="333"/>
        <v/>
      </c>
      <c r="F675" s="398" t="str">
        <f t="shared" si="334"/>
        <v/>
      </c>
      <c r="G675" s="399" t="str">
        <f t="shared" si="335"/>
        <v>rumus</v>
      </c>
      <c r="H675" s="114" t="s">
        <v>26</v>
      </c>
      <c r="I675" s="420"/>
      <c r="J675" s="418" t="str">
        <f t="shared" si="336"/>
        <v>rumus</v>
      </c>
      <c r="K675" s="116"/>
      <c r="L675" s="116"/>
      <c r="M675" s="116"/>
    </row>
    <row r="676" spans="1:14" ht="15.75" customHeight="1" x14ac:dyDescent="0.2">
      <c r="A676" s="109">
        <v>8</v>
      </c>
      <c r="B676" s="397" t="s">
        <v>399</v>
      </c>
      <c r="C676" s="106" t="s">
        <v>319</v>
      </c>
      <c r="D676" s="106" t="str">
        <f t="shared" si="332"/>
        <v/>
      </c>
      <c r="E676" s="398" t="str">
        <f t="shared" si="333"/>
        <v/>
      </c>
      <c r="F676" s="398" t="str">
        <f t="shared" si="334"/>
        <v/>
      </c>
      <c r="G676" s="399" t="str">
        <f t="shared" si="335"/>
        <v>rumus</v>
      </c>
      <c r="H676" s="114" t="s">
        <v>26</v>
      </c>
      <c r="I676" s="420"/>
      <c r="J676" s="418" t="str">
        <f t="shared" si="336"/>
        <v>rumus</v>
      </c>
      <c r="K676" s="116"/>
      <c r="L676" s="116"/>
      <c r="M676" s="116"/>
    </row>
    <row r="677" spans="1:14" ht="15.75" customHeight="1" x14ac:dyDescent="0.2">
      <c r="A677" s="109">
        <v>9</v>
      </c>
      <c r="B677" s="397" t="s">
        <v>399</v>
      </c>
      <c r="C677" s="106" t="s">
        <v>319</v>
      </c>
      <c r="D677" s="106" t="str">
        <f t="shared" si="332"/>
        <v/>
      </c>
      <c r="E677" s="398" t="str">
        <f t="shared" si="333"/>
        <v/>
      </c>
      <c r="F677" s="398" t="str">
        <f t="shared" si="334"/>
        <v/>
      </c>
      <c r="G677" s="399" t="str">
        <f t="shared" si="335"/>
        <v>rumus</v>
      </c>
      <c r="H677" s="114" t="s">
        <v>26</v>
      </c>
      <c r="I677" s="420"/>
      <c r="J677" s="418" t="str">
        <f t="shared" si="336"/>
        <v>rumus</v>
      </c>
      <c r="K677" s="116"/>
      <c r="L677" s="116"/>
      <c r="M677" s="116"/>
    </row>
    <row r="678" spans="1:14" ht="15.75" customHeight="1" x14ac:dyDescent="0.2">
      <c r="A678" s="109">
        <v>10</v>
      </c>
      <c r="B678" s="397" t="s">
        <v>399</v>
      </c>
      <c r="C678" s="106" t="s">
        <v>319</v>
      </c>
      <c r="D678" s="106" t="str">
        <f t="shared" si="332"/>
        <v/>
      </c>
      <c r="E678" s="398" t="str">
        <f t="shared" si="333"/>
        <v/>
      </c>
      <c r="F678" s="398" t="str">
        <f t="shared" si="334"/>
        <v/>
      </c>
      <c r="G678" s="399" t="str">
        <f t="shared" si="335"/>
        <v>rumus</v>
      </c>
      <c r="H678" s="114" t="s">
        <v>26</v>
      </c>
      <c r="I678" s="420"/>
      <c r="J678" s="418" t="str">
        <f t="shared" si="336"/>
        <v>rumus</v>
      </c>
      <c r="K678" s="116"/>
      <c r="L678" s="116"/>
      <c r="M678" s="116"/>
    </row>
    <row r="679" spans="1:14" ht="15.75" customHeight="1" x14ac:dyDescent="0.25">
      <c r="A679" s="109"/>
      <c r="B679" s="406" t="str">
        <f>"a. Semester Gasal "&amp;IF(C680&lt;&gt;"",C680,"")&amp;" :"</f>
        <v>a. Semester Gasal 2015/2016 :</v>
      </c>
      <c r="C679" s="415"/>
      <c r="D679" s="415"/>
      <c r="E679" s="415"/>
      <c r="F679" s="415"/>
      <c r="G679" s="415"/>
      <c r="H679" s="416"/>
      <c r="I679" s="116"/>
      <c r="J679" s="116"/>
      <c r="K679" s="1">
        <f>IF(COUNTIF(I669:I678,"Ketua Penguji")&lt;=4,SUMIF(I669:I678,"Ketua Penguji",J669:J678),4*1)+IF(COUNTIF(I669:I678,"Anggota Penguji")&lt;=8,SUMIF(I669:I678,"Anggota Penguji",J669:J678),8*0.5)</f>
        <v>0</v>
      </c>
      <c r="L679" s="2" t="s">
        <v>675</v>
      </c>
      <c r="M679" s="2">
        <f>IF(COUNTIF(I669:I678,"Ketua Penguji")&lt;=4,SUMIF(I669:I678,"Ketua Penguji",J669:J678),4*1)</f>
        <v>0</v>
      </c>
      <c r="N679" s="2">
        <f>IF(COUNTIF(I669:I678,"Anggota Penguji")&lt;=8,SUMIF(I669:I678,"Anggota Penguji",J669:J678),8*0.5)</f>
        <v>0</v>
      </c>
    </row>
    <row r="680" spans="1:14" ht="15.75" customHeight="1" x14ac:dyDescent="0.2">
      <c r="A680" s="109">
        <v>1</v>
      </c>
      <c r="B680" s="397" t="s">
        <v>399</v>
      </c>
      <c r="C680" s="106" t="s">
        <v>321</v>
      </c>
      <c r="D680" s="106" t="str">
        <f t="shared" ref="D680:D689" si="337">IF(G680&lt;&gt;"rumus","Lulusan","")</f>
        <v/>
      </c>
      <c r="E680" s="398" t="str">
        <f t="shared" ref="E680:E689" si="338">IF(I680&lt;&gt;"",1,"")</f>
        <v/>
      </c>
      <c r="F680" s="398" t="str">
        <f t="shared" ref="F680:F689" si="339">IF(I680&lt;&gt;"",J680,"")</f>
        <v/>
      </c>
      <c r="G680" s="399" t="str">
        <f t="shared" ref="G680:G689" si="340">IF(J680&lt;&gt;"rumus","1 x "&amp;J680&amp;" = "&amp;J680,"rumus")</f>
        <v>rumus</v>
      </c>
      <c r="H680" s="106" t="s">
        <v>315</v>
      </c>
      <c r="I680" s="420"/>
      <c r="J680" s="418" t="str">
        <f t="shared" ref="J680:J689" si="341">IF(I680&lt;&gt;"",IF(I680="Ketua Penguji",1,IF(I680="Anggota Penguji",0.5,"")),"rumus")</f>
        <v>rumus</v>
      </c>
      <c r="K680" s="116"/>
      <c r="L680" s="116"/>
      <c r="M680" s="116"/>
    </row>
    <row r="681" spans="1:14" ht="15.75" customHeight="1" x14ac:dyDescent="0.2">
      <c r="A681" s="109">
        <v>2</v>
      </c>
      <c r="B681" s="397" t="s">
        <v>399</v>
      </c>
      <c r="C681" s="106" t="s">
        <v>321</v>
      </c>
      <c r="D681" s="106" t="str">
        <f t="shared" si="337"/>
        <v/>
      </c>
      <c r="E681" s="398" t="str">
        <f t="shared" si="338"/>
        <v/>
      </c>
      <c r="F681" s="398" t="str">
        <f t="shared" si="339"/>
        <v/>
      </c>
      <c r="G681" s="399" t="str">
        <f t="shared" si="340"/>
        <v>rumus</v>
      </c>
      <c r="H681" s="114" t="s">
        <v>26</v>
      </c>
      <c r="I681" s="420"/>
      <c r="J681" s="418" t="str">
        <f t="shared" si="341"/>
        <v>rumus</v>
      </c>
      <c r="K681" s="116"/>
      <c r="L681" s="116"/>
      <c r="M681" s="116"/>
    </row>
    <row r="682" spans="1:14" ht="15.75" customHeight="1" x14ac:dyDescent="0.2">
      <c r="A682" s="109">
        <v>3</v>
      </c>
      <c r="B682" s="397" t="s">
        <v>399</v>
      </c>
      <c r="C682" s="106" t="s">
        <v>321</v>
      </c>
      <c r="D682" s="106" t="str">
        <f t="shared" si="337"/>
        <v/>
      </c>
      <c r="E682" s="398" t="str">
        <f t="shared" si="338"/>
        <v/>
      </c>
      <c r="F682" s="398" t="str">
        <f t="shared" si="339"/>
        <v/>
      </c>
      <c r="G682" s="399" t="str">
        <f t="shared" si="340"/>
        <v>rumus</v>
      </c>
      <c r="H682" s="114" t="s">
        <v>26</v>
      </c>
      <c r="I682" s="420"/>
      <c r="J682" s="418" t="str">
        <f t="shared" si="341"/>
        <v>rumus</v>
      </c>
      <c r="K682" s="116"/>
      <c r="L682" s="116"/>
      <c r="M682" s="116"/>
    </row>
    <row r="683" spans="1:14" ht="15.75" customHeight="1" x14ac:dyDescent="0.2">
      <c r="A683" s="109">
        <v>4</v>
      </c>
      <c r="B683" s="397" t="s">
        <v>399</v>
      </c>
      <c r="C683" s="106" t="s">
        <v>321</v>
      </c>
      <c r="D683" s="106" t="str">
        <f t="shared" si="337"/>
        <v/>
      </c>
      <c r="E683" s="398" t="str">
        <f t="shared" si="338"/>
        <v/>
      </c>
      <c r="F683" s="398" t="str">
        <f t="shared" si="339"/>
        <v/>
      </c>
      <c r="G683" s="399" t="str">
        <f t="shared" si="340"/>
        <v>rumus</v>
      </c>
      <c r="H683" s="114" t="s">
        <v>26</v>
      </c>
      <c r="I683" s="420"/>
      <c r="J683" s="418" t="str">
        <f t="shared" si="341"/>
        <v>rumus</v>
      </c>
      <c r="K683" s="116"/>
      <c r="L683" s="116"/>
      <c r="M683" s="116"/>
    </row>
    <row r="684" spans="1:14" ht="15.75" customHeight="1" x14ac:dyDescent="0.2">
      <c r="A684" s="109">
        <v>5</v>
      </c>
      <c r="B684" s="397" t="s">
        <v>399</v>
      </c>
      <c r="C684" s="106" t="s">
        <v>321</v>
      </c>
      <c r="D684" s="106" t="str">
        <f t="shared" si="337"/>
        <v/>
      </c>
      <c r="E684" s="398" t="str">
        <f t="shared" si="338"/>
        <v/>
      </c>
      <c r="F684" s="398" t="str">
        <f t="shared" si="339"/>
        <v/>
      </c>
      <c r="G684" s="399" t="str">
        <f t="shared" si="340"/>
        <v>rumus</v>
      </c>
      <c r="H684" s="114" t="s">
        <v>26</v>
      </c>
      <c r="I684" s="420"/>
      <c r="J684" s="418" t="str">
        <f t="shared" si="341"/>
        <v>rumus</v>
      </c>
      <c r="K684" s="116"/>
      <c r="L684" s="116"/>
      <c r="M684" s="116"/>
    </row>
    <row r="685" spans="1:14" ht="15.75" customHeight="1" x14ac:dyDescent="0.2">
      <c r="A685" s="109">
        <v>6</v>
      </c>
      <c r="B685" s="397" t="s">
        <v>399</v>
      </c>
      <c r="C685" s="106" t="s">
        <v>321</v>
      </c>
      <c r="D685" s="106" t="str">
        <f t="shared" si="337"/>
        <v/>
      </c>
      <c r="E685" s="398" t="str">
        <f t="shared" si="338"/>
        <v/>
      </c>
      <c r="F685" s="398" t="str">
        <f t="shared" si="339"/>
        <v/>
      </c>
      <c r="G685" s="399" t="str">
        <f t="shared" si="340"/>
        <v>rumus</v>
      </c>
      <c r="H685" s="114" t="s">
        <v>26</v>
      </c>
      <c r="I685" s="420"/>
      <c r="J685" s="418" t="str">
        <f t="shared" si="341"/>
        <v>rumus</v>
      </c>
      <c r="K685" s="116"/>
      <c r="L685" s="116"/>
      <c r="M685" s="116"/>
    </row>
    <row r="686" spans="1:14" ht="15.75" customHeight="1" x14ac:dyDescent="0.2">
      <c r="A686" s="109">
        <v>7</v>
      </c>
      <c r="B686" s="397" t="s">
        <v>399</v>
      </c>
      <c r="C686" s="106" t="s">
        <v>321</v>
      </c>
      <c r="D686" s="106" t="str">
        <f t="shared" si="337"/>
        <v/>
      </c>
      <c r="E686" s="398" t="str">
        <f t="shared" si="338"/>
        <v/>
      </c>
      <c r="F686" s="398" t="str">
        <f t="shared" si="339"/>
        <v/>
      </c>
      <c r="G686" s="399" t="str">
        <f t="shared" si="340"/>
        <v>rumus</v>
      </c>
      <c r="H686" s="114" t="s">
        <v>26</v>
      </c>
      <c r="I686" s="420"/>
      <c r="J686" s="418" t="str">
        <f t="shared" si="341"/>
        <v>rumus</v>
      </c>
      <c r="K686" s="116"/>
      <c r="L686" s="116"/>
      <c r="M686" s="116"/>
    </row>
    <row r="687" spans="1:14" ht="15.75" customHeight="1" x14ac:dyDescent="0.2">
      <c r="A687" s="109">
        <v>8</v>
      </c>
      <c r="B687" s="397" t="s">
        <v>399</v>
      </c>
      <c r="C687" s="106" t="s">
        <v>321</v>
      </c>
      <c r="D687" s="106" t="str">
        <f t="shared" si="337"/>
        <v/>
      </c>
      <c r="E687" s="398" t="str">
        <f t="shared" si="338"/>
        <v/>
      </c>
      <c r="F687" s="398" t="str">
        <f t="shared" si="339"/>
        <v/>
      </c>
      <c r="G687" s="399" t="str">
        <f t="shared" si="340"/>
        <v>rumus</v>
      </c>
      <c r="H687" s="114" t="s">
        <v>26</v>
      </c>
      <c r="I687" s="420"/>
      <c r="J687" s="418" t="str">
        <f t="shared" si="341"/>
        <v>rumus</v>
      </c>
      <c r="K687" s="116"/>
      <c r="L687" s="116"/>
      <c r="M687" s="116"/>
    </row>
    <row r="688" spans="1:14" ht="15.75" customHeight="1" x14ac:dyDescent="0.2">
      <c r="A688" s="109">
        <v>9</v>
      </c>
      <c r="B688" s="397" t="s">
        <v>399</v>
      </c>
      <c r="C688" s="106" t="s">
        <v>321</v>
      </c>
      <c r="D688" s="106" t="str">
        <f t="shared" si="337"/>
        <v/>
      </c>
      <c r="E688" s="398" t="str">
        <f t="shared" si="338"/>
        <v/>
      </c>
      <c r="F688" s="398" t="str">
        <f t="shared" si="339"/>
        <v/>
      </c>
      <c r="G688" s="399" t="str">
        <f t="shared" si="340"/>
        <v>rumus</v>
      </c>
      <c r="H688" s="114" t="s">
        <v>26</v>
      </c>
      <c r="I688" s="420"/>
      <c r="J688" s="418" t="str">
        <f t="shared" si="341"/>
        <v>rumus</v>
      </c>
      <c r="K688" s="116"/>
      <c r="L688" s="116"/>
      <c r="M688" s="116"/>
    </row>
    <row r="689" spans="1:14" ht="15.75" customHeight="1" x14ac:dyDescent="0.2">
      <c r="A689" s="109">
        <v>10</v>
      </c>
      <c r="B689" s="397" t="s">
        <v>399</v>
      </c>
      <c r="C689" s="106" t="s">
        <v>321</v>
      </c>
      <c r="D689" s="106" t="str">
        <f t="shared" si="337"/>
        <v/>
      </c>
      <c r="E689" s="398" t="str">
        <f t="shared" si="338"/>
        <v/>
      </c>
      <c r="F689" s="398" t="str">
        <f t="shared" si="339"/>
        <v/>
      </c>
      <c r="G689" s="399" t="str">
        <f t="shared" si="340"/>
        <v>rumus</v>
      </c>
      <c r="H689" s="114" t="s">
        <v>26</v>
      </c>
      <c r="I689" s="420"/>
      <c r="J689" s="418" t="str">
        <f t="shared" si="341"/>
        <v>rumus</v>
      </c>
      <c r="K689" s="116"/>
      <c r="L689" s="116"/>
      <c r="M689" s="116"/>
    </row>
    <row r="690" spans="1:14" ht="15" customHeight="1" x14ac:dyDescent="0.25">
      <c r="A690" s="109"/>
      <c r="B690" s="406" t="str">
        <f>"b. Semester Genap "&amp;IF(C691&lt;&gt;"",C691,"")&amp;" :"</f>
        <v>b. Semester Genap 2011/2012 :</v>
      </c>
      <c r="C690" s="415"/>
      <c r="D690" s="415"/>
      <c r="E690" s="415"/>
      <c r="F690" s="415"/>
      <c r="G690" s="415"/>
      <c r="H690" s="416"/>
      <c r="I690" s="116"/>
      <c r="J690" s="116"/>
      <c r="K690" s="1">
        <f>IF(COUNTIF(I680:I689,"Ketua Penguji")&lt;=4,SUMIF(I680:I689,"Ketua Penguji",J680:J689),4*1)+IF(COUNTIF(I680:I689,"Anggota Penguji")&lt;=8,SUMIF(I680:I689,"Anggota Penguji",J680:J689),8*0.5)</f>
        <v>0</v>
      </c>
      <c r="L690" s="2" t="s">
        <v>675</v>
      </c>
      <c r="M690" s="2">
        <f>IF(COUNTIF(I680:I689,"Ketua Penguji")&lt;=4,SUMIF(I680:I689,"Ketua Penguji",J680:J689),4*1)</f>
        <v>0</v>
      </c>
      <c r="N690" s="2">
        <f>IF(COUNTIF(I680:I689,"Anggota Penguji")&lt;=8,SUMIF(I680:I689,"Anggota Penguji",J680:J689),8*0.5)</f>
        <v>0</v>
      </c>
    </row>
    <row r="691" spans="1:14" ht="15" customHeight="1" x14ac:dyDescent="0.2">
      <c r="A691" s="109">
        <v>1</v>
      </c>
      <c r="B691" s="570" t="s">
        <v>701</v>
      </c>
      <c r="C691" s="576" t="s">
        <v>355</v>
      </c>
      <c r="D691" s="106" t="str">
        <f t="shared" ref="D691:D700" si="342">IF(G691&lt;&gt;"rumus","Lulusan","")</f>
        <v>Lulusan</v>
      </c>
      <c r="E691" s="398">
        <f t="shared" ref="E691:E700" si="343">IF(I691&lt;&gt;"",1,"")</f>
        <v>1</v>
      </c>
      <c r="F691" s="398">
        <f t="shared" ref="F691:F700" si="344">IF(I691&lt;&gt;"",J691,"")</f>
        <v>0.5</v>
      </c>
      <c r="G691" s="399" t="str">
        <f t="shared" ref="G691:G700" si="345">IF(J691&lt;&gt;"rumus","1 x "&amp;J691&amp;" = "&amp;J691,"rumus")</f>
        <v>1 x 0.5 = 0.5</v>
      </c>
      <c r="H691" s="106" t="s">
        <v>315</v>
      </c>
      <c r="I691" s="577" t="s">
        <v>88</v>
      </c>
      <c r="J691" s="418">
        <f t="shared" ref="J691:J700" si="346">IF(I691&lt;&gt;"",IF(I691="Ketua Penguji",1,IF(I691="Anggota Penguji",0.5,"")),"rumus")</f>
        <v>0.5</v>
      </c>
      <c r="K691" s="116"/>
      <c r="L691" s="116"/>
      <c r="M691" s="116"/>
    </row>
    <row r="692" spans="1:14" ht="15" customHeight="1" x14ac:dyDescent="0.2">
      <c r="A692" s="109">
        <v>2</v>
      </c>
      <c r="B692" s="571" t="s">
        <v>702</v>
      </c>
      <c r="C692" s="578" t="s">
        <v>355</v>
      </c>
      <c r="D692" s="106" t="str">
        <f t="shared" si="342"/>
        <v>Lulusan</v>
      </c>
      <c r="E692" s="398">
        <f t="shared" si="343"/>
        <v>1</v>
      </c>
      <c r="F692" s="398">
        <f t="shared" si="344"/>
        <v>0.5</v>
      </c>
      <c r="G692" s="399" t="str">
        <f t="shared" si="345"/>
        <v>1 x 0.5 = 0.5</v>
      </c>
      <c r="H692" s="114" t="s">
        <v>26</v>
      </c>
      <c r="I692" s="577" t="s">
        <v>88</v>
      </c>
      <c r="J692" s="418">
        <f t="shared" si="346"/>
        <v>0.5</v>
      </c>
      <c r="K692" s="116"/>
      <c r="L692" s="116"/>
      <c r="M692" s="116"/>
    </row>
    <row r="693" spans="1:14" ht="15" customHeight="1" x14ac:dyDescent="0.2">
      <c r="A693" s="109">
        <v>3</v>
      </c>
      <c r="B693" s="571" t="s">
        <v>703</v>
      </c>
      <c r="C693" s="578" t="s">
        <v>355</v>
      </c>
      <c r="D693" s="106" t="str">
        <f t="shared" si="342"/>
        <v>Lulusan</v>
      </c>
      <c r="E693" s="398">
        <f t="shared" si="343"/>
        <v>1</v>
      </c>
      <c r="F693" s="398">
        <f t="shared" si="344"/>
        <v>0.5</v>
      </c>
      <c r="G693" s="399" t="str">
        <f t="shared" si="345"/>
        <v>1 x 0.5 = 0.5</v>
      </c>
      <c r="H693" s="114" t="s">
        <v>26</v>
      </c>
      <c r="I693" s="577" t="s">
        <v>88</v>
      </c>
      <c r="J693" s="418">
        <f t="shared" si="346"/>
        <v>0.5</v>
      </c>
      <c r="K693" s="116"/>
      <c r="L693" s="116"/>
      <c r="M693" s="116"/>
    </row>
    <row r="694" spans="1:14" ht="15" customHeight="1" x14ac:dyDescent="0.2">
      <c r="A694" s="109">
        <v>4</v>
      </c>
      <c r="B694" s="571" t="s">
        <v>704</v>
      </c>
      <c r="C694" s="578" t="s">
        <v>705</v>
      </c>
      <c r="D694" s="106" t="str">
        <f t="shared" si="342"/>
        <v>Lulusan</v>
      </c>
      <c r="E694" s="398">
        <f t="shared" si="343"/>
        <v>1</v>
      </c>
      <c r="F694" s="398">
        <f t="shared" si="344"/>
        <v>0.5</v>
      </c>
      <c r="G694" s="399" t="str">
        <f t="shared" si="345"/>
        <v>1 x 0.5 = 0.5</v>
      </c>
      <c r="H694" s="114" t="s">
        <v>26</v>
      </c>
      <c r="I694" s="577" t="s">
        <v>88</v>
      </c>
      <c r="J694" s="418">
        <f t="shared" si="346"/>
        <v>0.5</v>
      </c>
      <c r="K694" s="116"/>
      <c r="L694" s="116"/>
      <c r="M694" s="116"/>
    </row>
    <row r="695" spans="1:14" ht="15" customHeight="1" x14ac:dyDescent="0.2">
      <c r="A695" s="109">
        <v>5</v>
      </c>
      <c r="B695" s="397" t="s">
        <v>399</v>
      </c>
      <c r="C695" s="578" t="s">
        <v>705</v>
      </c>
      <c r="D695" s="106" t="str">
        <f t="shared" si="342"/>
        <v/>
      </c>
      <c r="E695" s="398" t="str">
        <f t="shared" si="343"/>
        <v/>
      </c>
      <c r="F695" s="398" t="str">
        <f t="shared" si="344"/>
        <v/>
      </c>
      <c r="G695" s="399" t="str">
        <f t="shared" si="345"/>
        <v>rumus</v>
      </c>
      <c r="H695" s="114" t="s">
        <v>26</v>
      </c>
      <c r="I695" s="420"/>
      <c r="J695" s="418" t="str">
        <f t="shared" si="346"/>
        <v>rumus</v>
      </c>
      <c r="K695" s="116"/>
      <c r="L695" s="116"/>
      <c r="M695" s="116"/>
    </row>
    <row r="696" spans="1:14" ht="15" customHeight="1" x14ac:dyDescent="0.2">
      <c r="A696" s="109">
        <v>6</v>
      </c>
      <c r="B696" s="397" t="s">
        <v>399</v>
      </c>
      <c r="C696" s="578" t="s">
        <v>705</v>
      </c>
      <c r="D696" s="106" t="str">
        <f t="shared" si="342"/>
        <v/>
      </c>
      <c r="E696" s="398" t="str">
        <f t="shared" si="343"/>
        <v/>
      </c>
      <c r="F696" s="398" t="str">
        <f t="shared" si="344"/>
        <v/>
      </c>
      <c r="G696" s="399" t="str">
        <f t="shared" si="345"/>
        <v>rumus</v>
      </c>
      <c r="H696" s="114" t="s">
        <v>26</v>
      </c>
      <c r="I696" s="420"/>
      <c r="J696" s="418" t="str">
        <f t="shared" si="346"/>
        <v>rumus</v>
      </c>
      <c r="K696" s="116"/>
      <c r="L696" s="116"/>
      <c r="M696" s="116"/>
    </row>
    <row r="697" spans="1:14" ht="15" customHeight="1" x14ac:dyDescent="0.2">
      <c r="A697" s="109">
        <v>7</v>
      </c>
      <c r="B697" s="397" t="s">
        <v>399</v>
      </c>
      <c r="C697" s="578" t="s">
        <v>705</v>
      </c>
      <c r="D697" s="106" t="str">
        <f t="shared" si="342"/>
        <v/>
      </c>
      <c r="E697" s="398" t="str">
        <f t="shared" si="343"/>
        <v/>
      </c>
      <c r="F697" s="398" t="str">
        <f t="shared" si="344"/>
        <v/>
      </c>
      <c r="G697" s="399" t="str">
        <f t="shared" si="345"/>
        <v>rumus</v>
      </c>
      <c r="H697" s="114" t="s">
        <v>26</v>
      </c>
      <c r="I697" s="420"/>
      <c r="J697" s="418" t="str">
        <f t="shared" si="346"/>
        <v>rumus</v>
      </c>
      <c r="K697" s="116"/>
      <c r="L697" s="116"/>
      <c r="M697" s="116"/>
    </row>
    <row r="698" spans="1:14" ht="15" customHeight="1" x14ac:dyDescent="0.2">
      <c r="A698" s="109">
        <v>8</v>
      </c>
      <c r="B698" s="397" t="s">
        <v>399</v>
      </c>
      <c r="C698" s="578" t="s">
        <v>705</v>
      </c>
      <c r="D698" s="106" t="str">
        <f t="shared" si="342"/>
        <v/>
      </c>
      <c r="E698" s="398" t="str">
        <f t="shared" si="343"/>
        <v/>
      </c>
      <c r="F698" s="398" t="str">
        <f t="shared" si="344"/>
        <v/>
      </c>
      <c r="G698" s="399" t="str">
        <f t="shared" si="345"/>
        <v>rumus</v>
      </c>
      <c r="H698" s="114" t="s">
        <v>26</v>
      </c>
      <c r="I698" s="420"/>
      <c r="J698" s="418" t="str">
        <f t="shared" si="346"/>
        <v>rumus</v>
      </c>
      <c r="K698" s="116"/>
      <c r="L698" s="116"/>
      <c r="M698" s="116"/>
    </row>
    <row r="699" spans="1:14" ht="15" customHeight="1" x14ac:dyDescent="0.2">
      <c r="A699" s="109">
        <v>9</v>
      </c>
      <c r="B699" s="397" t="s">
        <v>399</v>
      </c>
      <c r="C699" s="578" t="s">
        <v>705</v>
      </c>
      <c r="D699" s="106" t="str">
        <f t="shared" si="342"/>
        <v/>
      </c>
      <c r="E699" s="398" t="str">
        <f t="shared" si="343"/>
        <v/>
      </c>
      <c r="F699" s="398" t="str">
        <f t="shared" si="344"/>
        <v/>
      </c>
      <c r="G699" s="399" t="str">
        <f t="shared" si="345"/>
        <v>rumus</v>
      </c>
      <c r="H699" s="114" t="s">
        <v>26</v>
      </c>
      <c r="I699" s="420"/>
      <c r="J699" s="418" t="str">
        <f t="shared" si="346"/>
        <v>rumus</v>
      </c>
      <c r="K699" s="116"/>
      <c r="L699" s="116"/>
      <c r="M699" s="116"/>
    </row>
    <row r="700" spans="1:14" ht="15" customHeight="1" x14ac:dyDescent="0.2">
      <c r="A700" s="109">
        <v>10</v>
      </c>
      <c r="B700" s="397" t="s">
        <v>399</v>
      </c>
      <c r="C700" s="578" t="s">
        <v>705</v>
      </c>
      <c r="D700" s="106" t="str">
        <f t="shared" si="342"/>
        <v/>
      </c>
      <c r="E700" s="398" t="str">
        <f t="shared" si="343"/>
        <v/>
      </c>
      <c r="F700" s="398" t="str">
        <f t="shared" si="344"/>
        <v/>
      </c>
      <c r="G700" s="399" t="str">
        <f t="shared" si="345"/>
        <v>rumus</v>
      </c>
      <c r="H700" s="114" t="s">
        <v>26</v>
      </c>
      <c r="I700" s="420"/>
      <c r="J700" s="418" t="str">
        <f t="shared" si="346"/>
        <v>rumus</v>
      </c>
      <c r="K700" s="116"/>
      <c r="L700" s="116"/>
      <c r="M700" s="116"/>
    </row>
    <row r="701" spans="1:14" ht="15" customHeight="1" x14ac:dyDescent="0.25">
      <c r="A701" s="109"/>
      <c r="B701" s="406" t="str">
        <f>"b. Semester Genap "&amp;IF(C702&lt;&gt;"",C702,"")&amp;" :"</f>
        <v>b. Semester Genap 2012/2013 :</v>
      </c>
      <c r="C701" s="415"/>
      <c r="D701" s="415"/>
      <c r="E701" s="415"/>
      <c r="F701" s="415"/>
      <c r="G701" s="415"/>
      <c r="H701" s="416"/>
      <c r="I701" s="116"/>
      <c r="J701" s="116"/>
      <c r="K701" s="1">
        <f>IF(COUNTIF(I691:I700,"Ketua Penguji")&lt;=4,SUMIF(I691:I700,"Ketua Penguji",J691:J700),4*1)+IF(COUNTIF(I691:I700,"Anggota Penguji")&lt;=8,SUMIF(I691:I700,"Anggota Penguji",J691:J700),8*0.5)</f>
        <v>2</v>
      </c>
      <c r="L701" s="2" t="s">
        <v>675</v>
      </c>
      <c r="M701" s="2">
        <f>IF(COUNTIF(I691:I700,"Ketua Penguji")&lt;=4,SUMIF(I691:I700,"Ketua Penguji",J691:J700),4*1)</f>
        <v>0</v>
      </c>
      <c r="N701" s="2">
        <f>IF(COUNTIF(I691:I700,"Anggota Penguji")&lt;=8,SUMIF(I691:I700,"Anggota Penguji",J691:J700),8*0.5)</f>
        <v>2</v>
      </c>
    </row>
    <row r="702" spans="1:14" ht="15" customHeight="1" x14ac:dyDescent="0.2">
      <c r="A702" s="109">
        <v>1</v>
      </c>
      <c r="B702" s="570" t="s">
        <v>706</v>
      </c>
      <c r="C702" s="576" t="s">
        <v>312</v>
      </c>
      <c r="D702" s="106" t="str">
        <f t="shared" ref="D702:D735" si="347">IF(G702&lt;&gt;"rumus","Lulusan","")</f>
        <v>Lulusan</v>
      </c>
      <c r="E702" s="398">
        <f t="shared" ref="E702:E735" si="348">IF(I702&lt;&gt;"",1,"")</f>
        <v>1</v>
      </c>
      <c r="F702" s="398">
        <f t="shared" ref="F702:F735" si="349">IF(I702&lt;&gt;"",J702,"")</f>
        <v>1</v>
      </c>
      <c r="G702" s="399" t="str">
        <f t="shared" ref="G702:G735" si="350">IF(J702&lt;&gt;"rumus","1 x "&amp;J702&amp;" = "&amp;J702,"rumus")</f>
        <v>1 x 1 = 1</v>
      </c>
      <c r="H702" s="106" t="s">
        <v>315</v>
      </c>
      <c r="I702" s="577" t="s">
        <v>87</v>
      </c>
      <c r="J702" s="418">
        <f t="shared" ref="J702:J735" si="351">IF(I702&lt;&gt;"",IF(I702="Ketua Penguji",1,IF(I702="Anggota Penguji",0.5,"")),"rumus")</f>
        <v>1</v>
      </c>
      <c r="K702" s="116"/>
      <c r="L702" s="116"/>
      <c r="M702" s="116"/>
    </row>
    <row r="703" spans="1:14" ht="15" customHeight="1" x14ac:dyDescent="0.2">
      <c r="A703" s="109">
        <v>2</v>
      </c>
      <c r="B703" s="571" t="s">
        <v>707</v>
      </c>
      <c r="C703" s="578" t="s">
        <v>312</v>
      </c>
      <c r="D703" s="106" t="str">
        <f t="shared" si="347"/>
        <v>Lulusan</v>
      </c>
      <c r="E703" s="398">
        <f t="shared" si="348"/>
        <v>1</v>
      </c>
      <c r="F703" s="398">
        <f t="shared" si="349"/>
        <v>1</v>
      </c>
      <c r="G703" s="399" t="str">
        <f t="shared" si="350"/>
        <v>1 x 1 = 1</v>
      </c>
      <c r="H703" s="114" t="s">
        <v>26</v>
      </c>
      <c r="I703" s="577" t="s">
        <v>87</v>
      </c>
      <c r="J703" s="418">
        <f t="shared" si="351"/>
        <v>1</v>
      </c>
      <c r="K703" s="116"/>
      <c r="L703" s="116"/>
      <c r="M703" s="116"/>
    </row>
    <row r="704" spans="1:14" ht="15" customHeight="1" x14ac:dyDescent="0.2">
      <c r="A704" s="109">
        <v>3</v>
      </c>
      <c r="B704" s="571" t="s">
        <v>708</v>
      </c>
      <c r="C704" s="578" t="s">
        <v>312</v>
      </c>
      <c r="D704" s="106" t="str">
        <f t="shared" si="347"/>
        <v>Lulusan</v>
      </c>
      <c r="E704" s="398">
        <f t="shared" si="348"/>
        <v>1</v>
      </c>
      <c r="F704" s="398">
        <f t="shared" si="349"/>
        <v>1</v>
      </c>
      <c r="G704" s="399" t="str">
        <f t="shared" si="350"/>
        <v>1 x 1 = 1</v>
      </c>
      <c r="H704" s="114" t="s">
        <v>26</v>
      </c>
      <c r="I704" s="577" t="s">
        <v>87</v>
      </c>
      <c r="J704" s="418">
        <f t="shared" si="351"/>
        <v>1</v>
      </c>
      <c r="K704" s="116"/>
      <c r="L704" s="116"/>
      <c r="M704" s="116"/>
    </row>
    <row r="705" spans="1:13" ht="15" customHeight="1" x14ac:dyDescent="0.2">
      <c r="A705" s="109">
        <v>4</v>
      </c>
      <c r="B705" s="571" t="s">
        <v>709</v>
      </c>
      <c r="C705" s="578" t="s">
        <v>312</v>
      </c>
      <c r="D705" s="106" t="str">
        <f t="shared" si="347"/>
        <v>Lulusan</v>
      </c>
      <c r="E705" s="398">
        <f t="shared" si="348"/>
        <v>1</v>
      </c>
      <c r="F705" s="398">
        <f t="shared" si="349"/>
        <v>1</v>
      </c>
      <c r="G705" s="399" t="str">
        <f t="shared" si="350"/>
        <v>1 x 1 = 1</v>
      </c>
      <c r="H705" s="114" t="s">
        <v>26</v>
      </c>
      <c r="I705" s="577" t="s">
        <v>87</v>
      </c>
      <c r="J705" s="418">
        <f t="shared" si="351"/>
        <v>1</v>
      </c>
      <c r="K705" s="116"/>
      <c r="L705" s="116"/>
      <c r="M705" s="116"/>
    </row>
    <row r="706" spans="1:13" ht="15" customHeight="1" x14ac:dyDescent="0.2">
      <c r="A706" s="109">
        <v>5</v>
      </c>
      <c r="B706" s="571" t="s">
        <v>710</v>
      </c>
      <c r="C706" s="578" t="s">
        <v>312</v>
      </c>
      <c r="D706" s="106" t="str">
        <f t="shared" si="347"/>
        <v>Lulusan</v>
      </c>
      <c r="E706" s="398">
        <f t="shared" si="348"/>
        <v>1</v>
      </c>
      <c r="F706" s="398">
        <f t="shared" si="349"/>
        <v>1</v>
      </c>
      <c r="G706" s="399" t="str">
        <f t="shared" si="350"/>
        <v>1 x 1 = 1</v>
      </c>
      <c r="H706" s="114" t="s">
        <v>26</v>
      </c>
      <c r="I706" s="577" t="s">
        <v>87</v>
      </c>
      <c r="J706" s="418">
        <f t="shared" si="351"/>
        <v>1</v>
      </c>
      <c r="K706" s="116"/>
      <c r="L706" s="116"/>
      <c r="M706" s="116"/>
    </row>
    <row r="707" spans="1:13" ht="15" customHeight="1" x14ac:dyDescent="0.2">
      <c r="A707" s="109">
        <v>6</v>
      </c>
      <c r="B707" s="571" t="s">
        <v>711</v>
      </c>
      <c r="C707" s="578" t="s">
        <v>312</v>
      </c>
      <c r="D707" s="106" t="str">
        <f t="shared" si="347"/>
        <v>Lulusan</v>
      </c>
      <c r="E707" s="398">
        <f t="shared" si="348"/>
        <v>1</v>
      </c>
      <c r="F707" s="398">
        <f t="shared" si="349"/>
        <v>1</v>
      </c>
      <c r="G707" s="399" t="str">
        <f t="shared" si="350"/>
        <v>1 x 1 = 1</v>
      </c>
      <c r="H707" s="114" t="s">
        <v>26</v>
      </c>
      <c r="I707" s="577" t="s">
        <v>87</v>
      </c>
      <c r="J707" s="418">
        <f t="shared" si="351"/>
        <v>1</v>
      </c>
      <c r="K707" s="116"/>
      <c r="L707" s="116"/>
      <c r="M707" s="116"/>
    </row>
    <row r="708" spans="1:13" ht="15" customHeight="1" x14ac:dyDescent="0.2">
      <c r="A708" s="109">
        <v>7</v>
      </c>
      <c r="B708" s="571" t="s">
        <v>712</v>
      </c>
      <c r="C708" s="578" t="s">
        <v>312</v>
      </c>
      <c r="D708" s="106" t="str">
        <f t="shared" si="347"/>
        <v>Lulusan</v>
      </c>
      <c r="E708" s="398">
        <f t="shared" si="348"/>
        <v>1</v>
      </c>
      <c r="F708" s="398">
        <f t="shared" si="349"/>
        <v>1</v>
      </c>
      <c r="G708" s="399" t="str">
        <f t="shared" si="350"/>
        <v>1 x 1 = 1</v>
      </c>
      <c r="H708" s="114" t="s">
        <v>26</v>
      </c>
      <c r="I708" s="577" t="s">
        <v>87</v>
      </c>
      <c r="J708" s="418">
        <f t="shared" si="351"/>
        <v>1</v>
      </c>
      <c r="K708" s="116"/>
      <c r="L708" s="116"/>
      <c r="M708" s="116"/>
    </row>
    <row r="709" spans="1:13" ht="15" customHeight="1" x14ac:dyDescent="0.2">
      <c r="A709" s="109">
        <v>8</v>
      </c>
      <c r="B709" s="571" t="s">
        <v>713</v>
      </c>
      <c r="C709" s="578" t="s">
        <v>312</v>
      </c>
      <c r="D709" s="106" t="str">
        <f t="shared" si="347"/>
        <v>Lulusan</v>
      </c>
      <c r="E709" s="398">
        <f t="shared" si="348"/>
        <v>1</v>
      </c>
      <c r="F709" s="398">
        <f t="shared" si="349"/>
        <v>1</v>
      </c>
      <c r="G709" s="399" t="str">
        <f t="shared" si="350"/>
        <v>1 x 1 = 1</v>
      </c>
      <c r="H709" s="114" t="s">
        <v>26</v>
      </c>
      <c r="I709" s="577" t="s">
        <v>87</v>
      </c>
      <c r="J709" s="418">
        <f t="shared" si="351"/>
        <v>1</v>
      </c>
      <c r="K709" s="116"/>
      <c r="L709" s="116"/>
      <c r="M709" s="116"/>
    </row>
    <row r="710" spans="1:13" ht="15" customHeight="1" x14ac:dyDescent="0.2">
      <c r="A710" s="109">
        <v>9</v>
      </c>
      <c r="B710" s="571" t="s">
        <v>714</v>
      </c>
      <c r="C710" s="578" t="s">
        <v>312</v>
      </c>
      <c r="D710" s="106" t="str">
        <f t="shared" si="347"/>
        <v>Lulusan</v>
      </c>
      <c r="E710" s="398">
        <f t="shared" si="348"/>
        <v>1</v>
      </c>
      <c r="F710" s="398">
        <f t="shared" si="349"/>
        <v>0.5</v>
      </c>
      <c r="G710" s="399" t="str">
        <f t="shared" si="350"/>
        <v>1 x 0.5 = 0.5</v>
      </c>
      <c r="H710" s="114" t="s">
        <v>26</v>
      </c>
      <c r="I710" s="577" t="s">
        <v>88</v>
      </c>
      <c r="J710" s="418">
        <f t="shared" si="351"/>
        <v>0.5</v>
      </c>
      <c r="K710" s="116"/>
      <c r="L710" s="116"/>
      <c r="M710" s="116"/>
    </row>
    <row r="711" spans="1:13" ht="15" customHeight="1" x14ac:dyDescent="0.2">
      <c r="A711" s="109">
        <v>10</v>
      </c>
      <c r="B711" s="571" t="s">
        <v>671</v>
      </c>
      <c r="C711" s="578" t="s">
        <v>312</v>
      </c>
      <c r="D711" s="106" t="str">
        <f t="shared" ref="D711:D718" si="352">IF(G711&lt;&gt;"rumus","Lulusan","")</f>
        <v>Lulusan</v>
      </c>
      <c r="E711" s="398">
        <f t="shared" ref="E711:E718" si="353">IF(I711&lt;&gt;"",1,"")</f>
        <v>1</v>
      </c>
      <c r="F711" s="398">
        <f t="shared" ref="F711:F718" si="354">IF(I711&lt;&gt;"",J711,"")</f>
        <v>0.5</v>
      </c>
      <c r="G711" s="399" t="str">
        <f t="shared" ref="G711:G718" si="355">IF(J711&lt;&gt;"rumus","1 x "&amp;J711&amp;" = "&amp;J711,"rumus")</f>
        <v>1 x 0.5 = 0.5</v>
      </c>
      <c r="H711" s="114" t="s">
        <v>26</v>
      </c>
      <c r="I711" s="577" t="s">
        <v>88</v>
      </c>
      <c r="J711" s="418">
        <f t="shared" ref="J711:J718" si="356">IF(I711&lt;&gt;"",IF(I711="Ketua Penguji",1,IF(I711="Anggota Penguji",0.5,"")),"rumus")</f>
        <v>0.5</v>
      </c>
      <c r="K711" s="116"/>
      <c r="L711" s="116"/>
      <c r="M711" s="116"/>
    </row>
    <row r="712" spans="1:13" ht="15" customHeight="1" x14ac:dyDescent="0.2">
      <c r="A712" s="109">
        <v>11</v>
      </c>
      <c r="B712" s="571" t="s">
        <v>715</v>
      </c>
      <c r="C712" s="578" t="s">
        <v>312</v>
      </c>
      <c r="D712" s="106" t="str">
        <f t="shared" si="352"/>
        <v>Lulusan</v>
      </c>
      <c r="E712" s="398">
        <f t="shared" si="353"/>
        <v>1</v>
      </c>
      <c r="F712" s="398">
        <f t="shared" si="354"/>
        <v>1</v>
      </c>
      <c r="G712" s="399" t="str">
        <f t="shared" si="355"/>
        <v>1 x 1 = 1</v>
      </c>
      <c r="H712" s="114" t="s">
        <v>26</v>
      </c>
      <c r="I712" s="577" t="s">
        <v>87</v>
      </c>
      <c r="J712" s="418">
        <f t="shared" si="356"/>
        <v>1</v>
      </c>
      <c r="K712" s="116"/>
      <c r="L712" s="116"/>
      <c r="M712" s="116"/>
    </row>
    <row r="713" spans="1:13" ht="15" customHeight="1" x14ac:dyDescent="0.2">
      <c r="A713" s="109">
        <v>12</v>
      </c>
      <c r="B713" s="571" t="s">
        <v>716</v>
      </c>
      <c r="C713" s="578" t="s">
        <v>312</v>
      </c>
      <c r="D713" s="106" t="str">
        <f t="shared" si="352"/>
        <v>Lulusan</v>
      </c>
      <c r="E713" s="398">
        <f t="shared" si="353"/>
        <v>1</v>
      </c>
      <c r="F713" s="398">
        <f t="shared" si="354"/>
        <v>1</v>
      </c>
      <c r="G713" s="399" t="str">
        <f t="shared" si="355"/>
        <v>1 x 1 = 1</v>
      </c>
      <c r="H713" s="114" t="s">
        <v>26</v>
      </c>
      <c r="I713" s="577" t="s">
        <v>87</v>
      </c>
      <c r="J713" s="418">
        <f t="shared" si="356"/>
        <v>1</v>
      </c>
      <c r="K713" s="116"/>
      <c r="L713" s="116"/>
      <c r="M713" s="116"/>
    </row>
    <row r="714" spans="1:13" ht="15" customHeight="1" x14ac:dyDescent="0.2">
      <c r="A714" s="109">
        <v>13</v>
      </c>
      <c r="B714" s="571" t="s">
        <v>717</v>
      </c>
      <c r="C714" s="578" t="s">
        <v>312</v>
      </c>
      <c r="D714" s="106" t="str">
        <f t="shared" si="352"/>
        <v>Lulusan</v>
      </c>
      <c r="E714" s="398">
        <f t="shared" si="353"/>
        <v>1</v>
      </c>
      <c r="F714" s="398">
        <f t="shared" si="354"/>
        <v>1</v>
      </c>
      <c r="G714" s="399" t="str">
        <f t="shared" si="355"/>
        <v>1 x 1 = 1</v>
      </c>
      <c r="H714" s="114" t="s">
        <v>26</v>
      </c>
      <c r="I714" s="577" t="s">
        <v>87</v>
      </c>
      <c r="J714" s="418">
        <f t="shared" si="356"/>
        <v>1</v>
      </c>
      <c r="K714" s="116"/>
      <c r="L714" s="116"/>
      <c r="M714" s="116"/>
    </row>
    <row r="715" spans="1:13" ht="15" customHeight="1" x14ac:dyDescent="0.2">
      <c r="A715" s="109">
        <v>14</v>
      </c>
      <c r="B715" s="571" t="s">
        <v>718</v>
      </c>
      <c r="C715" s="578" t="s">
        <v>312</v>
      </c>
      <c r="D715" s="106" t="str">
        <f t="shared" si="352"/>
        <v>Lulusan</v>
      </c>
      <c r="E715" s="398">
        <f t="shared" si="353"/>
        <v>1</v>
      </c>
      <c r="F715" s="398">
        <f t="shared" si="354"/>
        <v>1</v>
      </c>
      <c r="G715" s="399" t="str">
        <f t="shared" si="355"/>
        <v>1 x 1 = 1</v>
      </c>
      <c r="H715" s="114" t="s">
        <v>26</v>
      </c>
      <c r="I715" s="577" t="s">
        <v>87</v>
      </c>
      <c r="J715" s="418">
        <f t="shared" si="356"/>
        <v>1</v>
      </c>
      <c r="K715" s="116"/>
      <c r="L715" s="116"/>
      <c r="M715" s="116"/>
    </row>
    <row r="716" spans="1:13" ht="15" customHeight="1" x14ac:dyDescent="0.2">
      <c r="A716" s="109">
        <v>15</v>
      </c>
      <c r="B716" s="571" t="s">
        <v>719</v>
      </c>
      <c r="C716" s="578" t="s">
        <v>312</v>
      </c>
      <c r="D716" s="106" t="str">
        <f t="shared" si="352"/>
        <v>Lulusan</v>
      </c>
      <c r="E716" s="398">
        <f t="shared" si="353"/>
        <v>1</v>
      </c>
      <c r="F716" s="398">
        <f t="shared" si="354"/>
        <v>1</v>
      </c>
      <c r="G716" s="399" t="str">
        <f t="shared" si="355"/>
        <v>1 x 1 = 1</v>
      </c>
      <c r="H716" s="114" t="s">
        <v>26</v>
      </c>
      <c r="I716" s="577" t="s">
        <v>87</v>
      </c>
      <c r="J716" s="418">
        <f t="shared" si="356"/>
        <v>1</v>
      </c>
      <c r="K716" s="116"/>
      <c r="L716" s="116"/>
      <c r="M716" s="116"/>
    </row>
    <row r="717" spans="1:13" ht="15" customHeight="1" x14ac:dyDescent="0.2">
      <c r="A717" s="109">
        <v>16</v>
      </c>
      <c r="B717" s="571" t="s">
        <v>720</v>
      </c>
      <c r="C717" s="578" t="s">
        <v>312</v>
      </c>
      <c r="D717" s="106" t="str">
        <f t="shared" si="352"/>
        <v>Lulusan</v>
      </c>
      <c r="E717" s="398">
        <f t="shared" si="353"/>
        <v>1</v>
      </c>
      <c r="F717" s="398">
        <f t="shared" si="354"/>
        <v>1</v>
      </c>
      <c r="G717" s="399" t="str">
        <f t="shared" si="355"/>
        <v>1 x 1 = 1</v>
      </c>
      <c r="H717" s="114" t="s">
        <v>26</v>
      </c>
      <c r="I717" s="577" t="s">
        <v>87</v>
      </c>
      <c r="J717" s="418">
        <f t="shared" si="356"/>
        <v>1</v>
      </c>
      <c r="K717" s="116"/>
      <c r="L717" s="116"/>
      <c r="M717" s="116"/>
    </row>
    <row r="718" spans="1:13" ht="15" customHeight="1" x14ac:dyDescent="0.2">
      <c r="A718" s="109">
        <v>17</v>
      </c>
      <c r="B718" s="571" t="s">
        <v>721</v>
      </c>
      <c r="C718" s="578" t="s">
        <v>312</v>
      </c>
      <c r="D718" s="106" t="str">
        <f t="shared" si="352"/>
        <v>Lulusan</v>
      </c>
      <c r="E718" s="398">
        <f t="shared" si="353"/>
        <v>1</v>
      </c>
      <c r="F718" s="398">
        <f t="shared" si="354"/>
        <v>1</v>
      </c>
      <c r="G718" s="399" t="str">
        <f t="shared" si="355"/>
        <v>1 x 1 = 1</v>
      </c>
      <c r="H718" s="114" t="s">
        <v>26</v>
      </c>
      <c r="I718" s="577" t="s">
        <v>87</v>
      </c>
      <c r="J718" s="418">
        <f t="shared" si="356"/>
        <v>1</v>
      </c>
      <c r="K718" s="116"/>
      <c r="L718" s="116"/>
      <c r="M718" s="116"/>
    </row>
    <row r="719" spans="1:13" ht="15" customHeight="1" x14ac:dyDescent="0.2">
      <c r="A719" s="109">
        <v>18</v>
      </c>
      <c r="B719" s="571" t="s">
        <v>722</v>
      </c>
      <c r="C719" s="578" t="s">
        <v>312</v>
      </c>
      <c r="D719" s="106" t="str">
        <f t="shared" ref="D719:D726" si="357">IF(G719&lt;&gt;"rumus","Lulusan","")</f>
        <v>Lulusan</v>
      </c>
      <c r="E719" s="398">
        <f t="shared" ref="E719:E726" si="358">IF(I719&lt;&gt;"",1,"")</f>
        <v>1</v>
      </c>
      <c r="F719" s="398">
        <f t="shared" ref="F719:F726" si="359">IF(I719&lt;&gt;"",J719,"")</f>
        <v>1</v>
      </c>
      <c r="G719" s="399" t="str">
        <f t="shared" ref="G719:G726" si="360">IF(J719&lt;&gt;"rumus","1 x "&amp;J719&amp;" = "&amp;J719,"rumus")</f>
        <v>1 x 1 = 1</v>
      </c>
      <c r="H719" s="114" t="s">
        <v>26</v>
      </c>
      <c r="I719" s="577" t="s">
        <v>87</v>
      </c>
      <c r="J719" s="418">
        <f t="shared" ref="J719:J726" si="361">IF(I719&lt;&gt;"",IF(I719="Ketua Penguji",1,IF(I719="Anggota Penguji",0.5,"")),"rumus")</f>
        <v>1</v>
      </c>
      <c r="K719" s="116"/>
      <c r="L719" s="116"/>
      <c r="M719" s="116"/>
    </row>
    <row r="720" spans="1:13" ht="15" customHeight="1" x14ac:dyDescent="0.2">
      <c r="A720" s="109">
        <v>19</v>
      </c>
      <c r="B720" s="571" t="s">
        <v>723</v>
      </c>
      <c r="C720" s="578" t="s">
        <v>312</v>
      </c>
      <c r="D720" s="106" t="str">
        <f t="shared" si="357"/>
        <v>Lulusan</v>
      </c>
      <c r="E720" s="398">
        <f t="shared" si="358"/>
        <v>1</v>
      </c>
      <c r="F720" s="398">
        <f t="shared" si="359"/>
        <v>1</v>
      </c>
      <c r="G720" s="399" t="str">
        <f t="shared" si="360"/>
        <v>1 x 1 = 1</v>
      </c>
      <c r="H720" s="114" t="s">
        <v>26</v>
      </c>
      <c r="I720" s="577" t="s">
        <v>87</v>
      </c>
      <c r="J720" s="418">
        <f t="shared" si="361"/>
        <v>1</v>
      </c>
      <c r="K720" s="116"/>
      <c r="L720" s="116"/>
      <c r="M720" s="116"/>
    </row>
    <row r="721" spans="1:14" ht="15" customHeight="1" x14ac:dyDescent="0.2">
      <c r="A721" s="109">
        <v>20</v>
      </c>
      <c r="B721" s="571" t="s">
        <v>724</v>
      </c>
      <c r="C721" s="578" t="s">
        <v>312</v>
      </c>
      <c r="D721" s="106" t="str">
        <f t="shared" si="357"/>
        <v>Lulusan</v>
      </c>
      <c r="E721" s="398">
        <f t="shared" si="358"/>
        <v>1</v>
      </c>
      <c r="F721" s="398">
        <f t="shared" si="359"/>
        <v>1</v>
      </c>
      <c r="G721" s="399" t="str">
        <f t="shared" si="360"/>
        <v>1 x 1 = 1</v>
      </c>
      <c r="H721" s="114" t="s">
        <v>26</v>
      </c>
      <c r="I721" s="577" t="s">
        <v>87</v>
      </c>
      <c r="J721" s="418">
        <f t="shared" si="361"/>
        <v>1</v>
      </c>
      <c r="K721" s="116"/>
      <c r="L721" s="116"/>
      <c r="M721" s="116"/>
    </row>
    <row r="722" spans="1:14" ht="15" customHeight="1" x14ac:dyDescent="0.2">
      <c r="A722" s="109">
        <v>21</v>
      </c>
      <c r="B722" s="571" t="s">
        <v>678</v>
      </c>
      <c r="C722" s="578" t="s">
        <v>312</v>
      </c>
      <c r="D722" s="106" t="str">
        <f t="shared" si="357"/>
        <v>Lulusan</v>
      </c>
      <c r="E722" s="398">
        <f t="shared" si="358"/>
        <v>1</v>
      </c>
      <c r="F722" s="398">
        <f t="shared" si="359"/>
        <v>0.5</v>
      </c>
      <c r="G722" s="399" t="str">
        <f t="shared" si="360"/>
        <v>1 x 0.5 = 0.5</v>
      </c>
      <c r="H722" s="114" t="s">
        <v>26</v>
      </c>
      <c r="I722" s="577" t="s">
        <v>88</v>
      </c>
      <c r="J722" s="418">
        <f t="shared" si="361"/>
        <v>0.5</v>
      </c>
      <c r="K722" s="116"/>
      <c r="L722" s="116"/>
      <c r="M722" s="116"/>
    </row>
    <row r="723" spans="1:14" ht="15" customHeight="1" x14ac:dyDescent="0.2">
      <c r="A723" s="109">
        <v>22</v>
      </c>
      <c r="B723" s="571" t="s">
        <v>725</v>
      </c>
      <c r="C723" s="578" t="s">
        <v>312</v>
      </c>
      <c r="D723" s="106" t="str">
        <f t="shared" si="357"/>
        <v>Lulusan</v>
      </c>
      <c r="E723" s="398">
        <f t="shared" si="358"/>
        <v>1</v>
      </c>
      <c r="F723" s="398">
        <f t="shared" si="359"/>
        <v>1</v>
      </c>
      <c r="G723" s="399" t="str">
        <f t="shared" si="360"/>
        <v>1 x 1 = 1</v>
      </c>
      <c r="H723" s="114" t="s">
        <v>26</v>
      </c>
      <c r="I723" s="577" t="s">
        <v>87</v>
      </c>
      <c r="J723" s="418">
        <f t="shared" si="361"/>
        <v>1</v>
      </c>
      <c r="K723" s="116"/>
      <c r="L723" s="116"/>
      <c r="M723" s="116"/>
    </row>
    <row r="724" spans="1:14" ht="15" customHeight="1" x14ac:dyDescent="0.2">
      <c r="A724" s="109">
        <v>23</v>
      </c>
      <c r="B724" s="571" t="s">
        <v>726</v>
      </c>
      <c r="C724" s="578" t="s">
        <v>312</v>
      </c>
      <c r="D724" s="106" t="str">
        <f t="shared" si="357"/>
        <v>Lulusan</v>
      </c>
      <c r="E724" s="398">
        <f t="shared" si="358"/>
        <v>1</v>
      </c>
      <c r="F724" s="398">
        <f t="shared" si="359"/>
        <v>1</v>
      </c>
      <c r="G724" s="399" t="str">
        <f t="shared" si="360"/>
        <v>1 x 1 = 1</v>
      </c>
      <c r="H724" s="114" t="s">
        <v>26</v>
      </c>
      <c r="I724" s="577" t="s">
        <v>87</v>
      </c>
      <c r="J724" s="418">
        <f t="shared" si="361"/>
        <v>1</v>
      </c>
      <c r="K724" s="116"/>
      <c r="L724" s="116"/>
      <c r="M724" s="116"/>
    </row>
    <row r="725" spans="1:14" ht="15" customHeight="1" x14ac:dyDescent="0.2">
      <c r="A725" s="109">
        <v>24</v>
      </c>
      <c r="B725" s="571" t="s">
        <v>727</v>
      </c>
      <c r="C725" s="578" t="s">
        <v>312</v>
      </c>
      <c r="D725" s="106" t="str">
        <f t="shared" si="357"/>
        <v>Lulusan</v>
      </c>
      <c r="E725" s="398">
        <f t="shared" si="358"/>
        <v>1</v>
      </c>
      <c r="F725" s="398">
        <f t="shared" si="359"/>
        <v>1</v>
      </c>
      <c r="G725" s="399" t="str">
        <f t="shared" si="360"/>
        <v>1 x 1 = 1</v>
      </c>
      <c r="H725" s="114" t="s">
        <v>26</v>
      </c>
      <c r="I725" s="577" t="s">
        <v>87</v>
      </c>
      <c r="J725" s="418">
        <f t="shared" si="361"/>
        <v>1</v>
      </c>
      <c r="K725" s="116"/>
      <c r="L725" s="116"/>
      <c r="M725" s="116"/>
    </row>
    <row r="726" spans="1:14" ht="15" customHeight="1" x14ac:dyDescent="0.2">
      <c r="A726" s="109">
        <v>25</v>
      </c>
      <c r="B726" s="571" t="s">
        <v>728</v>
      </c>
      <c r="C726" s="578" t="s">
        <v>312</v>
      </c>
      <c r="D726" s="106" t="str">
        <f t="shared" si="357"/>
        <v>Lulusan</v>
      </c>
      <c r="E726" s="398">
        <f t="shared" si="358"/>
        <v>1</v>
      </c>
      <c r="F726" s="398">
        <f t="shared" si="359"/>
        <v>1</v>
      </c>
      <c r="G726" s="399" t="str">
        <f t="shared" si="360"/>
        <v>1 x 1 = 1</v>
      </c>
      <c r="H726" s="114" t="s">
        <v>26</v>
      </c>
      <c r="I726" s="577" t="s">
        <v>87</v>
      </c>
      <c r="J726" s="418">
        <f t="shared" si="361"/>
        <v>1</v>
      </c>
      <c r="K726" s="116"/>
      <c r="L726" s="116"/>
      <c r="M726" s="116"/>
    </row>
    <row r="727" spans="1:14" ht="15" customHeight="1" x14ac:dyDescent="0.2">
      <c r="A727" s="109">
        <v>26</v>
      </c>
      <c r="B727" s="571" t="s">
        <v>729</v>
      </c>
      <c r="C727" s="578" t="s">
        <v>312</v>
      </c>
      <c r="D727" s="106" t="str">
        <f t="shared" si="347"/>
        <v>Lulusan</v>
      </c>
      <c r="E727" s="398">
        <f t="shared" si="348"/>
        <v>1</v>
      </c>
      <c r="F727" s="398">
        <f t="shared" si="349"/>
        <v>1</v>
      </c>
      <c r="G727" s="399" t="str">
        <f t="shared" si="350"/>
        <v>1 x 1 = 1</v>
      </c>
      <c r="H727" s="114" t="s">
        <v>26</v>
      </c>
      <c r="I727" s="577" t="s">
        <v>87</v>
      </c>
      <c r="J727" s="418">
        <f t="shared" si="351"/>
        <v>1</v>
      </c>
      <c r="K727" s="116"/>
      <c r="L727" s="116"/>
      <c r="M727" s="116"/>
    </row>
    <row r="728" spans="1:14" ht="15" customHeight="1" x14ac:dyDescent="0.2">
      <c r="A728" s="109">
        <v>27</v>
      </c>
      <c r="B728" s="571" t="s">
        <v>730</v>
      </c>
      <c r="C728" s="578" t="s">
        <v>312</v>
      </c>
      <c r="D728" s="106" t="str">
        <f t="shared" si="347"/>
        <v>Lulusan</v>
      </c>
      <c r="E728" s="398">
        <f t="shared" si="348"/>
        <v>1</v>
      </c>
      <c r="F728" s="398">
        <f t="shared" si="349"/>
        <v>1</v>
      </c>
      <c r="G728" s="399" t="str">
        <f t="shared" si="350"/>
        <v>1 x 1 = 1</v>
      </c>
      <c r="H728" s="114" t="s">
        <v>26</v>
      </c>
      <c r="I728" s="577" t="s">
        <v>87</v>
      </c>
      <c r="J728" s="418">
        <f t="shared" si="351"/>
        <v>1</v>
      </c>
      <c r="K728" s="116"/>
      <c r="L728" s="116"/>
      <c r="M728" s="116"/>
    </row>
    <row r="729" spans="1:14" ht="15" customHeight="1" x14ac:dyDescent="0.2">
      <c r="A729" s="109">
        <v>28</v>
      </c>
      <c r="B729" s="571" t="s">
        <v>731</v>
      </c>
      <c r="C729" s="578" t="s">
        <v>312</v>
      </c>
      <c r="D729" s="106" t="str">
        <f t="shared" si="347"/>
        <v>Lulusan</v>
      </c>
      <c r="E729" s="398">
        <f t="shared" si="348"/>
        <v>1</v>
      </c>
      <c r="F729" s="398">
        <f t="shared" si="349"/>
        <v>1</v>
      </c>
      <c r="G729" s="399" t="str">
        <f t="shared" si="350"/>
        <v>1 x 1 = 1</v>
      </c>
      <c r="H729" s="114" t="s">
        <v>26</v>
      </c>
      <c r="I729" s="577" t="s">
        <v>87</v>
      </c>
      <c r="J729" s="418">
        <f t="shared" si="351"/>
        <v>1</v>
      </c>
      <c r="K729" s="116"/>
      <c r="L729" s="116"/>
      <c r="M729" s="116"/>
    </row>
    <row r="730" spans="1:14" ht="15" customHeight="1" x14ac:dyDescent="0.2">
      <c r="A730" s="109">
        <v>29</v>
      </c>
      <c r="B730" s="571" t="s">
        <v>680</v>
      </c>
      <c r="C730" s="578" t="s">
        <v>312</v>
      </c>
      <c r="D730" s="106" t="str">
        <f t="shared" si="347"/>
        <v>Lulusan</v>
      </c>
      <c r="E730" s="398">
        <f t="shared" si="348"/>
        <v>1</v>
      </c>
      <c r="F730" s="398">
        <f t="shared" si="349"/>
        <v>1</v>
      </c>
      <c r="G730" s="399" t="str">
        <f t="shared" si="350"/>
        <v>1 x 1 = 1</v>
      </c>
      <c r="H730" s="114" t="s">
        <v>26</v>
      </c>
      <c r="I730" s="577" t="s">
        <v>87</v>
      </c>
      <c r="J730" s="418">
        <f t="shared" si="351"/>
        <v>1</v>
      </c>
      <c r="K730" s="116"/>
      <c r="L730" s="116"/>
      <c r="M730" s="116"/>
    </row>
    <row r="731" spans="1:14" ht="15" customHeight="1" x14ac:dyDescent="0.2">
      <c r="A731" s="109">
        <v>30</v>
      </c>
      <c r="B731" s="571" t="s">
        <v>732</v>
      </c>
      <c r="C731" s="578" t="s">
        <v>312</v>
      </c>
      <c r="D731" s="106" t="str">
        <f t="shared" si="347"/>
        <v>Lulusan</v>
      </c>
      <c r="E731" s="398">
        <f t="shared" si="348"/>
        <v>1</v>
      </c>
      <c r="F731" s="398">
        <f t="shared" si="349"/>
        <v>1</v>
      </c>
      <c r="G731" s="399" t="str">
        <f t="shared" si="350"/>
        <v>1 x 1 = 1</v>
      </c>
      <c r="H731" s="114" t="s">
        <v>26</v>
      </c>
      <c r="I731" s="577" t="s">
        <v>87</v>
      </c>
      <c r="J731" s="418">
        <f t="shared" si="351"/>
        <v>1</v>
      </c>
      <c r="K731" s="116"/>
      <c r="L731" s="116"/>
      <c r="M731" s="116"/>
    </row>
    <row r="732" spans="1:14" ht="15" customHeight="1" x14ac:dyDescent="0.2">
      <c r="A732" s="109">
        <v>31</v>
      </c>
      <c r="B732" s="571" t="s">
        <v>733</v>
      </c>
      <c r="C732" s="578" t="s">
        <v>312</v>
      </c>
      <c r="D732" s="106" t="str">
        <f t="shared" si="347"/>
        <v>Lulusan</v>
      </c>
      <c r="E732" s="398">
        <f t="shared" si="348"/>
        <v>1</v>
      </c>
      <c r="F732" s="398">
        <f t="shared" si="349"/>
        <v>1</v>
      </c>
      <c r="G732" s="399" t="str">
        <f t="shared" si="350"/>
        <v>1 x 1 = 1</v>
      </c>
      <c r="H732" s="114" t="s">
        <v>26</v>
      </c>
      <c r="I732" s="577" t="s">
        <v>87</v>
      </c>
      <c r="J732" s="418">
        <f t="shared" si="351"/>
        <v>1</v>
      </c>
      <c r="K732" s="116"/>
      <c r="L732" s="116"/>
      <c r="M732" s="116"/>
    </row>
    <row r="733" spans="1:14" ht="15" customHeight="1" x14ac:dyDescent="0.2">
      <c r="A733" s="109">
        <v>32</v>
      </c>
      <c r="B733" s="571" t="s">
        <v>734</v>
      </c>
      <c r="C733" s="578" t="s">
        <v>312</v>
      </c>
      <c r="D733" s="106" t="str">
        <f t="shared" si="347"/>
        <v>Lulusan</v>
      </c>
      <c r="E733" s="398">
        <f t="shared" si="348"/>
        <v>1</v>
      </c>
      <c r="F733" s="398">
        <f t="shared" si="349"/>
        <v>0.5</v>
      </c>
      <c r="G733" s="399" t="str">
        <f t="shared" si="350"/>
        <v>1 x 0.5 = 0.5</v>
      </c>
      <c r="H733" s="114" t="s">
        <v>26</v>
      </c>
      <c r="I733" s="577" t="s">
        <v>88</v>
      </c>
      <c r="J733" s="418">
        <f t="shared" si="351"/>
        <v>0.5</v>
      </c>
      <c r="K733" s="116"/>
      <c r="L733" s="116"/>
      <c r="M733" s="116"/>
    </row>
    <row r="734" spans="1:14" ht="15" customHeight="1" x14ac:dyDescent="0.2">
      <c r="A734" s="109">
        <v>33</v>
      </c>
      <c r="B734" s="571" t="s">
        <v>735</v>
      </c>
      <c r="C734" s="578" t="s">
        <v>312</v>
      </c>
      <c r="D734" s="106" t="str">
        <f t="shared" si="347"/>
        <v>Lulusan</v>
      </c>
      <c r="E734" s="398">
        <f t="shared" si="348"/>
        <v>1</v>
      </c>
      <c r="F734" s="398">
        <f t="shared" si="349"/>
        <v>1</v>
      </c>
      <c r="G734" s="399" t="str">
        <f t="shared" si="350"/>
        <v>1 x 1 = 1</v>
      </c>
      <c r="H734" s="114" t="s">
        <v>26</v>
      </c>
      <c r="I734" s="577" t="s">
        <v>87</v>
      </c>
      <c r="J734" s="418">
        <f t="shared" si="351"/>
        <v>1</v>
      </c>
      <c r="K734" s="116"/>
      <c r="L734" s="116"/>
      <c r="M734" s="116"/>
    </row>
    <row r="735" spans="1:14" ht="15" customHeight="1" x14ac:dyDescent="0.2">
      <c r="A735" s="109">
        <v>34</v>
      </c>
      <c r="B735" s="397" t="s">
        <v>399</v>
      </c>
      <c r="C735" s="106"/>
      <c r="D735" s="106" t="str">
        <f t="shared" si="347"/>
        <v/>
      </c>
      <c r="E735" s="398" t="str">
        <f t="shared" si="348"/>
        <v/>
      </c>
      <c r="F735" s="398" t="str">
        <f t="shared" si="349"/>
        <v/>
      </c>
      <c r="G735" s="399" t="str">
        <f t="shared" si="350"/>
        <v>rumus</v>
      </c>
      <c r="H735" s="114" t="s">
        <v>26</v>
      </c>
      <c r="I735" s="420"/>
      <c r="J735" s="418" t="str">
        <f t="shared" si="351"/>
        <v>rumus</v>
      </c>
      <c r="K735" s="116"/>
      <c r="L735" s="116"/>
      <c r="M735" s="116"/>
    </row>
    <row r="736" spans="1:14" ht="15" customHeight="1" x14ac:dyDescent="0.25">
      <c r="A736" s="109"/>
      <c r="B736" s="406" t="str">
        <f>"b. Semester Genap "&amp;IF(C737&lt;&gt;"",C737,"")&amp;" :"</f>
        <v>b. Semester Genap 2014/2015 :</v>
      </c>
      <c r="C736" s="415"/>
      <c r="D736" s="415"/>
      <c r="E736" s="415"/>
      <c r="F736" s="415"/>
      <c r="G736" s="415"/>
      <c r="H736" s="416"/>
      <c r="I736" s="116"/>
      <c r="J736" s="116"/>
      <c r="K736" s="1">
        <f>IF(COUNTIF(I702:I735,"Ketua Penguji")&lt;=4,SUMIF(I702:I735,"Ketua Penguji",J702:J735),4*1)+IF(COUNTIF(I702:I735,"Anggota Penguji")&lt;=8,SUMIF(I702:I735,"Anggota Penguji",J702:J735),8*0.5)</f>
        <v>6</v>
      </c>
      <c r="L736" s="2" t="s">
        <v>675</v>
      </c>
      <c r="M736" s="2">
        <f>IF(COUNTIF(I702:I735,"Ketua Penguji")&lt;=4,SUMIF(I702:I735,"Ketua Penguji",J702:J735),4*1)</f>
        <v>4</v>
      </c>
      <c r="N736" s="2">
        <f>IF(COUNTIF(I702:I735,"Anggota Penguji")&lt;=8,SUMIF(I702:I735,"Anggota Penguji",J702:J735),8*0.5)</f>
        <v>2</v>
      </c>
    </row>
    <row r="737" spans="1:14" ht="15" customHeight="1" x14ac:dyDescent="0.2">
      <c r="A737" s="109">
        <v>1</v>
      </c>
      <c r="B737" s="570" t="s">
        <v>736</v>
      </c>
      <c r="C737" s="576" t="s">
        <v>319</v>
      </c>
      <c r="D737" s="106" t="str">
        <f t="shared" ref="D737:D746" si="362">IF(G737&lt;&gt;"rumus","Lulusan","")</f>
        <v>Lulusan</v>
      </c>
      <c r="E737" s="398">
        <f t="shared" ref="E737:E746" si="363">IF(I737&lt;&gt;"",1,"")</f>
        <v>1</v>
      </c>
      <c r="F737" s="398">
        <f t="shared" ref="F737:F746" si="364">IF(I737&lt;&gt;"",J737,"")</f>
        <v>1</v>
      </c>
      <c r="G737" s="399" t="str">
        <f t="shared" ref="G737:G746" si="365">IF(J737&lt;&gt;"rumus","1 x "&amp;J737&amp;" = "&amp;J737,"rumus")</f>
        <v>1 x 1 = 1</v>
      </c>
      <c r="H737" s="106" t="s">
        <v>315</v>
      </c>
      <c r="I737" s="577" t="s">
        <v>87</v>
      </c>
      <c r="J737" s="418">
        <f t="shared" ref="J737:J746" si="366">IF(I737&lt;&gt;"",IF(I737="Ketua Penguji",1,IF(I737="Anggota Penguji",0.5,"")),"rumus")</f>
        <v>1</v>
      </c>
      <c r="K737" s="116"/>
      <c r="L737" s="116"/>
      <c r="M737" s="116"/>
    </row>
    <row r="738" spans="1:14" ht="15" customHeight="1" x14ac:dyDescent="0.2">
      <c r="A738" s="109">
        <v>2</v>
      </c>
      <c r="B738" s="571" t="s">
        <v>737</v>
      </c>
      <c r="C738" s="578" t="s">
        <v>319</v>
      </c>
      <c r="D738" s="106" t="str">
        <f t="shared" si="362"/>
        <v>Lulusan</v>
      </c>
      <c r="E738" s="398">
        <f t="shared" si="363"/>
        <v>1</v>
      </c>
      <c r="F738" s="398">
        <f t="shared" si="364"/>
        <v>0.5</v>
      </c>
      <c r="G738" s="399" t="str">
        <f t="shared" si="365"/>
        <v>1 x 0.5 = 0.5</v>
      </c>
      <c r="H738" s="114" t="s">
        <v>26</v>
      </c>
      <c r="I738" s="577" t="s">
        <v>88</v>
      </c>
      <c r="J738" s="418">
        <f t="shared" si="366"/>
        <v>0.5</v>
      </c>
      <c r="K738" s="116"/>
      <c r="L738" s="116"/>
      <c r="M738" s="116"/>
    </row>
    <row r="739" spans="1:14" ht="15" customHeight="1" x14ac:dyDescent="0.2">
      <c r="A739" s="109">
        <v>3</v>
      </c>
      <c r="B739" s="571" t="s">
        <v>738</v>
      </c>
      <c r="C739" s="578" t="s">
        <v>319</v>
      </c>
      <c r="D739" s="106" t="str">
        <f t="shared" si="362"/>
        <v>Lulusan</v>
      </c>
      <c r="E739" s="398">
        <f t="shared" si="363"/>
        <v>1</v>
      </c>
      <c r="F739" s="398">
        <f t="shared" si="364"/>
        <v>1</v>
      </c>
      <c r="G739" s="399" t="str">
        <f t="shared" si="365"/>
        <v>1 x 1 = 1</v>
      </c>
      <c r="H739" s="114" t="s">
        <v>26</v>
      </c>
      <c r="I739" s="577" t="s">
        <v>87</v>
      </c>
      <c r="J739" s="418">
        <f t="shared" si="366"/>
        <v>1</v>
      </c>
      <c r="K739" s="116"/>
      <c r="L739" s="116"/>
      <c r="M739" s="116"/>
    </row>
    <row r="740" spans="1:14" ht="15" customHeight="1" x14ac:dyDescent="0.2">
      <c r="A740" s="109">
        <v>4</v>
      </c>
      <c r="B740" s="571" t="s">
        <v>739</v>
      </c>
      <c r="C740" s="578" t="s">
        <v>319</v>
      </c>
      <c r="D740" s="106" t="str">
        <f t="shared" si="362"/>
        <v>Lulusan</v>
      </c>
      <c r="E740" s="398">
        <f t="shared" si="363"/>
        <v>1</v>
      </c>
      <c r="F740" s="398">
        <f t="shared" si="364"/>
        <v>1</v>
      </c>
      <c r="G740" s="399" t="str">
        <f t="shared" si="365"/>
        <v>1 x 1 = 1</v>
      </c>
      <c r="H740" s="114" t="s">
        <v>26</v>
      </c>
      <c r="I740" s="577" t="s">
        <v>87</v>
      </c>
      <c r="J740" s="418">
        <f t="shared" si="366"/>
        <v>1</v>
      </c>
      <c r="K740" s="116"/>
      <c r="L740" s="116"/>
      <c r="M740" s="116"/>
    </row>
    <row r="741" spans="1:14" ht="15" customHeight="1" x14ac:dyDescent="0.2">
      <c r="A741" s="109">
        <v>5</v>
      </c>
      <c r="B741" s="571" t="s">
        <v>740</v>
      </c>
      <c r="C741" s="578" t="s">
        <v>319</v>
      </c>
      <c r="D741" s="106" t="str">
        <f t="shared" si="362"/>
        <v>Lulusan</v>
      </c>
      <c r="E741" s="398">
        <f t="shared" si="363"/>
        <v>1</v>
      </c>
      <c r="F741" s="398">
        <f t="shared" si="364"/>
        <v>0.5</v>
      </c>
      <c r="G741" s="399" t="str">
        <f t="shared" si="365"/>
        <v>1 x 0.5 = 0.5</v>
      </c>
      <c r="H741" s="114" t="s">
        <v>26</v>
      </c>
      <c r="I741" s="577" t="s">
        <v>88</v>
      </c>
      <c r="J741" s="418">
        <f t="shared" si="366"/>
        <v>0.5</v>
      </c>
      <c r="K741" s="116"/>
      <c r="L741" s="116"/>
      <c r="M741" s="116"/>
    </row>
    <row r="742" spans="1:14" ht="15" customHeight="1" x14ac:dyDescent="0.2">
      <c r="A742" s="109">
        <v>6</v>
      </c>
      <c r="B742" s="571" t="s">
        <v>741</v>
      </c>
      <c r="C742" s="578" t="s">
        <v>319</v>
      </c>
      <c r="D742" s="106" t="str">
        <f t="shared" si="362"/>
        <v>Lulusan</v>
      </c>
      <c r="E742" s="398">
        <f t="shared" si="363"/>
        <v>1</v>
      </c>
      <c r="F742" s="398">
        <f t="shared" si="364"/>
        <v>1</v>
      </c>
      <c r="G742" s="399" t="str">
        <f t="shared" si="365"/>
        <v>1 x 1 = 1</v>
      </c>
      <c r="H742" s="114" t="s">
        <v>26</v>
      </c>
      <c r="I742" s="577" t="s">
        <v>87</v>
      </c>
      <c r="J742" s="418">
        <f t="shared" si="366"/>
        <v>1</v>
      </c>
      <c r="K742" s="116"/>
      <c r="L742" s="116"/>
      <c r="M742" s="116"/>
    </row>
    <row r="743" spans="1:14" ht="15" customHeight="1" x14ac:dyDescent="0.2">
      <c r="A743" s="109">
        <v>7</v>
      </c>
      <c r="B743" s="397" t="s">
        <v>399</v>
      </c>
      <c r="C743" s="578" t="s">
        <v>319</v>
      </c>
      <c r="D743" s="106" t="str">
        <f t="shared" si="362"/>
        <v/>
      </c>
      <c r="E743" s="398" t="str">
        <f t="shared" si="363"/>
        <v/>
      </c>
      <c r="F743" s="398" t="str">
        <f t="shared" si="364"/>
        <v/>
      </c>
      <c r="G743" s="399" t="str">
        <f t="shared" si="365"/>
        <v>rumus</v>
      </c>
      <c r="H743" s="114" t="s">
        <v>26</v>
      </c>
      <c r="I743" s="420"/>
      <c r="J743" s="418" t="str">
        <f t="shared" si="366"/>
        <v>rumus</v>
      </c>
      <c r="K743" s="116"/>
      <c r="L743" s="116"/>
      <c r="M743" s="116"/>
    </row>
    <row r="744" spans="1:14" ht="15" customHeight="1" x14ac:dyDescent="0.2">
      <c r="A744" s="109">
        <v>8</v>
      </c>
      <c r="B744" s="397" t="s">
        <v>399</v>
      </c>
      <c r="C744" s="578" t="s">
        <v>319</v>
      </c>
      <c r="D744" s="106" t="str">
        <f t="shared" si="362"/>
        <v/>
      </c>
      <c r="E744" s="398" t="str">
        <f t="shared" si="363"/>
        <v/>
      </c>
      <c r="F744" s="398" t="str">
        <f t="shared" si="364"/>
        <v/>
      </c>
      <c r="G744" s="399" t="str">
        <f t="shared" si="365"/>
        <v>rumus</v>
      </c>
      <c r="H744" s="114" t="s">
        <v>26</v>
      </c>
      <c r="I744" s="420"/>
      <c r="J744" s="418" t="str">
        <f t="shared" si="366"/>
        <v>rumus</v>
      </c>
      <c r="K744" s="116"/>
      <c r="L744" s="116"/>
      <c r="M744" s="116"/>
    </row>
    <row r="745" spans="1:14" ht="15" customHeight="1" x14ac:dyDescent="0.2">
      <c r="A745" s="109">
        <v>9</v>
      </c>
      <c r="B745" s="397" t="s">
        <v>399</v>
      </c>
      <c r="C745" s="578" t="s">
        <v>319</v>
      </c>
      <c r="D745" s="106" t="str">
        <f t="shared" si="362"/>
        <v/>
      </c>
      <c r="E745" s="398" t="str">
        <f t="shared" si="363"/>
        <v/>
      </c>
      <c r="F745" s="398" t="str">
        <f t="shared" si="364"/>
        <v/>
      </c>
      <c r="G745" s="399" t="str">
        <f t="shared" si="365"/>
        <v>rumus</v>
      </c>
      <c r="H745" s="114" t="s">
        <v>26</v>
      </c>
      <c r="I745" s="420"/>
      <c r="J745" s="418" t="str">
        <f t="shared" si="366"/>
        <v>rumus</v>
      </c>
      <c r="K745" s="116"/>
      <c r="L745" s="116"/>
      <c r="M745" s="116"/>
    </row>
    <row r="746" spans="1:14" ht="15" customHeight="1" x14ac:dyDescent="0.2">
      <c r="A746" s="109">
        <v>10</v>
      </c>
      <c r="B746" s="397" t="s">
        <v>399</v>
      </c>
      <c r="C746" s="578" t="s">
        <v>319</v>
      </c>
      <c r="D746" s="106" t="str">
        <f t="shared" si="362"/>
        <v/>
      </c>
      <c r="E746" s="398" t="str">
        <f t="shared" si="363"/>
        <v/>
      </c>
      <c r="F746" s="398" t="str">
        <f t="shared" si="364"/>
        <v/>
      </c>
      <c r="G746" s="399" t="str">
        <f t="shared" si="365"/>
        <v>rumus</v>
      </c>
      <c r="H746" s="114" t="s">
        <v>26</v>
      </c>
      <c r="I746" s="420"/>
      <c r="J746" s="418" t="str">
        <f t="shared" si="366"/>
        <v>rumus</v>
      </c>
      <c r="K746" s="116"/>
      <c r="L746" s="116"/>
      <c r="M746" s="116"/>
    </row>
    <row r="747" spans="1:14" ht="15" customHeight="1" x14ac:dyDescent="0.25">
      <c r="A747" s="109"/>
      <c r="B747" s="406" t="str">
        <f>"b. Semester Genap "&amp;IF(C748&lt;&gt;"",C748,"")&amp;" :"</f>
        <v>b. Semester Genap 2016/2017 :</v>
      </c>
      <c r="C747" s="415"/>
      <c r="D747" s="415"/>
      <c r="E747" s="415"/>
      <c r="F747" s="415"/>
      <c r="G747" s="415"/>
      <c r="H747" s="416"/>
      <c r="I747" s="116"/>
      <c r="J747" s="116"/>
      <c r="K747" s="1">
        <f>IF(COUNTIF(I737:I746,"Ketua Penguji")&lt;=4,SUMIF(I737:I746,"Ketua Penguji",J737:J746),4*1)+IF(COUNTIF(I737:I746,"Anggota Penguji")&lt;=8,SUMIF(I737:I746,"Anggota Penguji",J737:J746),8*0.5)</f>
        <v>5</v>
      </c>
      <c r="L747" s="2" t="s">
        <v>675</v>
      </c>
      <c r="M747" s="2">
        <f>IF(COUNTIF(I737:I746,"Ketua Penguji")&lt;=4,SUMIF(I737:I746,"Ketua Penguji",J737:J746),4*1)</f>
        <v>4</v>
      </c>
      <c r="N747" s="2">
        <f>IF(COUNTIF(I737:I746,"Anggota Penguji")&lt;=8,SUMIF(I737:I746,"Anggota Penguji",J737:J746),8*0.5)</f>
        <v>1</v>
      </c>
    </row>
    <row r="748" spans="1:14" ht="15" customHeight="1" x14ac:dyDescent="0.2">
      <c r="A748" s="109">
        <v>1</v>
      </c>
      <c r="B748" s="570" t="s">
        <v>742</v>
      </c>
      <c r="C748" s="576" t="s">
        <v>324</v>
      </c>
      <c r="D748" s="106" t="str">
        <f t="shared" ref="D748:D759" si="367">IF(G748&lt;&gt;"rumus","Lulusan","")</f>
        <v>Lulusan</v>
      </c>
      <c r="E748" s="398">
        <f t="shared" ref="E748:E759" si="368">IF(I748&lt;&gt;"",1,"")</f>
        <v>1</v>
      </c>
      <c r="F748" s="398">
        <f t="shared" ref="F748:F759" si="369">IF(I748&lt;&gt;"",J748,"")</f>
        <v>1</v>
      </c>
      <c r="G748" s="399" t="str">
        <f t="shared" ref="G748:G759" si="370">IF(J748&lt;&gt;"rumus","1 x "&amp;J748&amp;" = "&amp;J748,"rumus")</f>
        <v>1 x 1 = 1</v>
      </c>
      <c r="H748" s="106" t="s">
        <v>315</v>
      </c>
      <c r="I748" s="577" t="s">
        <v>87</v>
      </c>
      <c r="J748" s="418">
        <f t="shared" ref="J748:J759" si="371">IF(I748&lt;&gt;"",IF(I748="Ketua Penguji",1,IF(I748="Anggota Penguji",0.5,"")),"rumus")</f>
        <v>1</v>
      </c>
      <c r="K748" s="116"/>
      <c r="L748" s="116"/>
      <c r="M748" s="116"/>
    </row>
    <row r="749" spans="1:14" ht="15" customHeight="1" x14ac:dyDescent="0.2">
      <c r="A749" s="109">
        <v>2</v>
      </c>
      <c r="B749" s="571" t="s">
        <v>743</v>
      </c>
      <c r="C749" s="578" t="s">
        <v>324</v>
      </c>
      <c r="D749" s="106" t="str">
        <f t="shared" ref="D749:D750" si="372">IF(G749&lt;&gt;"rumus","Lulusan","")</f>
        <v>Lulusan</v>
      </c>
      <c r="E749" s="398">
        <f t="shared" ref="E749:E750" si="373">IF(I749&lt;&gt;"",1,"")</f>
        <v>1</v>
      </c>
      <c r="F749" s="398">
        <f t="shared" ref="F749:F750" si="374">IF(I749&lt;&gt;"",J749,"")</f>
        <v>1</v>
      </c>
      <c r="G749" s="399" t="str">
        <f t="shared" ref="G749:G750" si="375">IF(J749&lt;&gt;"rumus","1 x "&amp;J749&amp;" = "&amp;J749,"rumus")</f>
        <v>1 x 1 = 1</v>
      </c>
      <c r="H749" s="114" t="s">
        <v>26</v>
      </c>
      <c r="I749" s="577" t="s">
        <v>87</v>
      </c>
      <c r="J749" s="418">
        <f t="shared" ref="J749:J750" si="376">IF(I749&lt;&gt;"",IF(I749="Ketua Penguji",1,IF(I749="Anggota Penguji",0.5,"")),"rumus")</f>
        <v>1</v>
      </c>
      <c r="K749" s="116"/>
      <c r="L749" s="116"/>
      <c r="M749" s="116"/>
    </row>
    <row r="750" spans="1:14" ht="15" customHeight="1" x14ac:dyDescent="0.2">
      <c r="A750" s="109">
        <v>3</v>
      </c>
      <c r="B750" s="571" t="s">
        <v>744</v>
      </c>
      <c r="C750" s="578" t="s">
        <v>324</v>
      </c>
      <c r="D750" s="106" t="str">
        <f t="shared" si="372"/>
        <v>Lulusan</v>
      </c>
      <c r="E750" s="398">
        <f t="shared" si="373"/>
        <v>1</v>
      </c>
      <c r="F750" s="398">
        <f t="shared" si="374"/>
        <v>1</v>
      </c>
      <c r="G750" s="399" t="str">
        <f t="shared" si="375"/>
        <v>1 x 1 = 1</v>
      </c>
      <c r="H750" s="114" t="s">
        <v>26</v>
      </c>
      <c r="I750" s="577" t="s">
        <v>87</v>
      </c>
      <c r="J750" s="418">
        <f t="shared" si="376"/>
        <v>1</v>
      </c>
      <c r="K750" s="116"/>
      <c r="L750" s="116"/>
      <c r="M750" s="116"/>
    </row>
    <row r="751" spans="1:14" ht="15" customHeight="1" x14ac:dyDescent="0.2">
      <c r="A751" s="109">
        <v>2</v>
      </c>
      <c r="B751" s="571" t="s">
        <v>745</v>
      </c>
      <c r="C751" s="578" t="s">
        <v>324</v>
      </c>
      <c r="D751" s="106" t="str">
        <f t="shared" si="367"/>
        <v>Lulusan</v>
      </c>
      <c r="E751" s="398">
        <f t="shared" si="368"/>
        <v>1</v>
      </c>
      <c r="F751" s="398">
        <f t="shared" si="369"/>
        <v>0.5</v>
      </c>
      <c r="G751" s="399" t="str">
        <f t="shared" si="370"/>
        <v>1 x 0.5 = 0.5</v>
      </c>
      <c r="H751" s="114" t="s">
        <v>26</v>
      </c>
      <c r="I751" s="577" t="s">
        <v>88</v>
      </c>
      <c r="J751" s="418">
        <f t="shared" si="371"/>
        <v>0.5</v>
      </c>
      <c r="K751" s="116"/>
      <c r="L751" s="116"/>
      <c r="M751" s="116"/>
    </row>
    <row r="752" spans="1:14" ht="15" customHeight="1" x14ac:dyDescent="0.2">
      <c r="A752" s="109">
        <v>3</v>
      </c>
      <c r="B752" s="571" t="s">
        <v>746</v>
      </c>
      <c r="C752" s="578" t="s">
        <v>324</v>
      </c>
      <c r="D752" s="106" t="str">
        <f t="shared" si="367"/>
        <v>Lulusan</v>
      </c>
      <c r="E752" s="398">
        <f t="shared" si="368"/>
        <v>1</v>
      </c>
      <c r="F752" s="398">
        <f t="shared" si="369"/>
        <v>1</v>
      </c>
      <c r="G752" s="399" t="str">
        <f t="shared" si="370"/>
        <v>1 x 1 = 1</v>
      </c>
      <c r="H752" s="114" t="s">
        <v>26</v>
      </c>
      <c r="I752" s="577" t="s">
        <v>87</v>
      </c>
      <c r="J752" s="418">
        <f t="shared" si="371"/>
        <v>1</v>
      </c>
      <c r="K752" s="116"/>
      <c r="L752" s="116"/>
      <c r="M752" s="116"/>
    </row>
    <row r="753" spans="1:14" ht="15" customHeight="1" x14ac:dyDescent="0.2">
      <c r="A753" s="109">
        <v>4</v>
      </c>
      <c r="B753" s="571" t="s">
        <v>747</v>
      </c>
      <c r="C753" s="578" t="s">
        <v>324</v>
      </c>
      <c r="D753" s="106" t="str">
        <f t="shared" si="367"/>
        <v>Lulusan</v>
      </c>
      <c r="E753" s="398">
        <f t="shared" si="368"/>
        <v>1</v>
      </c>
      <c r="F753" s="398">
        <f t="shared" si="369"/>
        <v>1</v>
      </c>
      <c r="G753" s="399" t="str">
        <f t="shared" si="370"/>
        <v>1 x 1 = 1</v>
      </c>
      <c r="H753" s="114" t="s">
        <v>26</v>
      </c>
      <c r="I753" s="577" t="s">
        <v>87</v>
      </c>
      <c r="J753" s="418">
        <f t="shared" si="371"/>
        <v>1</v>
      </c>
      <c r="K753" s="116"/>
      <c r="L753" s="116"/>
      <c r="M753" s="116"/>
    </row>
    <row r="754" spans="1:14" ht="15" customHeight="1" x14ac:dyDescent="0.2">
      <c r="A754" s="109">
        <v>5</v>
      </c>
      <c r="B754" s="571" t="s">
        <v>748</v>
      </c>
      <c r="C754" s="578" t="s">
        <v>324</v>
      </c>
      <c r="D754" s="106" t="str">
        <f t="shared" si="367"/>
        <v>Lulusan</v>
      </c>
      <c r="E754" s="398">
        <f t="shared" si="368"/>
        <v>1</v>
      </c>
      <c r="F754" s="398">
        <f t="shared" si="369"/>
        <v>1</v>
      </c>
      <c r="G754" s="399" t="str">
        <f t="shared" si="370"/>
        <v>1 x 1 = 1</v>
      </c>
      <c r="H754" s="114" t="s">
        <v>26</v>
      </c>
      <c r="I754" s="577" t="s">
        <v>87</v>
      </c>
      <c r="J754" s="418">
        <f t="shared" si="371"/>
        <v>1</v>
      </c>
      <c r="K754" s="116"/>
      <c r="L754" s="116"/>
      <c r="M754" s="116"/>
    </row>
    <row r="755" spans="1:14" ht="15" customHeight="1" x14ac:dyDescent="0.2">
      <c r="A755" s="109">
        <v>6</v>
      </c>
      <c r="B755" s="571" t="s">
        <v>749</v>
      </c>
      <c r="C755" s="578" t="s">
        <v>324</v>
      </c>
      <c r="D755" s="106" t="str">
        <f t="shared" si="367"/>
        <v>Lulusan</v>
      </c>
      <c r="E755" s="398">
        <f t="shared" si="368"/>
        <v>1</v>
      </c>
      <c r="F755" s="398">
        <f t="shared" si="369"/>
        <v>0.5</v>
      </c>
      <c r="G755" s="399" t="str">
        <f t="shared" si="370"/>
        <v>1 x 0.5 = 0.5</v>
      </c>
      <c r="H755" s="114" t="s">
        <v>26</v>
      </c>
      <c r="I755" s="577" t="s">
        <v>88</v>
      </c>
      <c r="J755" s="418">
        <f t="shared" si="371"/>
        <v>0.5</v>
      </c>
      <c r="K755" s="116"/>
      <c r="L755" s="116"/>
      <c r="M755" s="116"/>
    </row>
    <row r="756" spans="1:14" ht="15" customHeight="1" x14ac:dyDescent="0.2">
      <c r="A756" s="109">
        <v>7</v>
      </c>
      <c r="B756" s="571" t="s">
        <v>750</v>
      </c>
      <c r="C756" s="578" t="s">
        <v>324</v>
      </c>
      <c r="D756" s="106" t="str">
        <f t="shared" si="367"/>
        <v>Lulusan</v>
      </c>
      <c r="E756" s="398">
        <f t="shared" si="368"/>
        <v>1</v>
      </c>
      <c r="F756" s="398">
        <f t="shared" si="369"/>
        <v>1</v>
      </c>
      <c r="G756" s="399" t="str">
        <f t="shared" si="370"/>
        <v>1 x 1 = 1</v>
      </c>
      <c r="H756" s="114" t="s">
        <v>26</v>
      </c>
      <c r="I756" s="577" t="s">
        <v>87</v>
      </c>
      <c r="J756" s="418">
        <f t="shared" si="371"/>
        <v>1</v>
      </c>
      <c r="K756" s="116"/>
      <c r="L756" s="116"/>
      <c r="M756" s="116"/>
    </row>
    <row r="757" spans="1:14" ht="15" customHeight="1" x14ac:dyDescent="0.2">
      <c r="A757" s="109">
        <v>8</v>
      </c>
      <c r="B757" s="571" t="s">
        <v>751</v>
      </c>
      <c r="C757" s="578" t="s">
        <v>324</v>
      </c>
      <c r="D757" s="106" t="str">
        <f t="shared" si="367"/>
        <v>Lulusan</v>
      </c>
      <c r="E757" s="398">
        <f t="shared" si="368"/>
        <v>1</v>
      </c>
      <c r="F757" s="398">
        <f t="shared" si="369"/>
        <v>0.5</v>
      </c>
      <c r="G757" s="399" t="str">
        <f t="shared" si="370"/>
        <v>1 x 0.5 = 0.5</v>
      </c>
      <c r="H757" s="114" t="s">
        <v>26</v>
      </c>
      <c r="I757" s="577" t="s">
        <v>88</v>
      </c>
      <c r="J757" s="418">
        <f t="shared" si="371"/>
        <v>0.5</v>
      </c>
      <c r="K757" s="116"/>
      <c r="L757" s="116"/>
      <c r="M757" s="116"/>
    </row>
    <row r="758" spans="1:14" ht="15" customHeight="1" x14ac:dyDescent="0.2">
      <c r="A758" s="109">
        <v>9</v>
      </c>
      <c r="B758" s="571" t="s">
        <v>752</v>
      </c>
      <c r="C758" s="578" t="s">
        <v>324</v>
      </c>
      <c r="D758" s="106" t="str">
        <f t="shared" si="367"/>
        <v>Lulusan</v>
      </c>
      <c r="E758" s="398">
        <f t="shared" si="368"/>
        <v>1</v>
      </c>
      <c r="F758" s="398">
        <f t="shared" si="369"/>
        <v>1</v>
      </c>
      <c r="G758" s="399" t="str">
        <f t="shared" si="370"/>
        <v>1 x 1 = 1</v>
      </c>
      <c r="H758" s="114" t="s">
        <v>26</v>
      </c>
      <c r="I758" s="577" t="s">
        <v>87</v>
      </c>
      <c r="J758" s="418">
        <f t="shared" si="371"/>
        <v>1</v>
      </c>
      <c r="K758" s="116"/>
      <c r="L758" s="116"/>
      <c r="M758" s="116"/>
    </row>
    <row r="759" spans="1:14" ht="15" customHeight="1" x14ac:dyDescent="0.2">
      <c r="A759" s="109">
        <v>10</v>
      </c>
      <c r="B759" s="571" t="s">
        <v>753</v>
      </c>
      <c r="C759" s="578" t="s">
        <v>324</v>
      </c>
      <c r="D759" s="106" t="str">
        <f t="shared" si="367"/>
        <v>Lulusan</v>
      </c>
      <c r="E759" s="398">
        <f t="shared" si="368"/>
        <v>1</v>
      </c>
      <c r="F759" s="398">
        <f t="shared" si="369"/>
        <v>1</v>
      </c>
      <c r="G759" s="399" t="str">
        <f t="shared" si="370"/>
        <v>1 x 1 = 1</v>
      </c>
      <c r="H759" s="114" t="s">
        <v>26</v>
      </c>
      <c r="I759" s="577" t="s">
        <v>87</v>
      </c>
      <c r="J759" s="418">
        <f t="shared" si="371"/>
        <v>1</v>
      </c>
      <c r="K759" s="116"/>
      <c r="L759" s="116"/>
      <c r="M759" s="116"/>
    </row>
    <row r="760" spans="1:14" ht="15" customHeight="1" x14ac:dyDescent="0.25">
      <c r="A760" s="109"/>
      <c r="B760" s="406" t="str">
        <f>"b. Semester Genap "&amp;IF(C761&lt;&gt;"",C761,"")&amp;" :"</f>
        <v>b. Semester Genap 2017/2018 :</v>
      </c>
      <c r="C760" s="415"/>
      <c r="D760" s="415"/>
      <c r="E760" s="415"/>
      <c r="F760" s="415"/>
      <c r="G760" s="415"/>
      <c r="H760" s="416"/>
      <c r="I760" s="116"/>
      <c r="J760" s="116"/>
      <c r="K760" s="1">
        <f>IF(COUNTIF(I748:I759,"Ketua Penguji")&lt;=4,SUMIF(I748:I759,"Ketua Penguji",J748:J759),4*1)+IF(COUNTIF(I748:I759,"Anggota Penguji")&lt;=8,SUMIF(I748:I759,"Anggota Penguji",J748:J759),8*0.5)</f>
        <v>5.5</v>
      </c>
      <c r="L760" s="2" t="s">
        <v>675</v>
      </c>
      <c r="M760" s="2">
        <f>IF(COUNTIF(I748:I759,"Ketua Penguji")&lt;=4,SUMIF(I748:I759,"Ketua Penguji",J748:J759),4*1)</f>
        <v>4</v>
      </c>
      <c r="N760" s="2">
        <f>IF(COUNTIF(I748:I759,"Anggota Penguji")&lt;=8,SUMIF(I748:I759,"Anggota Penguji",J748:J759),8*0.5)</f>
        <v>1.5</v>
      </c>
    </row>
    <row r="761" spans="1:14" ht="15" customHeight="1" x14ac:dyDescent="0.2">
      <c r="A761" s="109">
        <v>1</v>
      </c>
      <c r="B761" s="570" t="s">
        <v>754</v>
      </c>
      <c r="C761" s="576" t="s">
        <v>327</v>
      </c>
      <c r="D761" s="106" t="str">
        <f t="shared" ref="D761:D770" si="377">IF(G761&lt;&gt;"rumus","Lulusan","")</f>
        <v>Lulusan</v>
      </c>
      <c r="E761" s="398">
        <f t="shared" ref="E761:E770" si="378">IF(I761&lt;&gt;"",1,"")</f>
        <v>1</v>
      </c>
      <c r="F761" s="398">
        <f t="shared" ref="F761:F770" si="379">IF(I761&lt;&gt;"",J761,"")</f>
        <v>1</v>
      </c>
      <c r="G761" s="399" t="str">
        <f t="shared" ref="G761:G770" si="380">IF(J761&lt;&gt;"rumus","1 x "&amp;J761&amp;" = "&amp;J761,"rumus")</f>
        <v>1 x 1 = 1</v>
      </c>
      <c r="H761" s="106" t="s">
        <v>315</v>
      </c>
      <c r="I761" s="577" t="s">
        <v>87</v>
      </c>
      <c r="J761" s="418">
        <f t="shared" ref="J761:J770" si="381">IF(I761&lt;&gt;"",IF(I761="Ketua Penguji",1,IF(I761="Anggota Penguji",0.5,"")),"rumus")</f>
        <v>1</v>
      </c>
      <c r="K761" s="116"/>
      <c r="L761" s="116"/>
      <c r="M761" s="116"/>
    </row>
    <row r="762" spans="1:14" ht="15" customHeight="1" x14ac:dyDescent="0.2">
      <c r="A762" s="109">
        <v>2</v>
      </c>
      <c r="B762" s="571" t="s">
        <v>755</v>
      </c>
      <c r="C762" s="578" t="s">
        <v>327</v>
      </c>
      <c r="D762" s="106" t="str">
        <f t="shared" si="377"/>
        <v>Lulusan</v>
      </c>
      <c r="E762" s="398">
        <f t="shared" si="378"/>
        <v>1</v>
      </c>
      <c r="F762" s="398">
        <f t="shared" si="379"/>
        <v>1</v>
      </c>
      <c r="G762" s="399" t="str">
        <f t="shared" si="380"/>
        <v>1 x 1 = 1</v>
      </c>
      <c r="H762" s="114" t="s">
        <v>26</v>
      </c>
      <c r="I762" s="577" t="s">
        <v>87</v>
      </c>
      <c r="J762" s="418">
        <f t="shared" si="381"/>
        <v>1</v>
      </c>
      <c r="K762" s="116"/>
      <c r="L762" s="116"/>
      <c r="M762" s="116"/>
    </row>
    <row r="763" spans="1:14" ht="15" customHeight="1" x14ac:dyDescent="0.2">
      <c r="A763" s="109">
        <v>3</v>
      </c>
      <c r="B763" s="571" t="s">
        <v>756</v>
      </c>
      <c r="C763" s="578" t="s">
        <v>327</v>
      </c>
      <c r="D763" s="106" t="str">
        <f t="shared" si="377"/>
        <v>Lulusan</v>
      </c>
      <c r="E763" s="398">
        <f t="shared" si="378"/>
        <v>1</v>
      </c>
      <c r="F763" s="398">
        <f t="shared" si="379"/>
        <v>1</v>
      </c>
      <c r="G763" s="399" t="str">
        <f t="shared" si="380"/>
        <v>1 x 1 = 1</v>
      </c>
      <c r="H763" s="114" t="s">
        <v>26</v>
      </c>
      <c r="I763" s="577" t="s">
        <v>87</v>
      </c>
      <c r="J763" s="418">
        <f t="shared" si="381"/>
        <v>1</v>
      </c>
      <c r="K763" s="116"/>
      <c r="L763" s="116"/>
      <c r="M763" s="116"/>
    </row>
    <row r="764" spans="1:14" ht="15" customHeight="1" x14ac:dyDescent="0.2">
      <c r="A764" s="109">
        <v>4</v>
      </c>
      <c r="B764" s="571" t="s">
        <v>757</v>
      </c>
      <c r="C764" s="578" t="s">
        <v>327</v>
      </c>
      <c r="D764" s="106" t="str">
        <f t="shared" si="377"/>
        <v>Lulusan</v>
      </c>
      <c r="E764" s="398">
        <f t="shared" si="378"/>
        <v>1</v>
      </c>
      <c r="F764" s="398">
        <f t="shared" si="379"/>
        <v>1</v>
      </c>
      <c r="G764" s="399" t="str">
        <f t="shared" si="380"/>
        <v>1 x 1 = 1</v>
      </c>
      <c r="H764" s="114" t="s">
        <v>26</v>
      </c>
      <c r="I764" s="577" t="s">
        <v>87</v>
      </c>
      <c r="J764" s="418">
        <f t="shared" si="381"/>
        <v>1</v>
      </c>
      <c r="K764" s="116"/>
      <c r="L764" s="116"/>
      <c r="M764" s="116"/>
    </row>
    <row r="765" spans="1:14" ht="15" customHeight="1" x14ac:dyDescent="0.2">
      <c r="A765" s="109">
        <v>5</v>
      </c>
      <c r="B765" s="571" t="s">
        <v>758</v>
      </c>
      <c r="C765" s="578" t="s">
        <v>327</v>
      </c>
      <c r="D765" s="106" t="str">
        <f t="shared" si="377"/>
        <v>Lulusan</v>
      </c>
      <c r="E765" s="398">
        <f t="shared" si="378"/>
        <v>1</v>
      </c>
      <c r="F765" s="398">
        <f t="shared" si="379"/>
        <v>1</v>
      </c>
      <c r="G765" s="399" t="str">
        <f t="shared" si="380"/>
        <v>1 x 1 = 1</v>
      </c>
      <c r="H765" s="114" t="s">
        <v>26</v>
      </c>
      <c r="I765" s="577" t="s">
        <v>87</v>
      </c>
      <c r="J765" s="418">
        <f t="shared" si="381"/>
        <v>1</v>
      </c>
      <c r="K765" s="116"/>
      <c r="L765" s="116"/>
      <c r="M765" s="116"/>
    </row>
    <row r="766" spans="1:14" ht="15" customHeight="1" x14ac:dyDescent="0.2">
      <c r="A766" s="109">
        <v>6</v>
      </c>
      <c r="B766" s="571" t="s">
        <v>759</v>
      </c>
      <c r="C766" s="578" t="s">
        <v>327</v>
      </c>
      <c r="D766" s="106" t="str">
        <f t="shared" si="377"/>
        <v>Lulusan</v>
      </c>
      <c r="E766" s="398">
        <f t="shared" si="378"/>
        <v>1</v>
      </c>
      <c r="F766" s="398">
        <f t="shared" si="379"/>
        <v>1</v>
      </c>
      <c r="G766" s="399" t="str">
        <f t="shared" si="380"/>
        <v>1 x 1 = 1</v>
      </c>
      <c r="H766" s="114" t="s">
        <v>26</v>
      </c>
      <c r="I766" s="577" t="s">
        <v>87</v>
      </c>
      <c r="J766" s="418">
        <f t="shared" si="381"/>
        <v>1</v>
      </c>
      <c r="K766" s="116"/>
      <c r="L766" s="116"/>
      <c r="M766" s="116"/>
    </row>
    <row r="767" spans="1:14" ht="15" customHeight="1" x14ac:dyDescent="0.2">
      <c r="A767" s="109">
        <v>7</v>
      </c>
      <c r="B767" s="571" t="s">
        <v>760</v>
      </c>
      <c r="C767" s="578" t="s">
        <v>327</v>
      </c>
      <c r="D767" s="106" t="str">
        <f t="shared" si="377"/>
        <v>Lulusan</v>
      </c>
      <c r="E767" s="398">
        <f t="shared" si="378"/>
        <v>1</v>
      </c>
      <c r="F767" s="398">
        <f t="shared" si="379"/>
        <v>1</v>
      </c>
      <c r="G767" s="399" t="str">
        <f t="shared" si="380"/>
        <v>1 x 1 = 1</v>
      </c>
      <c r="H767" s="114" t="s">
        <v>26</v>
      </c>
      <c r="I767" s="577" t="s">
        <v>87</v>
      </c>
      <c r="J767" s="418">
        <f t="shared" si="381"/>
        <v>1</v>
      </c>
      <c r="K767" s="116"/>
      <c r="L767" s="116"/>
      <c r="M767" s="116"/>
    </row>
    <row r="768" spans="1:14" ht="15" customHeight="1" x14ac:dyDescent="0.2">
      <c r="A768" s="109">
        <v>8</v>
      </c>
      <c r="B768" s="571" t="s">
        <v>761</v>
      </c>
      <c r="C768" s="578" t="s">
        <v>327</v>
      </c>
      <c r="D768" s="106" t="str">
        <f t="shared" si="377"/>
        <v>Lulusan</v>
      </c>
      <c r="E768" s="398">
        <f t="shared" si="378"/>
        <v>1</v>
      </c>
      <c r="F768" s="398">
        <f t="shared" si="379"/>
        <v>1</v>
      </c>
      <c r="G768" s="399" t="str">
        <f t="shared" si="380"/>
        <v>1 x 1 = 1</v>
      </c>
      <c r="H768" s="114" t="s">
        <v>26</v>
      </c>
      <c r="I768" s="577" t="s">
        <v>87</v>
      </c>
      <c r="J768" s="418">
        <f t="shared" si="381"/>
        <v>1</v>
      </c>
      <c r="K768" s="116"/>
      <c r="L768" s="116"/>
      <c r="M768" s="116"/>
    </row>
    <row r="769" spans="1:14" ht="15" customHeight="1" x14ac:dyDescent="0.2">
      <c r="A769" s="109">
        <v>9</v>
      </c>
      <c r="B769" s="571" t="s">
        <v>762</v>
      </c>
      <c r="C769" s="578" t="s">
        <v>327</v>
      </c>
      <c r="D769" s="106" t="str">
        <f t="shared" si="377"/>
        <v>Lulusan</v>
      </c>
      <c r="E769" s="398">
        <f t="shared" si="378"/>
        <v>1</v>
      </c>
      <c r="F769" s="398">
        <f t="shared" si="379"/>
        <v>0.5</v>
      </c>
      <c r="G769" s="399" t="str">
        <f t="shared" si="380"/>
        <v>1 x 0.5 = 0.5</v>
      </c>
      <c r="H769" s="114" t="s">
        <v>26</v>
      </c>
      <c r="I769" s="577" t="s">
        <v>88</v>
      </c>
      <c r="J769" s="418">
        <f t="shared" si="381"/>
        <v>0.5</v>
      </c>
      <c r="K769" s="116"/>
      <c r="L769" s="116"/>
      <c r="M769" s="116"/>
    </row>
    <row r="770" spans="1:14" ht="15" customHeight="1" x14ac:dyDescent="0.2">
      <c r="A770" s="109">
        <v>10</v>
      </c>
      <c r="B770" s="397" t="s">
        <v>399</v>
      </c>
      <c r="C770" s="106"/>
      <c r="D770" s="106" t="str">
        <f t="shared" si="377"/>
        <v/>
      </c>
      <c r="E770" s="398" t="str">
        <f t="shared" si="378"/>
        <v/>
      </c>
      <c r="F770" s="398" t="str">
        <f t="shared" si="379"/>
        <v/>
      </c>
      <c r="G770" s="399" t="str">
        <f t="shared" si="380"/>
        <v>rumus</v>
      </c>
      <c r="H770" s="114" t="s">
        <v>26</v>
      </c>
      <c r="I770" s="420"/>
      <c r="J770" s="418" t="str">
        <f t="shared" si="381"/>
        <v>rumus</v>
      </c>
      <c r="K770" s="116"/>
      <c r="L770" s="116"/>
      <c r="M770" s="116"/>
    </row>
    <row r="771" spans="1:14" ht="15" customHeight="1" x14ac:dyDescent="0.25">
      <c r="A771" s="109"/>
      <c r="B771" s="406" t="str">
        <f>"b. Semester Genap "&amp;IF(C772&lt;&gt;"",C772,"")&amp;" :"</f>
        <v>b. Semester Genap 2019/2020 :</v>
      </c>
      <c r="C771" s="415"/>
      <c r="D771" s="415"/>
      <c r="E771" s="415"/>
      <c r="F771" s="415"/>
      <c r="G771" s="415"/>
      <c r="H771" s="416"/>
      <c r="I771" s="116"/>
      <c r="J771" s="116"/>
      <c r="K771" s="1">
        <f>IF(COUNTIF(I761:I770,"Ketua Penguji")&lt;=4,SUMIF(I761:I770,"Ketua Penguji",J761:J770),4*1)+IF(COUNTIF(I761:I770,"Anggota Penguji")&lt;=8,SUMIF(I761:I770,"Anggota Penguji",J761:J770),8*0.5)</f>
        <v>4.5</v>
      </c>
      <c r="L771" s="2" t="s">
        <v>675</v>
      </c>
      <c r="M771" s="2">
        <f>IF(COUNTIF(I761:I770,"Ketua Penguji")&lt;=4,SUMIF(I761:I770,"Ketua Penguji",J761:J770),4*1)</f>
        <v>4</v>
      </c>
      <c r="N771" s="2">
        <f>IF(COUNTIF(I761:I770,"Anggota Penguji")&lt;=8,SUMIF(I761:I770,"Anggota Penguji",J761:J770),8*0.5)</f>
        <v>0.5</v>
      </c>
    </row>
    <row r="772" spans="1:14" ht="15" customHeight="1" x14ac:dyDescent="0.2">
      <c r="A772" s="109">
        <v>1</v>
      </c>
      <c r="B772" s="570" t="s">
        <v>763</v>
      </c>
      <c r="C772" s="576" t="s">
        <v>334</v>
      </c>
      <c r="D772" s="106" t="str">
        <f t="shared" ref="D772:D789" si="382">IF(G772&lt;&gt;"rumus","Lulusan","")</f>
        <v>Lulusan</v>
      </c>
      <c r="E772" s="398">
        <f t="shared" ref="E772:E789" si="383">IF(I772&lt;&gt;"",1,"")</f>
        <v>1</v>
      </c>
      <c r="F772" s="398">
        <f t="shared" ref="F772:F789" si="384">IF(I772&lt;&gt;"",J772,"")</f>
        <v>0.5</v>
      </c>
      <c r="G772" s="399" t="str">
        <f t="shared" ref="G772:G789" si="385">IF(J772&lt;&gt;"rumus","1 x "&amp;J772&amp;" = "&amp;J772,"rumus")</f>
        <v>1 x 0.5 = 0.5</v>
      </c>
      <c r="H772" s="106" t="s">
        <v>764</v>
      </c>
      <c r="I772" s="577" t="s">
        <v>88</v>
      </c>
      <c r="J772" s="418">
        <f t="shared" ref="J772:J789" si="386">IF(I772&lt;&gt;"",IF(I772="Ketua Penguji",1,IF(I772="Anggota Penguji",0.5,"")),"rumus")</f>
        <v>0.5</v>
      </c>
      <c r="K772" s="116"/>
      <c r="L772" s="116"/>
      <c r="M772" s="116"/>
    </row>
    <row r="773" spans="1:14" ht="15" customHeight="1" x14ac:dyDescent="0.2">
      <c r="A773" s="109">
        <v>2</v>
      </c>
      <c r="B773" s="571" t="s">
        <v>765</v>
      </c>
      <c r="C773" s="578" t="s">
        <v>334</v>
      </c>
      <c r="D773" s="106" t="str">
        <f t="shared" ref="D773:D780" si="387">IF(G773&lt;&gt;"rumus","Lulusan","")</f>
        <v>Lulusan</v>
      </c>
      <c r="E773" s="398">
        <f t="shared" ref="E773:E780" si="388">IF(I773&lt;&gt;"",1,"")</f>
        <v>1</v>
      </c>
      <c r="F773" s="398">
        <f t="shared" ref="F773:F780" si="389">IF(I773&lt;&gt;"",J773,"")</f>
        <v>1</v>
      </c>
      <c r="G773" s="399" t="str">
        <f t="shared" ref="G773:G780" si="390">IF(J773&lt;&gt;"rumus","1 x "&amp;J773&amp;" = "&amp;J773,"rumus")</f>
        <v>1 x 1 = 1</v>
      </c>
      <c r="H773" s="114" t="s">
        <v>26</v>
      </c>
      <c r="I773" s="577" t="s">
        <v>87</v>
      </c>
      <c r="J773" s="418">
        <f t="shared" ref="J773:J780" si="391">IF(I773&lt;&gt;"",IF(I773="Ketua Penguji",1,IF(I773="Anggota Penguji",0.5,"")),"rumus")</f>
        <v>1</v>
      </c>
      <c r="K773" s="116"/>
      <c r="L773" s="116"/>
      <c r="M773" s="116"/>
    </row>
    <row r="774" spans="1:14" ht="15" customHeight="1" x14ac:dyDescent="0.2">
      <c r="A774" s="109">
        <v>3</v>
      </c>
      <c r="B774" s="571" t="s">
        <v>766</v>
      </c>
      <c r="C774" s="578" t="s">
        <v>334</v>
      </c>
      <c r="D774" s="106" t="str">
        <f t="shared" si="387"/>
        <v>Lulusan</v>
      </c>
      <c r="E774" s="398">
        <f t="shared" si="388"/>
        <v>1</v>
      </c>
      <c r="F774" s="398">
        <f t="shared" si="389"/>
        <v>1</v>
      </c>
      <c r="G774" s="399" t="str">
        <f t="shared" si="390"/>
        <v>1 x 1 = 1</v>
      </c>
      <c r="H774" s="114" t="s">
        <v>26</v>
      </c>
      <c r="I774" s="577" t="s">
        <v>87</v>
      </c>
      <c r="J774" s="418">
        <f t="shared" si="391"/>
        <v>1</v>
      </c>
      <c r="K774" s="116"/>
      <c r="L774" s="116"/>
      <c r="M774" s="116"/>
    </row>
    <row r="775" spans="1:14" ht="15" customHeight="1" x14ac:dyDescent="0.2">
      <c r="A775" s="109">
        <v>4</v>
      </c>
      <c r="B775" s="571" t="s">
        <v>767</v>
      </c>
      <c r="C775" s="578" t="s">
        <v>334</v>
      </c>
      <c r="D775" s="106" t="str">
        <f t="shared" si="387"/>
        <v>Lulusan</v>
      </c>
      <c r="E775" s="398">
        <f t="shared" si="388"/>
        <v>1</v>
      </c>
      <c r="F775" s="398">
        <f t="shared" si="389"/>
        <v>1</v>
      </c>
      <c r="G775" s="399" t="str">
        <f t="shared" si="390"/>
        <v>1 x 1 = 1</v>
      </c>
      <c r="H775" s="114" t="s">
        <v>26</v>
      </c>
      <c r="I775" s="577" t="s">
        <v>87</v>
      </c>
      <c r="J775" s="418">
        <f t="shared" si="391"/>
        <v>1</v>
      </c>
      <c r="K775" s="116"/>
      <c r="L775" s="116"/>
      <c r="M775" s="116"/>
    </row>
    <row r="776" spans="1:14" ht="15" customHeight="1" x14ac:dyDescent="0.2">
      <c r="A776" s="109">
        <v>5</v>
      </c>
      <c r="B776" s="571" t="s">
        <v>768</v>
      </c>
      <c r="C776" s="578" t="s">
        <v>334</v>
      </c>
      <c r="D776" s="106" t="str">
        <f t="shared" si="387"/>
        <v>Lulusan</v>
      </c>
      <c r="E776" s="398">
        <f t="shared" si="388"/>
        <v>1</v>
      </c>
      <c r="F776" s="398">
        <f t="shared" si="389"/>
        <v>1</v>
      </c>
      <c r="G776" s="399" t="str">
        <f t="shared" si="390"/>
        <v>1 x 1 = 1</v>
      </c>
      <c r="H776" s="114" t="s">
        <v>26</v>
      </c>
      <c r="I776" s="577" t="s">
        <v>87</v>
      </c>
      <c r="J776" s="418">
        <f t="shared" si="391"/>
        <v>1</v>
      </c>
      <c r="K776" s="116"/>
      <c r="L776" s="116"/>
      <c r="M776" s="116"/>
    </row>
    <row r="777" spans="1:14" ht="15" customHeight="1" x14ac:dyDescent="0.2">
      <c r="A777" s="109">
        <v>6</v>
      </c>
      <c r="B777" s="571" t="s">
        <v>769</v>
      </c>
      <c r="C777" s="578" t="s">
        <v>334</v>
      </c>
      <c r="D777" s="106" t="str">
        <f t="shared" si="387"/>
        <v>Lulusan</v>
      </c>
      <c r="E777" s="398">
        <f t="shared" si="388"/>
        <v>1</v>
      </c>
      <c r="F777" s="398">
        <f t="shared" si="389"/>
        <v>0.5</v>
      </c>
      <c r="G777" s="399" t="str">
        <f t="shared" si="390"/>
        <v>1 x 0.5 = 0.5</v>
      </c>
      <c r="H777" s="114" t="s">
        <v>26</v>
      </c>
      <c r="I777" s="577" t="s">
        <v>88</v>
      </c>
      <c r="J777" s="418">
        <f t="shared" si="391"/>
        <v>0.5</v>
      </c>
      <c r="K777" s="116"/>
      <c r="L777" s="116"/>
      <c r="M777" s="116"/>
    </row>
    <row r="778" spans="1:14" ht="15" customHeight="1" x14ac:dyDescent="0.2">
      <c r="A778" s="109">
        <v>7</v>
      </c>
      <c r="B778" s="571" t="s">
        <v>770</v>
      </c>
      <c r="C778" s="578" t="s">
        <v>334</v>
      </c>
      <c r="D778" s="106" t="str">
        <f t="shared" si="387"/>
        <v>Lulusan</v>
      </c>
      <c r="E778" s="398">
        <f t="shared" si="388"/>
        <v>1</v>
      </c>
      <c r="F778" s="398">
        <f t="shared" si="389"/>
        <v>1</v>
      </c>
      <c r="G778" s="399" t="str">
        <f t="shared" si="390"/>
        <v>1 x 1 = 1</v>
      </c>
      <c r="H778" s="114" t="s">
        <v>26</v>
      </c>
      <c r="I778" s="577" t="s">
        <v>87</v>
      </c>
      <c r="J778" s="418">
        <f t="shared" si="391"/>
        <v>1</v>
      </c>
      <c r="K778" s="116"/>
      <c r="L778" s="116"/>
      <c r="M778" s="116"/>
    </row>
    <row r="779" spans="1:14" ht="15" customHeight="1" x14ac:dyDescent="0.2">
      <c r="A779" s="109">
        <v>8</v>
      </c>
      <c r="B779" s="571" t="s">
        <v>771</v>
      </c>
      <c r="C779" s="578" t="s">
        <v>334</v>
      </c>
      <c r="D779" s="106" t="str">
        <f t="shared" si="387"/>
        <v>Lulusan</v>
      </c>
      <c r="E779" s="398">
        <f t="shared" si="388"/>
        <v>1</v>
      </c>
      <c r="F779" s="398">
        <f t="shared" si="389"/>
        <v>1</v>
      </c>
      <c r="G779" s="399" t="str">
        <f t="shared" si="390"/>
        <v>1 x 1 = 1</v>
      </c>
      <c r="H779" s="114" t="s">
        <v>26</v>
      </c>
      <c r="I779" s="577" t="s">
        <v>87</v>
      </c>
      <c r="J779" s="418">
        <f t="shared" si="391"/>
        <v>1</v>
      </c>
      <c r="K779" s="116"/>
      <c r="L779" s="116"/>
      <c r="M779" s="116"/>
    </row>
    <row r="780" spans="1:14" ht="15" customHeight="1" x14ac:dyDescent="0.2">
      <c r="A780" s="109">
        <v>9</v>
      </c>
      <c r="B780" s="571" t="s">
        <v>772</v>
      </c>
      <c r="C780" s="578" t="s">
        <v>334</v>
      </c>
      <c r="D780" s="106" t="str">
        <f t="shared" si="387"/>
        <v>Lulusan</v>
      </c>
      <c r="E780" s="398">
        <f t="shared" si="388"/>
        <v>1</v>
      </c>
      <c r="F780" s="398">
        <f t="shared" si="389"/>
        <v>0.5</v>
      </c>
      <c r="G780" s="399" t="str">
        <f t="shared" si="390"/>
        <v>1 x 0.5 = 0.5</v>
      </c>
      <c r="H780" s="114" t="s">
        <v>26</v>
      </c>
      <c r="I780" s="577" t="s">
        <v>88</v>
      </c>
      <c r="J780" s="418">
        <f t="shared" si="391"/>
        <v>0.5</v>
      </c>
      <c r="K780" s="116"/>
      <c r="L780" s="116"/>
      <c r="M780" s="116"/>
    </row>
    <row r="781" spans="1:14" ht="15" customHeight="1" x14ac:dyDescent="0.2">
      <c r="A781" s="109">
        <v>10</v>
      </c>
      <c r="B781" s="571" t="s">
        <v>773</v>
      </c>
      <c r="C781" s="578" t="s">
        <v>334</v>
      </c>
      <c r="D781" s="106" t="str">
        <f t="shared" si="382"/>
        <v>Lulusan</v>
      </c>
      <c r="E781" s="398">
        <f t="shared" si="383"/>
        <v>1</v>
      </c>
      <c r="F781" s="398">
        <f t="shared" si="384"/>
        <v>1</v>
      </c>
      <c r="G781" s="399" t="str">
        <f t="shared" si="385"/>
        <v>1 x 1 = 1</v>
      </c>
      <c r="H781" s="114" t="s">
        <v>26</v>
      </c>
      <c r="I781" s="577" t="s">
        <v>87</v>
      </c>
      <c r="J781" s="418">
        <f t="shared" si="386"/>
        <v>1</v>
      </c>
      <c r="K781" s="116"/>
      <c r="L781" s="116"/>
      <c r="M781" s="116"/>
    </row>
    <row r="782" spans="1:14" ht="15" customHeight="1" x14ac:dyDescent="0.2">
      <c r="A782" s="109">
        <v>11</v>
      </c>
      <c r="B782" s="571" t="s">
        <v>774</v>
      </c>
      <c r="C782" s="578" t="s">
        <v>334</v>
      </c>
      <c r="D782" s="106" t="str">
        <f t="shared" si="382"/>
        <v>Lulusan</v>
      </c>
      <c r="E782" s="398">
        <f t="shared" si="383"/>
        <v>1</v>
      </c>
      <c r="F782" s="398">
        <f t="shared" si="384"/>
        <v>0.5</v>
      </c>
      <c r="G782" s="399" t="str">
        <f t="shared" si="385"/>
        <v>1 x 0.5 = 0.5</v>
      </c>
      <c r="H782" s="114" t="s">
        <v>26</v>
      </c>
      <c r="I782" s="577" t="s">
        <v>88</v>
      </c>
      <c r="J782" s="418">
        <f t="shared" si="386"/>
        <v>0.5</v>
      </c>
      <c r="K782" s="116"/>
      <c r="L782" s="116"/>
      <c r="M782" s="116"/>
    </row>
    <row r="783" spans="1:14" ht="15" customHeight="1" x14ac:dyDescent="0.2">
      <c r="A783" s="109">
        <v>12</v>
      </c>
      <c r="B783" s="571" t="s">
        <v>775</v>
      </c>
      <c r="C783" s="578" t="s">
        <v>334</v>
      </c>
      <c r="D783" s="106" t="str">
        <f t="shared" si="382"/>
        <v>Lulusan</v>
      </c>
      <c r="E783" s="398">
        <f t="shared" si="383"/>
        <v>1</v>
      </c>
      <c r="F783" s="398">
        <f t="shared" si="384"/>
        <v>0.5</v>
      </c>
      <c r="G783" s="399" t="str">
        <f t="shared" si="385"/>
        <v>1 x 0.5 = 0.5</v>
      </c>
      <c r="H783" s="114" t="s">
        <v>26</v>
      </c>
      <c r="I783" s="577" t="s">
        <v>88</v>
      </c>
      <c r="J783" s="418">
        <f t="shared" si="386"/>
        <v>0.5</v>
      </c>
      <c r="K783" s="116"/>
      <c r="L783" s="116"/>
      <c r="M783" s="116"/>
    </row>
    <row r="784" spans="1:14" ht="15" customHeight="1" x14ac:dyDescent="0.2">
      <c r="A784" s="109">
        <v>13</v>
      </c>
      <c r="B784" s="571" t="s">
        <v>776</v>
      </c>
      <c r="C784" s="578" t="s">
        <v>334</v>
      </c>
      <c r="D784" s="106" t="str">
        <f t="shared" si="382"/>
        <v>Lulusan</v>
      </c>
      <c r="E784" s="398">
        <f t="shared" si="383"/>
        <v>1</v>
      </c>
      <c r="F784" s="398">
        <f t="shared" si="384"/>
        <v>0.5</v>
      </c>
      <c r="G784" s="399" t="str">
        <f t="shared" si="385"/>
        <v>1 x 0.5 = 0.5</v>
      </c>
      <c r="H784" s="114" t="s">
        <v>26</v>
      </c>
      <c r="I784" s="577" t="s">
        <v>88</v>
      </c>
      <c r="J784" s="418">
        <f t="shared" si="386"/>
        <v>0.5</v>
      </c>
      <c r="K784" s="116"/>
      <c r="L784" s="116"/>
      <c r="M784" s="116"/>
    </row>
    <row r="785" spans="1:14" ht="15" customHeight="1" x14ac:dyDescent="0.2">
      <c r="A785" s="109">
        <v>14</v>
      </c>
      <c r="B785" s="571" t="s">
        <v>777</v>
      </c>
      <c r="C785" s="578" t="s">
        <v>334</v>
      </c>
      <c r="D785" s="106" t="str">
        <f t="shared" si="382"/>
        <v>Lulusan</v>
      </c>
      <c r="E785" s="398">
        <f t="shared" si="383"/>
        <v>1</v>
      </c>
      <c r="F785" s="398">
        <f t="shared" si="384"/>
        <v>1</v>
      </c>
      <c r="G785" s="399" t="str">
        <f t="shared" si="385"/>
        <v>1 x 1 = 1</v>
      </c>
      <c r="H785" s="114" t="s">
        <v>26</v>
      </c>
      <c r="I785" s="577" t="s">
        <v>87</v>
      </c>
      <c r="J785" s="418">
        <f t="shared" si="386"/>
        <v>1</v>
      </c>
      <c r="K785" s="116"/>
      <c r="L785" s="116"/>
      <c r="M785" s="116"/>
    </row>
    <row r="786" spans="1:14" ht="15" customHeight="1" x14ac:dyDescent="0.2">
      <c r="A786" s="109">
        <v>15</v>
      </c>
      <c r="B786" s="571" t="s">
        <v>778</v>
      </c>
      <c r="C786" s="578" t="s">
        <v>334</v>
      </c>
      <c r="D786" s="106" t="str">
        <f t="shared" si="382"/>
        <v>Lulusan</v>
      </c>
      <c r="E786" s="398">
        <f t="shared" si="383"/>
        <v>1</v>
      </c>
      <c r="F786" s="398">
        <f t="shared" si="384"/>
        <v>0.5</v>
      </c>
      <c r="G786" s="399" t="str">
        <f t="shared" si="385"/>
        <v>1 x 0.5 = 0.5</v>
      </c>
      <c r="H786" s="114" t="s">
        <v>26</v>
      </c>
      <c r="I786" s="577" t="s">
        <v>88</v>
      </c>
      <c r="J786" s="418">
        <f t="shared" si="386"/>
        <v>0.5</v>
      </c>
      <c r="K786" s="116"/>
      <c r="L786" s="116"/>
      <c r="M786" s="116"/>
    </row>
    <row r="787" spans="1:14" ht="15" customHeight="1" x14ac:dyDescent="0.2">
      <c r="A787" s="109">
        <v>16</v>
      </c>
      <c r="B787" s="571" t="s">
        <v>779</v>
      </c>
      <c r="C787" s="578" t="s">
        <v>334</v>
      </c>
      <c r="D787" s="106" t="str">
        <f t="shared" si="382"/>
        <v>Lulusan</v>
      </c>
      <c r="E787" s="398">
        <f t="shared" si="383"/>
        <v>1</v>
      </c>
      <c r="F787" s="398">
        <f t="shared" si="384"/>
        <v>0.5</v>
      </c>
      <c r="G787" s="399" t="str">
        <f t="shared" si="385"/>
        <v>1 x 0.5 = 0.5</v>
      </c>
      <c r="H787" s="114" t="s">
        <v>26</v>
      </c>
      <c r="I787" s="577" t="s">
        <v>88</v>
      </c>
      <c r="J787" s="418">
        <f t="shared" si="386"/>
        <v>0.5</v>
      </c>
      <c r="K787" s="116"/>
      <c r="L787" s="116"/>
      <c r="M787" s="116"/>
    </row>
    <row r="788" spans="1:14" ht="15" customHeight="1" x14ac:dyDescent="0.2">
      <c r="A788" s="109">
        <v>17</v>
      </c>
      <c r="B788" s="571" t="s">
        <v>780</v>
      </c>
      <c r="C788" s="578" t="s">
        <v>334</v>
      </c>
      <c r="D788" s="106" t="str">
        <f t="shared" si="382"/>
        <v>Lulusan</v>
      </c>
      <c r="E788" s="398">
        <f t="shared" si="383"/>
        <v>1</v>
      </c>
      <c r="F788" s="398">
        <f t="shared" si="384"/>
        <v>0.5</v>
      </c>
      <c r="G788" s="399" t="str">
        <f t="shared" si="385"/>
        <v>1 x 0.5 = 0.5</v>
      </c>
      <c r="H788" s="114" t="s">
        <v>26</v>
      </c>
      <c r="I788" s="577" t="s">
        <v>88</v>
      </c>
      <c r="J788" s="418">
        <f t="shared" si="386"/>
        <v>0.5</v>
      </c>
      <c r="K788" s="116"/>
      <c r="L788" s="116"/>
      <c r="M788" s="116"/>
    </row>
    <row r="789" spans="1:14" ht="15" customHeight="1" x14ac:dyDescent="0.2">
      <c r="A789" s="109">
        <v>18</v>
      </c>
      <c r="B789" s="571" t="s">
        <v>781</v>
      </c>
      <c r="C789" s="578" t="s">
        <v>334</v>
      </c>
      <c r="D789" s="106" t="str">
        <f t="shared" si="382"/>
        <v>Lulusan</v>
      </c>
      <c r="E789" s="398">
        <f t="shared" si="383"/>
        <v>1</v>
      </c>
      <c r="F789" s="398">
        <f t="shared" si="384"/>
        <v>0.5</v>
      </c>
      <c r="G789" s="399" t="str">
        <f t="shared" si="385"/>
        <v>1 x 0.5 = 0.5</v>
      </c>
      <c r="H789" s="114" t="s">
        <v>26</v>
      </c>
      <c r="I789" s="577" t="s">
        <v>88</v>
      </c>
      <c r="J789" s="418">
        <f t="shared" si="386"/>
        <v>0.5</v>
      </c>
      <c r="K789" s="116"/>
      <c r="L789" s="116"/>
      <c r="M789" s="116"/>
    </row>
    <row r="790" spans="1:14" ht="15" customHeight="1" x14ac:dyDescent="0.25">
      <c r="A790" s="109"/>
      <c r="B790" s="406" t="str">
        <f>"b. Semester Genap "&amp;IF(C791&lt;&gt;"",C791,"")&amp;" :"</f>
        <v>b. Semester Genap 2020/2021 :</v>
      </c>
      <c r="C790" s="415"/>
      <c r="D790" s="415"/>
      <c r="E790" s="415"/>
      <c r="F790" s="415"/>
      <c r="G790" s="415"/>
      <c r="H790" s="416"/>
      <c r="I790" s="116"/>
      <c r="J790" s="116"/>
      <c r="K790" s="1">
        <f>IF(COUNTIF(I772:I789,"Ketua Penguji")&lt;=4,SUMIF(I772:I789,"Ketua Penguji",J772:J789),4*1)+IF(COUNTIF(I772:I789,"Anggota Penguji")&lt;=8,SUMIF(I772:I789,"Anggota Penguji",J772:J789),8*0.5)</f>
        <v>8</v>
      </c>
      <c r="L790" s="2" t="s">
        <v>675</v>
      </c>
      <c r="M790" s="2">
        <f>IF(COUNTIF(I772:I789,"Ketua Penguji")&lt;=4,SUMIF(I772:I789,"Ketua Penguji",J772:J789),4*1)</f>
        <v>4</v>
      </c>
      <c r="N790" s="2">
        <f>IF(COUNTIF(I772:I789,"Anggota Penguji")&lt;=8,SUMIF(I772:I789,"Anggota Penguji",J772:J789),8*0.5)</f>
        <v>4</v>
      </c>
    </row>
    <row r="791" spans="1:14" ht="15" customHeight="1" x14ac:dyDescent="0.2">
      <c r="A791" s="109">
        <v>1</v>
      </c>
      <c r="B791" s="570" t="s">
        <v>782</v>
      </c>
      <c r="C791" s="576" t="s">
        <v>337</v>
      </c>
      <c r="D791" s="106" t="str">
        <f t="shared" ref="D791:D805" si="392">IF(G791&lt;&gt;"rumus","Lulusan","")</f>
        <v>Lulusan</v>
      </c>
      <c r="E791" s="398">
        <f t="shared" ref="E791:E805" si="393">IF(I791&lt;&gt;"",1,"")</f>
        <v>1</v>
      </c>
      <c r="F791" s="398">
        <f t="shared" ref="F791:F805" si="394">IF(I791&lt;&gt;"",J791,"")</f>
        <v>1</v>
      </c>
      <c r="G791" s="399" t="str">
        <f t="shared" ref="G791:G805" si="395">IF(J791&lt;&gt;"rumus","1 x "&amp;J791&amp;" = "&amp;J791,"rumus")</f>
        <v>1 x 1 = 1</v>
      </c>
      <c r="H791" s="106" t="s">
        <v>764</v>
      </c>
      <c r="I791" s="577" t="s">
        <v>87</v>
      </c>
      <c r="J791" s="418">
        <f t="shared" ref="J791:J805" si="396">IF(I791&lt;&gt;"",IF(I791="Ketua Penguji",1,IF(I791="Anggota Penguji",0.5,"")),"rumus")</f>
        <v>1</v>
      </c>
      <c r="K791" s="116"/>
      <c r="L791" s="116"/>
      <c r="M791" s="116"/>
    </row>
    <row r="792" spans="1:14" ht="15" customHeight="1" x14ac:dyDescent="0.2">
      <c r="A792" s="109">
        <v>2</v>
      </c>
      <c r="B792" s="571" t="s">
        <v>783</v>
      </c>
      <c r="C792" s="578" t="s">
        <v>337</v>
      </c>
      <c r="D792" s="106" t="str">
        <f t="shared" ref="D792:D795" si="397">IF(G792&lt;&gt;"rumus","Lulusan","")</f>
        <v>Lulusan</v>
      </c>
      <c r="E792" s="398">
        <f t="shared" ref="E792:E795" si="398">IF(I792&lt;&gt;"",1,"")</f>
        <v>1</v>
      </c>
      <c r="F792" s="398">
        <f t="shared" ref="F792:F795" si="399">IF(I792&lt;&gt;"",J792,"")</f>
        <v>0.5</v>
      </c>
      <c r="G792" s="399" t="str">
        <f t="shared" ref="G792:G795" si="400">IF(J792&lt;&gt;"rumus","1 x "&amp;J792&amp;" = "&amp;J792,"rumus")</f>
        <v>1 x 0.5 = 0.5</v>
      </c>
      <c r="H792" s="114" t="s">
        <v>26</v>
      </c>
      <c r="I792" s="577" t="s">
        <v>88</v>
      </c>
      <c r="J792" s="418">
        <f t="shared" ref="J792:J795" si="401">IF(I792&lt;&gt;"",IF(I792="Ketua Penguji",1,IF(I792="Anggota Penguji",0.5,"")),"rumus")</f>
        <v>0.5</v>
      </c>
      <c r="K792" s="116"/>
      <c r="L792" s="116"/>
      <c r="M792" s="116"/>
    </row>
    <row r="793" spans="1:14" ht="15" customHeight="1" x14ac:dyDescent="0.2">
      <c r="A793" s="109">
        <v>3</v>
      </c>
      <c r="B793" s="571" t="s">
        <v>784</v>
      </c>
      <c r="C793" s="578" t="s">
        <v>337</v>
      </c>
      <c r="D793" s="106" t="str">
        <f t="shared" si="397"/>
        <v>Lulusan</v>
      </c>
      <c r="E793" s="398">
        <f t="shared" si="398"/>
        <v>1</v>
      </c>
      <c r="F793" s="398">
        <f t="shared" si="399"/>
        <v>0.5</v>
      </c>
      <c r="G793" s="399" t="str">
        <f t="shared" si="400"/>
        <v>1 x 0.5 = 0.5</v>
      </c>
      <c r="H793" s="114" t="s">
        <v>26</v>
      </c>
      <c r="I793" s="577" t="s">
        <v>88</v>
      </c>
      <c r="J793" s="418">
        <f t="shared" si="401"/>
        <v>0.5</v>
      </c>
      <c r="K793" s="116"/>
      <c r="L793" s="116"/>
      <c r="M793" s="116"/>
    </row>
    <row r="794" spans="1:14" ht="15" customHeight="1" x14ac:dyDescent="0.2">
      <c r="A794" s="109">
        <v>4</v>
      </c>
      <c r="B794" s="571" t="s">
        <v>785</v>
      </c>
      <c r="C794" s="578" t="s">
        <v>337</v>
      </c>
      <c r="D794" s="106" t="str">
        <f t="shared" si="397"/>
        <v>Lulusan</v>
      </c>
      <c r="E794" s="398">
        <f t="shared" si="398"/>
        <v>1</v>
      </c>
      <c r="F794" s="398">
        <f t="shared" si="399"/>
        <v>0.5</v>
      </c>
      <c r="G794" s="399" t="str">
        <f t="shared" si="400"/>
        <v>1 x 0.5 = 0.5</v>
      </c>
      <c r="H794" s="114" t="s">
        <v>26</v>
      </c>
      <c r="I794" s="577" t="s">
        <v>88</v>
      </c>
      <c r="J794" s="418">
        <f t="shared" si="401"/>
        <v>0.5</v>
      </c>
      <c r="K794" s="116"/>
      <c r="L794" s="116"/>
      <c r="M794" s="116"/>
    </row>
    <row r="795" spans="1:14" ht="15" customHeight="1" x14ac:dyDescent="0.2">
      <c r="A795" s="109">
        <v>5</v>
      </c>
      <c r="B795" s="571" t="s">
        <v>786</v>
      </c>
      <c r="C795" s="578" t="s">
        <v>337</v>
      </c>
      <c r="D795" s="106" t="str">
        <f t="shared" si="397"/>
        <v>Lulusan</v>
      </c>
      <c r="E795" s="398">
        <f t="shared" si="398"/>
        <v>1</v>
      </c>
      <c r="F795" s="398">
        <f t="shared" si="399"/>
        <v>1</v>
      </c>
      <c r="G795" s="399" t="str">
        <f t="shared" si="400"/>
        <v>1 x 1 = 1</v>
      </c>
      <c r="H795" s="114" t="s">
        <v>26</v>
      </c>
      <c r="I795" s="577" t="s">
        <v>87</v>
      </c>
      <c r="J795" s="418">
        <f t="shared" si="401"/>
        <v>1</v>
      </c>
      <c r="K795" s="116"/>
      <c r="L795" s="116"/>
      <c r="M795" s="116"/>
    </row>
    <row r="796" spans="1:14" ht="15" customHeight="1" x14ac:dyDescent="0.2">
      <c r="A796" s="109">
        <v>6</v>
      </c>
      <c r="B796" s="571" t="s">
        <v>787</v>
      </c>
      <c r="C796" s="578" t="s">
        <v>337</v>
      </c>
      <c r="D796" s="106" t="str">
        <f t="shared" si="392"/>
        <v>Lulusan</v>
      </c>
      <c r="E796" s="398">
        <f t="shared" si="393"/>
        <v>1</v>
      </c>
      <c r="F796" s="398">
        <f t="shared" si="394"/>
        <v>1</v>
      </c>
      <c r="G796" s="399" t="str">
        <f t="shared" si="395"/>
        <v>1 x 1 = 1</v>
      </c>
      <c r="H796" s="114" t="s">
        <v>26</v>
      </c>
      <c r="I796" s="577" t="s">
        <v>87</v>
      </c>
      <c r="J796" s="418">
        <f t="shared" si="396"/>
        <v>1</v>
      </c>
      <c r="K796" s="116"/>
      <c r="L796" s="116"/>
      <c r="M796" s="116"/>
    </row>
    <row r="797" spans="1:14" ht="15" customHeight="1" x14ac:dyDescent="0.2">
      <c r="A797" s="109">
        <v>7</v>
      </c>
      <c r="B797" s="571" t="s">
        <v>788</v>
      </c>
      <c r="C797" s="578" t="s">
        <v>337</v>
      </c>
      <c r="D797" s="106" t="str">
        <f t="shared" si="392"/>
        <v>Lulusan</v>
      </c>
      <c r="E797" s="398">
        <f t="shared" si="393"/>
        <v>1</v>
      </c>
      <c r="F797" s="398">
        <f t="shared" si="394"/>
        <v>0.5</v>
      </c>
      <c r="G797" s="399" t="str">
        <f t="shared" si="395"/>
        <v>1 x 0.5 = 0.5</v>
      </c>
      <c r="H797" s="114" t="s">
        <v>26</v>
      </c>
      <c r="I797" s="577" t="s">
        <v>88</v>
      </c>
      <c r="J797" s="418">
        <f t="shared" si="396"/>
        <v>0.5</v>
      </c>
      <c r="K797" s="116"/>
      <c r="L797" s="116"/>
      <c r="M797" s="116"/>
    </row>
    <row r="798" spans="1:14" ht="15" customHeight="1" x14ac:dyDescent="0.2">
      <c r="A798" s="109">
        <v>8</v>
      </c>
      <c r="B798" s="571" t="s">
        <v>789</v>
      </c>
      <c r="C798" s="578" t="s">
        <v>337</v>
      </c>
      <c r="D798" s="106" t="str">
        <f t="shared" ref="D798" si="402">IF(G798&lt;&gt;"rumus","Lulusan","")</f>
        <v>Lulusan</v>
      </c>
      <c r="E798" s="398">
        <f t="shared" ref="E798" si="403">IF(I798&lt;&gt;"",1,"")</f>
        <v>1</v>
      </c>
      <c r="F798" s="398">
        <f t="shared" ref="F798" si="404">IF(I798&lt;&gt;"",J798,"")</f>
        <v>0.5</v>
      </c>
      <c r="G798" s="399" t="str">
        <f t="shared" ref="G798" si="405">IF(J798&lt;&gt;"rumus","1 x "&amp;J798&amp;" = "&amp;J798,"rumus")</f>
        <v>1 x 0.5 = 0.5</v>
      </c>
      <c r="H798" s="114" t="s">
        <v>26</v>
      </c>
      <c r="I798" s="577" t="s">
        <v>88</v>
      </c>
      <c r="J798" s="418">
        <f t="shared" ref="J798" si="406">IF(I798&lt;&gt;"",IF(I798="Ketua Penguji",1,IF(I798="Anggota Penguji",0.5,"")),"rumus")</f>
        <v>0.5</v>
      </c>
      <c r="K798" s="116"/>
      <c r="L798" s="116"/>
      <c r="M798" s="116"/>
    </row>
    <row r="799" spans="1:14" ht="15" customHeight="1" x14ac:dyDescent="0.2">
      <c r="A799" s="109">
        <v>9</v>
      </c>
      <c r="B799" s="571" t="s">
        <v>790</v>
      </c>
      <c r="C799" s="578" t="s">
        <v>337</v>
      </c>
      <c r="D799" s="106" t="str">
        <f t="shared" si="392"/>
        <v>Lulusan</v>
      </c>
      <c r="E799" s="398">
        <f t="shared" si="393"/>
        <v>1</v>
      </c>
      <c r="F799" s="398">
        <f t="shared" si="394"/>
        <v>1</v>
      </c>
      <c r="G799" s="399" t="str">
        <f t="shared" si="395"/>
        <v>1 x 1 = 1</v>
      </c>
      <c r="H799" s="114" t="s">
        <v>26</v>
      </c>
      <c r="I799" s="577" t="s">
        <v>87</v>
      </c>
      <c r="J799" s="418">
        <f t="shared" si="396"/>
        <v>1</v>
      </c>
      <c r="K799" s="116"/>
      <c r="L799" s="116"/>
      <c r="M799" s="116"/>
    </row>
    <row r="800" spans="1:14" ht="15" customHeight="1" x14ac:dyDescent="0.2">
      <c r="A800" s="109">
        <v>10</v>
      </c>
      <c r="B800" s="571" t="s">
        <v>791</v>
      </c>
      <c r="C800" s="578" t="s">
        <v>337</v>
      </c>
      <c r="D800" s="106" t="str">
        <f t="shared" si="392"/>
        <v>Lulusan</v>
      </c>
      <c r="E800" s="398">
        <f t="shared" si="393"/>
        <v>1</v>
      </c>
      <c r="F800" s="398">
        <f t="shared" si="394"/>
        <v>0.5</v>
      </c>
      <c r="G800" s="399" t="str">
        <f t="shared" si="395"/>
        <v>1 x 0.5 = 0.5</v>
      </c>
      <c r="H800" s="114" t="s">
        <v>26</v>
      </c>
      <c r="I800" s="577" t="s">
        <v>88</v>
      </c>
      <c r="J800" s="418">
        <f t="shared" si="396"/>
        <v>0.5</v>
      </c>
      <c r="K800" s="116"/>
      <c r="L800" s="116"/>
      <c r="M800" s="116"/>
    </row>
    <row r="801" spans="1:14" ht="15" customHeight="1" x14ac:dyDescent="0.2">
      <c r="A801" s="109">
        <v>11</v>
      </c>
      <c r="B801" s="571" t="s">
        <v>792</v>
      </c>
      <c r="C801" s="578" t="s">
        <v>337</v>
      </c>
      <c r="D801" s="106" t="str">
        <f t="shared" si="392"/>
        <v>Lulusan</v>
      </c>
      <c r="E801" s="398">
        <f t="shared" si="393"/>
        <v>1</v>
      </c>
      <c r="F801" s="398">
        <f t="shared" si="394"/>
        <v>0.5</v>
      </c>
      <c r="G801" s="399" t="str">
        <f t="shared" si="395"/>
        <v>1 x 0.5 = 0.5</v>
      </c>
      <c r="H801" s="114" t="s">
        <v>26</v>
      </c>
      <c r="I801" s="577" t="s">
        <v>88</v>
      </c>
      <c r="J801" s="418">
        <f t="shared" si="396"/>
        <v>0.5</v>
      </c>
      <c r="K801" s="116"/>
      <c r="L801" s="116"/>
      <c r="M801" s="116"/>
    </row>
    <row r="802" spans="1:14" ht="15" customHeight="1" x14ac:dyDescent="0.2">
      <c r="A802" s="109">
        <v>12</v>
      </c>
      <c r="B802" s="571" t="s">
        <v>793</v>
      </c>
      <c r="C802" s="578" t="s">
        <v>337</v>
      </c>
      <c r="D802" s="106" t="str">
        <f t="shared" si="392"/>
        <v>Lulusan</v>
      </c>
      <c r="E802" s="398">
        <f t="shared" si="393"/>
        <v>1</v>
      </c>
      <c r="F802" s="398">
        <f t="shared" si="394"/>
        <v>1</v>
      </c>
      <c r="G802" s="399" t="str">
        <f t="shared" si="395"/>
        <v>1 x 1 = 1</v>
      </c>
      <c r="H802" s="114" t="s">
        <v>26</v>
      </c>
      <c r="I802" s="577" t="s">
        <v>87</v>
      </c>
      <c r="J802" s="418">
        <f t="shared" si="396"/>
        <v>1</v>
      </c>
      <c r="K802" s="116"/>
      <c r="L802" s="116"/>
      <c r="M802" s="116"/>
    </row>
    <row r="803" spans="1:14" ht="15" customHeight="1" x14ac:dyDescent="0.2">
      <c r="A803" s="109">
        <v>13</v>
      </c>
      <c r="B803" s="571" t="s">
        <v>794</v>
      </c>
      <c r="C803" s="578" t="s">
        <v>337</v>
      </c>
      <c r="D803" s="106" t="str">
        <f t="shared" si="392"/>
        <v>Lulusan</v>
      </c>
      <c r="E803" s="398">
        <f t="shared" si="393"/>
        <v>1</v>
      </c>
      <c r="F803" s="398">
        <f t="shared" si="394"/>
        <v>1</v>
      </c>
      <c r="G803" s="399" t="str">
        <f t="shared" si="395"/>
        <v>1 x 1 = 1</v>
      </c>
      <c r="H803" s="114" t="s">
        <v>26</v>
      </c>
      <c r="I803" s="577" t="s">
        <v>87</v>
      </c>
      <c r="J803" s="418">
        <f t="shared" si="396"/>
        <v>1</v>
      </c>
      <c r="K803" s="116"/>
      <c r="L803" s="116"/>
      <c r="M803" s="116"/>
    </row>
    <row r="804" spans="1:14" ht="15" customHeight="1" x14ac:dyDescent="0.2">
      <c r="A804" s="109">
        <v>14</v>
      </c>
      <c r="B804" s="571" t="s">
        <v>795</v>
      </c>
      <c r="C804" s="578" t="s">
        <v>337</v>
      </c>
      <c r="D804" s="106" t="str">
        <f t="shared" si="392"/>
        <v>Lulusan</v>
      </c>
      <c r="E804" s="398">
        <f t="shared" si="393"/>
        <v>1</v>
      </c>
      <c r="F804" s="398">
        <f t="shared" si="394"/>
        <v>1</v>
      </c>
      <c r="G804" s="399" t="str">
        <f t="shared" si="395"/>
        <v>1 x 1 = 1</v>
      </c>
      <c r="H804" s="114" t="s">
        <v>26</v>
      </c>
      <c r="I804" s="577" t="s">
        <v>87</v>
      </c>
      <c r="J804" s="418">
        <f t="shared" si="396"/>
        <v>1</v>
      </c>
      <c r="K804" s="116"/>
      <c r="L804" s="116"/>
      <c r="M804" s="116"/>
    </row>
    <row r="805" spans="1:14" ht="15" customHeight="1" x14ac:dyDescent="0.2">
      <c r="A805" s="109">
        <v>15</v>
      </c>
      <c r="B805" s="571" t="s">
        <v>796</v>
      </c>
      <c r="C805" s="578" t="s">
        <v>337</v>
      </c>
      <c r="D805" s="106" t="str">
        <f t="shared" si="392"/>
        <v>Lulusan</v>
      </c>
      <c r="E805" s="398">
        <f t="shared" si="393"/>
        <v>1</v>
      </c>
      <c r="F805" s="398">
        <f t="shared" si="394"/>
        <v>1</v>
      </c>
      <c r="G805" s="399" t="str">
        <f t="shared" si="395"/>
        <v>1 x 1 = 1</v>
      </c>
      <c r="H805" s="114" t="s">
        <v>26</v>
      </c>
      <c r="I805" s="577" t="s">
        <v>87</v>
      </c>
      <c r="J805" s="418">
        <f t="shared" si="396"/>
        <v>1</v>
      </c>
      <c r="K805" s="116"/>
      <c r="L805" s="116"/>
      <c r="M805" s="116"/>
    </row>
    <row r="806" spans="1:14" ht="15" customHeight="1" x14ac:dyDescent="0.25">
      <c r="A806" s="109"/>
      <c r="B806" s="406" t="str">
        <f>"b. Semester Genap "&amp;IF(C807&lt;&gt;"",C807,"")&amp;" :"</f>
        <v>b. Semester Genap 2021/2022 :</v>
      </c>
      <c r="C806" s="415"/>
      <c r="D806" s="415"/>
      <c r="E806" s="415"/>
      <c r="F806" s="415"/>
      <c r="G806" s="415"/>
      <c r="H806" s="416"/>
      <c r="I806" s="116"/>
      <c r="J806" s="116"/>
      <c r="K806" s="1">
        <f>IF(COUNTIF(I791:I805,"Ketua Penguji")&lt;=4,SUMIF(I791:I805,"Ketua Penguji",J791:J805),4*1)+IF(COUNTIF(I791:I805,"Anggota Penguji")&lt;=8,SUMIF(I791:I805,"Anggota Penguji",J791:J805),8*0.5)</f>
        <v>7.5</v>
      </c>
      <c r="L806" s="2" t="s">
        <v>675</v>
      </c>
      <c r="M806" s="2">
        <f>IF(COUNTIF(I791:I805,"Ketua Penguji")&lt;=4,SUMIF(I791:I805,"Ketua Penguji",J791:J805),4*1)</f>
        <v>4</v>
      </c>
      <c r="N806" s="2">
        <f>IF(COUNTIF(I791:I805,"Anggota Penguji")&lt;=8,SUMIF(I791:I805,"Anggota Penguji",J791:J805),8*0.5)</f>
        <v>3.5</v>
      </c>
    </row>
    <row r="807" spans="1:14" ht="15.75" customHeight="1" x14ac:dyDescent="0.2">
      <c r="A807" s="109">
        <v>1</v>
      </c>
      <c r="B807" s="570" t="s">
        <v>797</v>
      </c>
      <c r="C807" s="576" t="s">
        <v>341</v>
      </c>
      <c r="D807" s="106" t="str">
        <f t="shared" ref="D807:D816" si="407">IF(G807&lt;&gt;"rumus","Lulusan","")</f>
        <v>Lulusan</v>
      </c>
      <c r="E807" s="398">
        <f t="shared" ref="E807:E816" si="408">IF(I807&lt;&gt;"",1,"")</f>
        <v>1</v>
      </c>
      <c r="F807" s="398">
        <f t="shared" ref="F807:F816" si="409">IF(I807&lt;&gt;"",J807,"")</f>
        <v>0.5</v>
      </c>
      <c r="G807" s="399" t="str">
        <f t="shared" ref="G807:G816" si="410">IF(J807&lt;&gt;"rumus","1 x "&amp;J807&amp;" = "&amp;J807,"rumus")</f>
        <v>1 x 0.5 = 0.5</v>
      </c>
      <c r="H807" s="106" t="s">
        <v>764</v>
      </c>
      <c r="I807" s="577" t="s">
        <v>88</v>
      </c>
      <c r="J807" s="418">
        <f t="shared" ref="J807:J816" si="411">IF(I807&lt;&gt;"",IF(I807="Ketua Penguji",1,IF(I807="Anggota Penguji",0.5,"")),"rumus")</f>
        <v>0.5</v>
      </c>
      <c r="K807" s="116"/>
      <c r="L807" s="116"/>
      <c r="M807" s="116"/>
    </row>
    <row r="808" spans="1:14" ht="15.75" customHeight="1" x14ac:dyDescent="0.2">
      <c r="A808" s="109">
        <v>2</v>
      </c>
      <c r="B808" s="571" t="s">
        <v>798</v>
      </c>
      <c r="C808" s="578" t="s">
        <v>341</v>
      </c>
      <c r="D808" s="106" t="str">
        <f t="shared" si="407"/>
        <v>Lulusan</v>
      </c>
      <c r="E808" s="398">
        <f t="shared" si="408"/>
        <v>1</v>
      </c>
      <c r="F808" s="398">
        <f t="shared" si="409"/>
        <v>1</v>
      </c>
      <c r="G808" s="399" t="str">
        <f t="shared" si="410"/>
        <v>1 x 1 = 1</v>
      </c>
      <c r="H808" s="114" t="s">
        <v>26</v>
      </c>
      <c r="I808" s="577" t="s">
        <v>87</v>
      </c>
      <c r="J808" s="418">
        <f t="shared" si="411"/>
        <v>1</v>
      </c>
      <c r="K808" s="116"/>
      <c r="L808" s="116"/>
      <c r="M808" s="116"/>
    </row>
    <row r="809" spans="1:14" ht="15.75" customHeight="1" x14ac:dyDescent="0.2">
      <c r="A809" s="109">
        <v>3</v>
      </c>
      <c r="B809" s="571" t="s">
        <v>799</v>
      </c>
      <c r="C809" s="578" t="s">
        <v>341</v>
      </c>
      <c r="D809" s="106" t="str">
        <f t="shared" si="407"/>
        <v>Lulusan</v>
      </c>
      <c r="E809" s="398">
        <f t="shared" si="408"/>
        <v>1</v>
      </c>
      <c r="F809" s="398">
        <f t="shared" si="409"/>
        <v>0.5</v>
      </c>
      <c r="G809" s="399" t="str">
        <f t="shared" si="410"/>
        <v>1 x 0.5 = 0.5</v>
      </c>
      <c r="H809" s="114" t="s">
        <v>26</v>
      </c>
      <c r="I809" s="577" t="s">
        <v>88</v>
      </c>
      <c r="J809" s="418">
        <f t="shared" si="411"/>
        <v>0.5</v>
      </c>
      <c r="K809" s="116"/>
      <c r="L809" s="116"/>
      <c r="M809" s="116"/>
    </row>
    <row r="810" spans="1:14" ht="15.75" customHeight="1" x14ac:dyDescent="0.2">
      <c r="A810" s="109">
        <v>4</v>
      </c>
      <c r="B810" s="571" t="s">
        <v>800</v>
      </c>
      <c r="C810" s="578" t="s">
        <v>341</v>
      </c>
      <c r="D810" s="106" t="str">
        <f t="shared" si="407"/>
        <v>Lulusan</v>
      </c>
      <c r="E810" s="398">
        <f t="shared" si="408"/>
        <v>1</v>
      </c>
      <c r="F810" s="398">
        <f t="shared" si="409"/>
        <v>1</v>
      </c>
      <c r="G810" s="399" t="str">
        <f t="shared" si="410"/>
        <v>1 x 1 = 1</v>
      </c>
      <c r="H810" s="114" t="s">
        <v>26</v>
      </c>
      <c r="I810" s="577" t="s">
        <v>87</v>
      </c>
      <c r="J810" s="418">
        <f t="shared" si="411"/>
        <v>1</v>
      </c>
      <c r="K810" s="116"/>
      <c r="L810" s="116"/>
      <c r="M810" s="116"/>
    </row>
    <row r="811" spans="1:14" ht="15.75" customHeight="1" x14ac:dyDescent="0.2">
      <c r="A811" s="109">
        <v>5</v>
      </c>
      <c r="B811" s="397" t="s">
        <v>399</v>
      </c>
      <c r="C811" s="106" t="s">
        <v>355</v>
      </c>
      <c r="D811" s="106" t="str">
        <f t="shared" si="407"/>
        <v/>
      </c>
      <c r="E811" s="398" t="str">
        <f t="shared" si="408"/>
        <v/>
      </c>
      <c r="F811" s="398" t="str">
        <f t="shared" si="409"/>
        <v/>
      </c>
      <c r="G811" s="399" t="str">
        <f t="shared" si="410"/>
        <v>rumus</v>
      </c>
      <c r="H811" s="114" t="s">
        <v>26</v>
      </c>
      <c r="I811" s="420"/>
      <c r="J811" s="418" t="str">
        <f t="shared" si="411"/>
        <v>rumus</v>
      </c>
      <c r="K811" s="116"/>
      <c r="L811" s="116"/>
      <c r="M811" s="116"/>
    </row>
    <row r="812" spans="1:14" ht="15.75" customHeight="1" x14ac:dyDescent="0.2">
      <c r="A812" s="109">
        <v>6</v>
      </c>
      <c r="B812" s="397" t="s">
        <v>399</v>
      </c>
      <c r="C812" s="106" t="s">
        <v>355</v>
      </c>
      <c r="D812" s="106" t="str">
        <f t="shared" si="407"/>
        <v/>
      </c>
      <c r="E812" s="398" t="str">
        <f t="shared" si="408"/>
        <v/>
      </c>
      <c r="F812" s="398" t="str">
        <f t="shared" si="409"/>
        <v/>
      </c>
      <c r="G812" s="399" t="str">
        <f t="shared" si="410"/>
        <v>rumus</v>
      </c>
      <c r="H812" s="114" t="s">
        <v>26</v>
      </c>
      <c r="I812" s="420"/>
      <c r="J812" s="418" t="str">
        <f t="shared" si="411"/>
        <v>rumus</v>
      </c>
      <c r="K812" s="116"/>
      <c r="L812" s="116"/>
      <c r="M812" s="116"/>
    </row>
    <row r="813" spans="1:14" ht="15.75" customHeight="1" x14ac:dyDescent="0.2">
      <c r="A813" s="109">
        <v>7</v>
      </c>
      <c r="B813" s="397" t="s">
        <v>399</v>
      </c>
      <c r="C813" s="106" t="s">
        <v>355</v>
      </c>
      <c r="D813" s="106" t="str">
        <f t="shared" si="407"/>
        <v/>
      </c>
      <c r="E813" s="398" t="str">
        <f t="shared" si="408"/>
        <v/>
      </c>
      <c r="F813" s="398" t="str">
        <f t="shared" si="409"/>
        <v/>
      </c>
      <c r="G813" s="399" t="str">
        <f t="shared" si="410"/>
        <v>rumus</v>
      </c>
      <c r="H813" s="114" t="s">
        <v>26</v>
      </c>
      <c r="I813" s="420"/>
      <c r="J813" s="418" t="str">
        <f t="shared" si="411"/>
        <v>rumus</v>
      </c>
      <c r="K813" s="116"/>
      <c r="L813" s="116"/>
      <c r="M813" s="116"/>
    </row>
    <row r="814" spans="1:14" ht="15.75" customHeight="1" x14ac:dyDescent="0.2">
      <c r="A814" s="109">
        <v>8</v>
      </c>
      <c r="B814" s="397" t="s">
        <v>399</v>
      </c>
      <c r="C814" s="106" t="s">
        <v>355</v>
      </c>
      <c r="D814" s="106" t="str">
        <f t="shared" si="407"/>
        <v/>
      </c>
      <c r="E814" s="398" t="str">
        <f t="shared" si="408"/>
        <v/>
      </c>
      <c r="F814" s="398" t="str">
        <f t="shared" si="409"/>
        <v/>
      </c>
      <c r="G814" s="399" t="str">
        <f t="shared" si="410"/>
        <v>rumus</v>
      </c>
      <c r="H814" s="114" t="s">
        <v>26</v>
      </c>
      <c r="I814" s="420"/>
      <c r="J814" s="418" t="str">
        <f t="shared" si="411"/>
        <v>rumus</v>
      </c>
      <c r="K814" s="116"/>
      <c r="L814" s="116"/>
      <c r="M814" s="116"/>
    </row>
    <row r="815" spans="1:14" ht="15.75" customHeight="1" x14ac:dyDescent="0.2">
      <c r="A815" s="109">
        <v>9</v>
      </c>
      <c r="B815" s="397" t="s">
        <v>399</v>
      </c>
      <c r="C815" s="106" t="s">
        <v>355</v>
      </c>
      <c r="D815" s="106" t="str">
        <f t="shared" si="407"/>
        <v/>
      </c>
      <c r="E815" s="398" t="str">
        <f t="shared" si="408"/>
        <v/>
      </c>
      <c r="F815" s="398" t="str">
        <f t="shared" si="409"/>
        <v/>
      </c>
      <c r="G815" s="399" t="str">
        <f t="shared" si="410"/>
        <v>rumus</v>
      </c>
      <c r="H815" s="114" t="s">
        <v>26</v>
      </c>
      <c r="I815" s="420"/>
      <c r="J815" s="418" t="str">
        <f t="shared" si="411"/>
        <v>rumus</v>
      </c>
      <c r="K815" s="116"/>
      <c r="L815" s="116"/>
      <c r="M815" s="116"/>
    </row>
    <row r="816" spans="1:14" ht="15.75" customHeight="1" x14ac:dyDescent="0.2">
      <c r="A816" s="109">
        <v>10</v>
      </c>
      <c r="B816" s="397" t="s">
        <v>399</v>
      </c>
      <c r="C816" s="106" t="s">
        <v>355</v>
      </c>
      <c r="D816" s="106" t="str">
        <f t="shared" si="407"/>
        <v/>
      </c>
      <c r="E816" s="398" t="str">
        <f t="shared" si="408"/>
        <v/>
      </c>
      <c r="F816" s="398" t="str">
        <f t="shared" si="409"/>
        <v/>
      </c>
      <c r="G816" s="399" t="str">
        <f t="shared" si="410"/>
        <v>rumus</v>
      </c>
      <c r="H816" s="114" t="s">
        <v>26</v>
      </c>
      <c r="I816" s="420"/>
      <c r="J816" s="418" t="str">
        <f t="shared" si="411"/>
        <v>rumus</v>
      </c>
      <c r="K816" s="116"/>
      <c r="L816" s="116"/>
      <c r="M816" s="116"/>
    </row>
    <row r="817" spans="1:14" ht="15" customHeight="1" x14ac:dyDescent="0.25">
      <c r="A817" s="109"/>
      <c r="B817" s="406" t="str">
        <f>"b. Semester Genap "&amp;IF(C818&lt;&gt;"",C818,"")&amp;" :"</f>
        <v>b. Semester Genap 2012/2013 :</v>
      </c>
      <c r="C817" s="415"/>
      <c r="D817" s="415"/>
      <c r="E817" s="415"/>
      <c r="F817" s="415"/>
      <c r="G817" s="415"/>
      <c r="H817" s="416"/>
      <c r="I817" s="116"/>
      <c r="J817" s="116"/>
      <c r="K817" s="1">
        <f>IF(COUNTIF(I807:I816,"Ketua Penguji")&lt;=4,SUMIF(I807:I816,"Ketua Penguji",J807:J816),4*1)+IF(COUNTIF(I807:I816,"Anggota Penguji")&lt;=8,SUMIF(I807:I816,"Anggota Penguji",J807:J816),8*0.5)</f>
        <v>3</v>
      </c>
      <c r="L817" s="2" t="s">
        <v>675</v>
      </c>
      <c r="M817" s="2">
        <f>IF(COUNTIF(I807:I816,"Ketua Penguji")&lt;=4,SUMIF(I807:I816,"Ketua Penguji",J807:J816),4*1)</f>
        <v>2</v>
      </c>
      <c r="N817" s="2">
        <f>IF(COUNTIF(I807:I816,"Anggota Penguji")&lt;=8,SUMIF(I807:I816,"Anggota Penguji",J807:J816),8*0.5)</f>
        <v>1</v>
      </c>
    </row>
    <row r="818" spans="1:14" ht="15.75" customHeight="1" x14ac:dyDescent="0.2">
      <c r="A818" s="109">
        <v>1</v>
      </c>
      <c r="B818" s="397" t="s">
        <v>399</v>
      </c>
      <c r="C818" s="106" t="s">
        <v>312</v>
      </c>
      <c r="D818" s="106" t="str">
        <f t="shared" ref="D818:D827" si="412">IF(G818&lt;&gt;"rumus","Lulusan","")</f>
        <v/>
      </c>
      <c r="E818" s="398" t="str">
        <f t="shared" ref="E818:E827" si="413">IF(I818&lt;&gt;"",1,"")</f>
        <v/>
      </c>
      <c r="F818" s="398" t="str">
        <f t="shared" ref="F818:F827" si="414">IF(I818&lt;&gt;"",J818,"")</f>
        <v/>
      </c>
      <c r="G818" s="399" t="str">
        <f t="shared" ref="G818:G827" si="415">IF(J818&lt;&gt;"rumus","1 x "&amp;J818&amp;" = "&amp;J818,"rumus")</f>
        <v>rumus</v>
      </c>
      <c r="H818" s="106" t="s">
        <v>764</v>
      </c>
      <c r="I818" s="420"/>
      <c r="J818" s="418" t="str">
        <f t="shared" ref="J818:J827" si="416">IF(I818&lt;&gt;"",IF(I818="Ketua Penguji",1,IF(I818="Anggota Penguji",0.5,"")),"rumus")</f>
        <v>rumus</v>
      </c>
      <c r="K818" s="116"/>
      <c r="L818" s="116"/>
      <c r="M818" s="116"/>
    </row>
    <row r="819" spans="1:14" ht="15.75" customHeight="1" x14ac:dyDescent="0.2">
      <c r="A819" s="109">
        <v>2</v>
      </c>
      <c r="B819" s="397" t="s">
        <v>399</v>
      </c>
      <c r="C819" s="106" t="s">
        <v>312</v>
      </c>
      <c r="D819" s="106" t="str">
        <f t="shared" si="412"/>
        <v/>
      </c>
      <c r="E819" s="398" t="str">
        <f t="shared" si="413"/>
        <v/>
      </c>
      <c r="F819" s="398" t="str">
        <f t="shared" si="414"/>
        <v/>
      </c>
      <c r="G819" s="399" t="str">
        <f t="shared" si="415"/>
        <v>rumus</v>
      </c>
      <c r="H819" s="114" t="s">
        <v>26</v>
      </c>
      <c r="I819" s="420"/>
      <c r="J819" s="418" t="str">
        <f t="shared" si="416"/>
        <v>rumus</v>
      </c>
      <c r="K819" s="116"/>
      <c r="L819" s="116"/>
      <c r="M819" s="116"/>
    </row>
    <row r="820" spans="1:14" ht="15.75" customHeight="1" x14ac:dyDescent="0.2">
      <c r="A820" s="109">
        <v>3</v>
      </c>
      <c r="B820" s="397" t="s">
        <v>399</v>
      </c>
      <c r="C820" s="106" t="s">
        <v>312</v>
      </c>
      <c r="D820" s="106" t="str">
        <f t="shared" si="412"/>
        <v/>
      </c>
      <c r="E820" s="398" t="str">
        <f t="shared" si="413"/>
        <v/>
      </c>
      <c r="F820" s="398" t="str">
        <f t="shared" si="414"/>
        <v/>
      </c>
      <c r="G820" s="399" t="str">
        <f t="shared" si="415"/>
        <v>rumus</v>
      </c>
      <c r="H820" s="114" t="s">
        <v>26</v>
      </c>
      <c r="I820" s="420"/>
      <c r="J820" s="418" t="str">
        <f t="shared" si="416"/>
        <v>rumus</v>
      </c>
      <c r="K820" s="116"/>
      <c r="L820" s="116"/>
      <c r="M820" s="116"/>
    </row>
    <row r="821" spans="1:14" ht="15.75" customHeight="1" x14ac:dyDescent="0.2">
      <c r="A821" s="109">
        <v>4</v>
      </c>
      <c r="B821" s="397" t="s">
        <v>399</v>
      </c>
      <c r="C821" s="106" t="s">
        <v>312</v>
      </c>
      <c r="D821" s="106" t="str">
        <f t="shared" si="412"/>
        <v/>
      </c>
      <c r="E821" s="398" t="str">
        <f t="shared" si="413"/>
        <v/>
      </c>
      <c r="F821" s="398" t="str">
        <f t="shared" si="414"/>
        <v/>
      </c>
      <c r="G821" s="399" t="str">
        <f t="shared" si="415"/>
        <v>rumus</v>
      </c>
      <c r="H821" s="114" t="s">
        <v>26</v>
      </c>
      <c r="I821" s="420"/>
      <c r="J821" s="418" t="str">
        <f t="shared" si="416"/>
        <v>rumus</v>
      </c>
      <c r="K821" s="116"/>
      <c r="L821" s="116"/>
      <c r="M821" s="116"/>
    </row>
    <row r="822" spans="1:14" ht="15.75" customHeight="1" x14ac:dyDescent="0.2">
      <c r="A822" s="109">
        <v>5</v>
      </c>
      <c r="B822" s="397" t="s">
        <v>399</v>
      </c>
      <c r="C822" s="106" t="s">
        <v>312</v>
      </c>
      <c r="D822" s="106" t="str">
        <f t="shared" si="412"/>
        <v/>
      </c>
      <c r="E822" s="398" t="str">
        <f t="shared" si="413"/>
        <v/>
      </c>
      <c r="F822" s="398" t="str">
        <f t="shared" si="414"/>
        <v/>
      </c>
      <c r="G822" s="399" t="str">
        <f t="shared" si="415"/>
        <v>rumus</v>
      </c>
      <c r="H822" s="114" t="s">
        <v>26</v>
      </c>
      <c r="I822" s="420"/>
      <c r="J822" s="418" t="str">
        <f t="shared" si="416"/>
        <v>rumus</v>
      </c>
      <c r="K822" s="116"/>
      <c r="L822" s="116"/>
      <c r="M822" s="116"/>
    </row>
    <row r="823" spans="1:14" ht="15.75" customHeight="1" x14ac:dyDescent="0.2">
      <c r="A823" s="109">
        <v>6</v>
      </c>
      <c r="B823" s="397" t="s">
        <v>399</v>
      </c>
      <c r="C823" s="106" t="s">
        <v>312</v>
      </c>
      <c r="D823" s="106" t="str">
        <f t="shared" si="412"/>
        <v/>
      </c>
      <c r="E823" s="398" t="str">
        <f t="shared" si="413"/>
        <v/>
      </c>
      <c r="F823" s="398" t="str">
        <f t="shared" si="414"/>
        <v/>
      </c>
      <c r="G823" s="399" t="str">
        <f t="shared" si="415"/>
        <v>rumus</v>
      </c>
      <c r="H823" s="114" t="s">
        <v>26</v>
      </c>
      <c r="I823" s="420"/>
      <c r="J823" s="418" t="str">
        <f t="shared" si="416"/>
        <v>rumus</v>
      </c>
      <c r="K823" s="116"/>
      <c r="L823" s="116"/>
      <c r="M823" s="116"/>
    </row>
    <row r="824" spans="1:14" ht="15.75" customHeight="1" x14ac:dyDescent="0.2">
      <c r="A824" s="109">
        <v>7</v>
      </c>
      <c r="B824" s="397" t="s">
        <v>399</v>
      </c>
      <c r="C824" s="106" t="s">
        <v>312</v>
      </c>
      <c r="D824" s="106" t="str">
        <f t="shared" si="412"/>
        <v/>
      </c>
      <c r="E824" s="398" t="str">
        <f t="shared" si="413"/>
        <v/>
      </c>
      <c r="F824" s="398" t="str">
        <f t="shared" si="414"/>
        <v/>
      </c>
      <c r="G824" s="399" t="str">
        <f t="shared" si="415"/>
        <v>rumus</v>
      </c>
      <c r="H824" s="114" t="s">
        <v>26</v>
      </c>
      <c r="I824" s="420"/>
      <c r="J824" s="418" t="str">
        <f t="shared" si="416"/>
        <v>rumus</v>
      </c>
      <c r="K824" s="116"/>
      <c r="L824" s="116"/>
      <c r="M824" s="116"/>
    </row>
    <row r="825" spans="1:14" ht="15.75" customHeight="1" x14ac:dyDescent="0.2">
      <c r="A825" s="109">
        <v>8</v>
      </c>
      <c r="B825" s="397" t="s">
        <v>399</v>
      </c>
      <c r="C825" s="106" t="s">
        <v>312</v>
      </c>
      <c r="D825" s="106" t="str">
        <f t="shared" si="412"/>
        <v/>
      </c>
      <c r="E825" s="398" t="str">
        <f t="shared" si="413"/>
        <v/>
      </c>
      <c r="F825" s="398" t="str">
        <f t="shared" si="414"/>
        <v/>
      </c>
      <c r="G825" s="399" t="str">
        <f t="shared" si="415"/>
        <v>rumus</v>
      </c>
      <c r="H825" s="114" t="s">
        <v>26</v>
      </c>
      <c r="I825" s="420"/>
      <c r="J825" s="418" t="str">
        <f t="shared" si="416"/>
        <v>rumus</v>
      </c>
      <c r="K825" s="116"/>
      <c r="L825" s="116"/>
      <c r="M825" s="116"/>
    </row>
    <row r="826" spans="1:14" ht="15.75" customHeight="1" x14ac:dyDescent="0.2">
      <c r="A826" s="109">
        <v>9</v>
      </c>
      <c r="B826" s="397" t="s">
        <v>399</v>
      </c>
      <c r="C826" s="106" t="s">
        <v>312</v>
      </c>
      <c r="D826" s="106" t="str">
        <f t="shared" si="412"/>
        <v/>
      </c>
      <c r="E826" s="398" t="str">
        <f t="shared" si="413"/>
        <v/>
      </c>
      <c r="F826" s="398" t="str">
        <f t="shared" si="414"/>
        <v/>
      </c>
      <c r="G826" s="399" t="str">
        <f t="shared" si="415"/>
        <v>rumus</v>
      </c>
      <c r="H826" s="114" t="s">
        <v>26</v>
      </c>
      <c r="I826" s="420"/>
      <c r="J826" s="418" t="str">
        <f t="shared" si="416"/>
        <v>rumus</v>
      </c>
      <c r="K826" s="116"/>
      <c r="L826" s="116"/>
      <c r="M826" s="116"/>
    </row>
    <row r="827" spans="1:14" ht="15.75" customHeight="1" x14ac:dyDescent="0.2">
      <c r="A827" s="109">
        <v>10</v>
      </c>
      <c r="B827" s="397" t="s">
        <v>399</v>
      </c>
      <c r="C827" s="106" t="s">
        <v>312</v>
      </c>
      <c r="D827" s="106" t="str">
        <f t="shared" si="412"/>
        <v/>
      </c>
      <c r="E827" s="398" t="str">
        <f t="shared" si="413"/>
        <v/>
      </c>
      <c r="F827" s="398" t="str">
        <f t="shared" si="414"/>
        <v/>
      </c>
      <c r="G827" s="399" t="str">
        <f t="shared" si="415"/>
        <v>rumus</v>
      </c>
      <c r="H827" s="114" t="s">
        <v>26</v>
      </c>
      <c r="I827" s="420"/>
      <c r="J827" s="418" t="str">
        <f t="shared" si="416"/>
        <v>rumus</v>
      </c>
      <c r="K827" s="116"/>
      <c r="L827" s="116"/>
      <c r="M827" s="116"/>
    </row>
    <row r="828" spans="1:14" ht="15" customHeight="1" x14ac:dyDescent="0.25">
      <c r="A828" s="109"/>
      <c r="B828" s="406" t="str">
        <f>"b. Semester Genap "&amp;IF(C829&lt;&gt;"",C829,"")&amp;" :"</f>
        <v>b. Semester Genap 2013/2014 :</v>
      </c>
      <c r="C828" s="415"/>
      <c r="D828" s="415"/>
      <c r="E828" s="415"/>
      <c r="F828" s="415"/>
      <c r="G828" s="415"/>
      <c r="H828" s="416"/>
      <c r="I828" s="116"/>
      <c r="J828" s="116"/>
      <c r="K828" s="1">
        <f>IF(COUNTIF(I818:I827,"Ketua Penguji")&lt;=4,SUMIF(I818:I827,"Ketua Penguji",J818:J827),4*1)+IF(COUNTIF(I818:I827,"Anggota Penguji")&lt;=8,SUMIF(I818:I827,"Anggota Penguji",J818:J827),8*0.5)</f>
        <v>0</v>
      </c>
      <c r="L828" s="2" t="s">
        <v>675</v>
      </c>
      <c r="M828" s="2">
        <f>IF(COUNTIF(I818:I827,"Ketua Penguji")&lt;=4,SUMIF(I818:I827,"Ketua Penguji",J818:J827),4*1)</f>
        <v>0</v>
      </c>
      <c r="N828" s="2">
        <f>IF(COUNTIF(I818:I827,"Anggota Penguji")&lt;=8,SUMIF(I818:I827,"Anggota Penguji",J818:J827),8*0.5)</f>
        <v>0</v>
      </c>
    </row>
    <row r="829" spans="1:14" ht="15.75" customHeight="1" x14ac:dyDescent="0.2">
      <c r="A829" s="109">
        <v>1</v>
      </c>
      <c r="B829" s="397" t="s">
        <v>399</v>
      </c>
      <c r="C829" s="106" t="s">
        <v>317</v>
      </c>
      <c r="D829" s="106" t="str">
        <f t="shared" ref="D829:D838" si="417">IF(G829&lt;&gt;"rumus","Lulusan","")</f>
        <v/>
      </c>
      <c r="E829" s="398" t="str">
        <f t="shared" ref="E829:E838" si="418">IF(I829&lt;&gt;"",1,"")</f>
        <v/>
      </c>
      <c r="F829" s="398" t="str">
        <f t="shared" ref="F829:F838" si="419">IF(I829&lt;&gt;"",J829,"")</f>
        <v/>
      </c>
      <c r="G829" s="399" t="str">
        <f t="shared" ref="G829:G838" si="420">IF(J829&lt;&gt;"rumus","1 x "&amp;J829&amp;" = "&amp;J829,"rumus")</f>
        <v>rumus</v>
      </c>
      <c r="H829" s="106" t="s">
        <v>764</v>
      </c>
      <c r="I829" s="420"/>
      <c r="J829" s="418" t="str">
        <f t="shared" ref="J829:J838" si="421">IF(I829&lt;&gt;"",IF(I829="Ketua Penguji",1,IF(I829="Anggota Penguji",0.5,"")),"rumus")</f>
        <v>rumus</v>
      </c>
      <c r="K829" s="116"/>
      <c r="L829" s="116"/>
      <c r="M829" s="116"/>
    </row>
    <row r="830" spans="1:14" ht="15.75" customHeight="1" x14ac:dyDescent="0.2">
      <c r="A830" s="109">
        <v>2</v>
      </c>
      <c r="B830" s="397" t="s">
        <v>399</v>
      </c>
      <c r="C830" s="106" t="s">
        <v>317</v>
      </c>
      <c r="D830" s="106" t="str">
        <f t="shared" si="417"/>
        <v/>
      </c>
      <c r="E830" s="398" t="str">
        <f t="shared" si="418"/>
        <v/>
      </c>
      <c r="F830" s="398" t="str">
        <f t="shared" si="419"/>
        <v/>
      </c>
      <c r="G830" s="399" t="str">
        <f t="shared" si="420"/>
        <v>rumus</v>
      </c>
      <c r="H830" s="114" t="s">
        <v>26</v>
      </c>
      <c r="I830" s="420"/>
      <c r="J830" s="418" t="str">
        <f t="shared" si="421"/>
        <v>rumus</v>
      </c>
      <c r="K830" s="116"/>
      <c r="L830" s="116"/>
      <c r="M830" s="116"/>
    </row>
    <row r="831" spans="1:14" ht="15.75" customHeight="1" x14ac:dyDescent="0.2">
      <c r="A831" s="109">
        <v>3</v>
      </c>
      <c r="B831" s="397" t="s">
        <v>399</v>
      </c>
      <c r="C831" s="106" t="s">
        <v>317</v>
      </c>
      <c r="D831" s="106" t="str">
        <f t="shared" si="417"/>
        <v/>
      </c>
      <c r="E831" s="398" t="str">
        <f t="shared" si="418"/>
        <v/>
      </c>
      <c r="F831" s="398" t="str">
        <f t="shared" si="419"/>
        <v/>
      </c>
      <c r="G831" s="399" t="str">
        <f t="shared" si="420"/>
        <v>rumus</v>
      </c>
      <c r="H831" s="114" t="s">
        <v>26</v>
      </c>
      <c r="I831" s="420"/>
      <c r="J831" s="418" t="str">
        <f t="shared" si="421"/>
        <v>rumus</v>
      </c>
      <c r="K831" s="116"/>
      <c r="L831" s="116"/>
      <c r="M831" s="116"/>
    </row>
    <row r="832" spans="1:14" ht="15.75" customHeight="1" x14ac:dyDescent="0.2">
      <c r="A832" s="109">
        <v>4</v>
      </c>
      <c r="B832" s="397" t="s">
        <v>399</v>
      </c>
      <c r="C832" s="106" t="s">
        <v>317</v>
      </c>
      <c r="D832" s="106" t="str">
        <f t="shared" si="417"/>
        <v/>
      </c>
      <c r="E832" s="398" t="str">
        <f t="shared" si="418"/>
        <v/>
      </c>
      <c r="F832" s="398" t="str">
        <f t="shared" si="419"/>
        <v/>
      </c>
      <c r="G832" s="399" t="str">
        <f t="shared" si="420"/>
        <v>rumus</v>
      </c>
      <c r="H832" s="114" t="s">
        <v>26</v>
      </c>
      <c r="I832" s="420"/>
      <c r="J832" s="418" t="str">
        <f t="shared" si="421"/>
        <v>rumus</v>
      </c>
      <c r="K832" s="116"/>
      <c r="L832" s="116"/>
      <c r="M832" s="116"/>
    </row>
    <row r="833" spans="1:14" ht="15.75" customHeight="1" x14ac:dyDescent="0.2">
      <c r="A833" s="109">
        <v>5</v>
      </c>
      <c r="B833" s="397" t="s">
        <v>399</v>
      </c>
      <c r="C833" s="106" t="s">
        <v>317</v>
      </c>
      <c r="D833" s="106" t="str">
        <f t="shared" si="417"/>
        <v/>
      </c>
      <c r="E833" s="398" t="str">
        <f t="shared" si="418"/>
        <v/>
      </c>
      <c r="F833" s="398" t="str">
        <f t="shared" si="419"/>
        <v/>
      </c>
      <c r="G833" s="399" t="str">
        <f t="shared" si="420"/>
        <v>rumus</v>
      </c>
      <c r="H833" s="114" t="s">
        <v>26</v>
      </c>
      <c r="I833" s="420"/>
      <c r="J833" s="418" t="str">
        <f t="shared" si="421"/>
        <v>rumus</v>
      </c>
      <c r="K833" s="116"/>
      <c r="L833" s="116"/>
      <c r="M833" s="116"/>
    </row>
    <row r="834" spans="1:14" ht="15.75" customHeight="1" x14ac:dyDescent="0.2">
      <c r="A834" s="109">
        <v>6</v>
      </c>
      <c r="B834" s="397" t="s">
        <v>399</v>
      </c>
      <c r="C834" s="106" t="s">
        <v>317</v>
      </c>
      <c r="D834" s="106" t="str">
        <f t="shared" si="417"/>
        <v/>
      </c>
      <c r="E834" s="398" t="str">
        <f t="shared" si="418"/>
        <v/>
      </c>
      <c r="F834" s="398" t="str">
        <f t="shared" si="419"/>
        <v/>
      </c>
      <c r="G834" s="399" t="str">
        <f t="shared" si="420"/>
        <v>rumus</v>
      </c>
      <c r="H834" s="114" t="s">
        <v>26</v>
      </c>
      <c r="I834" s="420"/>
      <c r="J834" s="418" t="str">
        <f t="shared" si="421"/>
        <v>rumus</v>
      </c>
      <c r="K834" s="116"/>
      <c r="L834" s="116"/>
      <c r="M834" s="116"/>
    </row>
    <row r="835" spans="1:14" ht="15.75" customHeight="1" x14ac:dyDescent="0.2">
      <c r="A835" s="109">
        <v>7</v>
      </c>
      <c r="B835" s="397" t="s">
        <v>399</v>
      </c>
      <c r="C835" s="106" t="s">
        <v>317</v>
      </c>
      <c r="D835" s="106" t="str">
        <f t="shared" si="417"/>
        <v/>
      </c>
      <c r="E835" s="398" t="str">
        <f t="shared" si="418"/>
        <v/>
      </c>
      <c r="F835" s="398" t="str">
        <f t="shared" si="419"/>
        <v/>
      </c>
      <c r="G835" s="399" t="str">
        <f t="shared" si="420"/>
        <v>rumus</v>
      </c>
      <c r="H835" s="114" t="s">
        <v>26</v>
      </c>
      <c r="I835" s="420"/>
      <c r="J835" s="418" t="str">
        <f t="shared" si="421"/>
        <v>rumus</v>
      </c>
      <c r="K835" s="116"/>
      <c r="L835" s="116"/>
      <c r="M835" s="116"/>
    </row>
    <row r="836" spans="1:14" ht="15.75" customHeight="1" x14ac:dyDescent="0.2">
      <c r="A836" s="109">
        <v>8</v>
      </c>
      <c r="B836" s="397" t="s">
        <v>399</v>
      </c>
      <c r="C836" s="106" t="s">
        <v>317</v>
      </c>
      <c r="D836" s="106" t="str">
        <f t="shared" si="417"/>
        <v/>
      </c>
      <c r="E836" s="398" t="str">
        <f t="shared" si="418"/>
        <v/>
      </c>
      <c r="F836" s="398" t="str">
        <f t="shared" si="419"/>
        <v/>
      </c>
      <c r="G836" s="399" t="str">
        <f t="shared" si="420"/>
        <v>rumus</v>
      </c>
      <c r="H836" s="114" t="s">
        <v>26</v>
      </c>
      <c r="I836" s="420"/>
      <c r="J836" s="418" t="str">
        <f t="shared" si="421"/>
        <v>rumus</v>
      </c>
      <c r="K836" s="116"/>
      <c r="L836" s="116"/>
      <c r="M836" s="116"/>
    </row>
    <row r="837" spans="1:14" ht="15.75" customHeight="1" x14ac:dyDescent="0.2">
      <c r="A837" s="109">
        <v>9</v>
      </c>
      <c r="B837" s="397" t="s">
        <v>399</v>
      </c>
      <c r="C837" s="106" t="s">
        <v>317</v>
      </c>
      <c r="D837" s="106" t="str">
        <f t="shared" si="417"/>
        <v/>
      </c>
      <c r="E837" s="398" t="str">
        <f t="shared" si="418"/>
        <v/>
      </c>
      <c r="F837" s="398" t="str">
        <f t="shared" si="419"/>
        <v/>
      </c>
      <c r="G837" s="399" t="str">
        <f t="shared" si="420"/>
        <v>rumus</v>
      </c>
      <c r="H837" s="114" t="s">
        <v>26</v>
      </c>
      <c r="I837" s="420"/>
      <c r="J837" s="418" t="str">
        <f t="shared" si="421"/>
        <v>rumus</v>
      </c>
      <c r="K837" s="116"/>
      <c r="L837" s="116"/>
      <c r="M837" s="116"/>
    </row>
    <row r="838" spans="1:14" ht="15.75" customHeight="1" x14ac:dyDescent="0.2">
      <c r="A838" s="109">
        <v>10</v>
      </c>
      <c r="B838" s="397" t="s">
        <v>399</v>
      </c>
      <c r="C838" s="106" t="s">
        <v>317</v>
      </c>
      <c r="D838" s="106" t="str">
        <f t="shared" si="417"/>
        <v/>
      </c>
      <c r="E838" s="398" t="str">
        <f t="shared" si="418"/>
        <v/>
      </c>
      <c r="F838" s="398" t="str">
        <f t="shared" si="419"/>
        <v/>
      </c>
      <c r="G838" s="399" t="str">
        <f t="shared" si="420"/>
        <v>rumus</v>
      </c>
      <c r="H838" s="114" t="s">
        <v>26</v>
      </c>
      <c r="I838" s="420"/>
      <c r="J838" s="418" t="str">
        <f t="shared" si="421"/>
        <v>rumus</v>
      </c>
      <c r="K838" s="116"/>
      <c r="L838" s="116"/>
      <c r="M838" s="116"/>
    </row>
    <row r="839" spans="1:14" ht="15" customHeight="1" x14ac:dyDescent="0.25">
      <c r="A839" s="109"/>
      <c r="B839" s="406" t="str">
        <f>"b. Semester Genap "&amp;IF(C840&lt;&gt;"",C840,"")&amp;" :"</f>
        <v>b. Semester Genap 2014/2015 :</v>
      </c>
      <c r="C839" s="415"/>
      <c r="D839" s="415"/>
      <c r="E839" s="415"/>
      <c r="F839" s="415"/>
      <c r="G839" s="415"/>
      <c r="H839" s="416"/>
      <c r="I839" s="116"/>
      <c r="J839" s="116"/>
      <c r="K839" s="1">
        <f>IF(COUNTIF(I829:I838,"Ketua Penguji")&lt;=4,SUMIF(I829:I838,"Ketua Penguji",J829:J838),4*1)+IF(COUNTIF(I829:I838,"Anggota Penguji")&lt;=8,SUMIF(I829:I838,"Anggota Penguji",J829:J838),8*0.5)</f>
        <v>0</v>
      </c>
      <c r="L839" s="2" t="s">
        <v>675</v>
      </c>
      <c r="M839" s="2">
        <f>IF(COUNTIF(I829:I838,"Ketua Penguji")&lt;=4,SUMIF(I829:I838,"Ketua Penguji",J829:J838),4*1)</f>
        <v>0</v>
      </c>
      <c r="N839" s="2">
        <f>IF(COUNTIF(I829:I838,"Anggota Penguji")&lt;=8,SUMIF(I829:I838,"Anggota Penguji",J829:J838),8*0.5)</f>
        <v>0</v>
      </c>
    </row>
    <row r="840" spans="1:14" ht="15.75" customHeight="1" x14ac:dyDescent="0.2">
      <c r="A840" s="109">
        <v>1</v>
      </c>
      <c r="B840" s="397" t="s">
        <v>399</v>
      </c>
      <c r="C840" s="106" t="s">
        <v>319</v>
      </c>
      <c r="D840" s="106" t="str">
        <f t="shared" ref="D840:D849" si="422">IF(G840&lt;&gt;"rumus","Lulusan","")</f>
        <v/>
      </c>
      <c r="E840" s="398" t="str">
        <f t="shared" ref="E840:E849" si="423">IF(I840&lt;&gt;"",1,"")</f>
        <v/>
      </c>
      <c r="F840" s="398" t="str">
        <f t="shared" ref="F840:F849" si="424">IF(I840&lt;&gt;"",J840,"")</f>
        <v/>
      </c>
      <c r="G840" s="399" t="str">
        <f t="shared" ref="G840:G849" si="425">IF(J840&lt;&gt;"rumus","1 x "&amp;J840&amp;" = "&amp;J840,"rumus")</f>
        <v>rumus</v>
      </c>
      <c r="H840" s="106" t="s">
        <v>764</v>
      </c>
      <c r="I840" s="420"/>
      <c r="J840" s="418" t="str">
        <f t="shared" ref="J840:J849" si="426">IF(I840&lt;&gt;"",IF(I840="Ketua Penguji",1,IF(I840="Anggota Penguji",0.5,"")),"rumus")</f>
        <v>rumus</v>
      </c>
      <c r="K840" s="116"/>
      <c r="L840" s="116"/>
      <c r="M840" s="116"/>
    </row>
    <row r="841" spans="1:14" ht="15.75" customHeight="1" x14ac:dyDescent="0.2">
      <c r="A841" s="109">
        <v>2</v>
      </c>
      <c r="B841" s="397" t="s">
        <v>399</v>
      </c>
      <c r="C841" s="106" t="s">
        <v>319</v>
      </c>
      <c r="D841" s="106" t="str">
        <f t="shared" si="422"/>
        <v/>
      </c>
      <c r="E841" s="398" t="str">
        <f t="shared" si="423"/>
        <v/>
      </c>
      <c r="F841" s="398" t="str">
        <f t="shared" si="424"/>
        <v/>
      </c>
      <c r="G841" s="399" t="str">
        <f t="shared" si="425"/>
        <v>rumus</v>
      </c>
      <c r="H841" s="114" t="s">
        <v>26</v>
      </c>
      <c r="I841" s="420"/>
      <c r="J841" s="418" t="str">
        <f t="shared" si="426"/>
        <v>rumus</v>
      </c>
      <c r="K841" s="116"/>
      <c r="L841" s="116"/>
      <c r="M841" s="116"/>
    </row>
    <row r="842" spans="1:14" ht="15.75" customHeight="1" x14ac:dyDescent="0.2">
      <c r="A842" s="109">
        <v>3</v>
      </c>
      <c r="B842" s="397" t="s">
        <v>399</v>
      </c>
      <c r="C842" s="106" t="s">
        <v>319</v>
      </c>
      <c r="D842" s="106" t="str">
        <f t="shared" si="422"/>
        <v/>
      </c>
      <c r="E842" s="398" t="str">
        <f t="shared" si="423"/>
        <v/>
      </c>
      <c r="F842" s="398" t="str">
        <f t="shared" si="424"/>
        <v/>
      </c>
      <c r="G842" s="399" t="str">
        <f t="shared" si="425"/>
        <v>rumus</v>
      </c>
      <c r="H842" s="114" t="s">
        <v>26</v>
      </c>
      <c r="I842" s="420"/>
      <c r="J842" s="418" t="str">
        <f t="shared" si="426"/>
        <v>rumus</v>
      </c>
      <c r="K842" s="116"/>
      <c r="L842" s="116"/>
      <c r="M842" s="116"/>
    </row>
    <row r="843" spans="1:14" ht="15.75" customHeight="1" x14ac:dyDescent="0.2">
      <c r="A843" s="109">
        <v>4</v>
      </c>
      <c r="B843" s="397" t="s">
        <v>399</v>
      </c>
      <c r="C843" s="106" t="s">
        <v>319</v>
      </c>
      <c r="D843" s="106" t="str">
        <f t="shared" si="422"/>
        <v/>
      </c>
      <c r="E843" s="398" t="str">
        <f t="shared" si="423"/>
        <v/>
      </c>
      <c r="F843" s="398" t="str">
        <f t="shared" si="424"/>
        <v/>
      </c>
      <c r="G843" s="399" t="str">
        <f t="shared" si="425"/>
        <v>rumus</v>
      </c>
      <c r="H843" s="114" t="s">
        <v>26</v>
      </c>
      <c r="I843" s="420"/>
      <c r="J843" s="418" t="str">
        <f t="shared" si="426"/>
        <v>rumus</v>
      </c>
      <c r="K843" s="116"/>
      <c r="L843" s="116"/>
      <c r="M843" s="116"/>
    </row>
    <row r="844" spans="1:14" ht="15.75" customHeight="1" x14ac:dyDescent="0.2">
      <c r="A844" s="109">
        <v>5</v>
      </c>
      <c r="B844" s="397" t="s">
        <v>399</v>
      </c>
      <c r="C844" s="106" t="s">
        <v>319</v>
      </c>
      <c r="D844" s="106" t="str">
        <f t="shared" si="422"/>
        <v/>
      </c>
      <c r="E844" s="398" t="str">
        <f t="shared" si="423"/>
        <v/>
      </c>
      <c r="F844" s="398" t="str">
        <f t="shared" si="424"/>
        <v/>
      </c>
      <c r="G844" s="399" t="str">
        <f t="shared" si="425"/>
        <v>rumus</v>
      </c>
      <c r="H844" s="114" t="s">
        <v>26</v>
      </c>
      <c r="I844" s="420"/>
      <c r="J844" s="418" t="str">
        <f t="shared" si="426"/>
        <v>rumus</v>
      </c>
      <c r="K844" s="116"/>
      <c r="L844" s="116"/>
      <c r="M844" s="116"/>
    </row>
    <row r="845" spans="1:14" ht="15.75" customHeight="1" x14ac:dyDescent="0.2">
      <c r="A845" s="109">
        <v>6</v>
      </c>
      <c r="B845" s="397" t="s">
        <v>399</v>
      </c>
      <c r="C845" s="106" t="s">
        <v>319</v>
      </c>
      <c r="D845" s="106" t="str">
        <f t="shared" si="422"/>
        <v/>
      </c>
      <c r="E845" s="398" t="str">
        <f t="shared" si="423"/>
        <v/>
      </c>
      <c r="F845" s="398" t="str">
        <f t="shared" si="424"/>
        <v/>
      </c>
      <c r="G845" s="399" t="str">
        <f t="shared" si="425"/>
        <v>rumus</v>
      </c>
      <c r="H845" s="114" t="s">
        <v>26</v>
      </c>
      <c r="I845" s="420"/>
      <c r="J845" s="418" t="str">
        <f t="shared" si="426"/>
        <v>rumus</v>
      </c>
      <c r="K845" s="116"/>
      <c r="L845" s="116"/>
      <c r="M845" s="116"/>
    </row>
    <row r="846" spans="1:14" ht="15.75" customHeight="1" x14ac:dyDescent="0.2">
      <c r="A846" s="109">
        <v>7</v>
      </c>
      <c r="B846" s="397" t="s">
        <v>399</v>
      </c>
      <c r="C846" s="106" t="s">
        <v>319</v>
      </c>
      <c r="D846" s="106" t="str">
        <f t="shared" si="422"/>
        <v/>
      </c>
      <c r="E846" s="398" t="str">
        <f t="shared" si="423"/>
        <v/>
      </c>
      <c r="F846" s="398" t="str">
        <f t="shared" si="424"/>
        <v/>
      </c>
      <c r="G846" s="399" t="str">
        <f t="shared" si="425"/>
        <v>rumus</v>
      </c>
      <c r="H846" s="114" t="s">
        <v>26</v>
      </c>
      <c r="I846" s="420"/>
      <c r="J846" s="418" t="str">
        <f t="shared" si="426"/>
        <v>rumus</v>
      </c>
      <c r="K846" s="116"/>
      <c r="L846" s="116"/>
      <c r="M846" s="116"/>
    </row>
    <row r="847" spans="1:14" ht="15.75" customHeight="1" x14ac:dyDescent="0.2">
      <c r="A847" s="109">
        <v>8</v>
      </c>
      <c r="B847" s="397" t="s">
        <v>399</v>
      </c>
      <c r="C847" s="106" t="s">
        <v>319</v>
      </c>
      <c r="D847" s="106" t="str">
        <f t="shared" si="422"/>
        <v/>
      </c>
      <c r="E847" s="398" t="str">
        <f t="shared" si="423"/>
        <v/>
      </c>
      <c r="F847" s="398" t="str">
        <f t="shared" si="424"/>
        <v/>
      </c>
      <c r="G847" s="399" t="str">
        <f t="shared" si="425"/>
        <v>rumus</v>
      </c>
      <c r="H847" s="114" t="s">
        <v>26</v>
      </c>
      <c r="I847" s="420"/>
      <c r="J847" s="418" t="str">
        <f t="shared" si="426"/>
        <v>rumus</v>
      </c>
      <c r="K847" s="116"/>
      <c r="L847" s="116"/>
      <c r="M847" s="116"/>
    </row>
    <row r="848" spans="1:14" ht="15.75" customHeight="1" x14ac:dyDescent="0.2">
      <c r="A848" s="109">
        <v>9</v>
      </c>
      <c r="B848" s="397" t="s">
        <v>399</v>
      </c>
      <c r="C848" s="106" t="s">
        <v>319</v>
      </c>
      <c r="D848" s="106" t="str">
        <f t="shared" si="422"/>
        <v/>
      </c>
      <c r="E848" s="398" t="str">
        <f t="shared" si="423"/>
        <v/>
      </c>
      <c r="F848" s="398" t="str">
        <f t="shared" si="424"/>
        <v/>
      </c>
      <c r="G848" s="399" t="str">
        <f t="shared" si="425"/>
        <v>rumus</v>
      </c>
      <c r="H848" s="114" t="s">
        <v>26</v>
      </c>
      <c r="I848" s="420"/>
      <c r="J848" s="418" t="str">
        <f t="shared" si="426"/>
        <v>rumus</v>
      </c>
      <c r="K848" s="116"/>
      <c r="L848" s="116"/>
      <c r="M848" s="116"/>
    </row>
    <row r="849" spans="1:14" ht="15.75" customHeight="1" x14ac:dyDescent="0.2">
      <c r="A849" s="109">
        <v>10</v>
      </c>
      <c r="B849" s="397" t="s">
        <v>399</v>
      </c>
      <c r="C849" s="106" t="s">
        <v>319</v>
      </c>
      <c r="D849" s="106" t="str">
        <f t="shared" si="422"/>
        <v/>
      </c>
      <c r="E849" s="398" t="str">
        <f t="shared" si="423"/>
        <v/>
      </c>
      <c r="F849" s="398" t="str">
        <f t="shared" si="424"/>
        <v/>
      </c>
      <c r="G849" s="399" t="str">
        <f t="shared" si="425"/>
        <v>rumus</v>
      </c>
      <c r="H849" s="114" t="s">
        <v>26</v>
      </c>
      <c r="I849" s="420"/>
      <c r="J849" s="418" t="str">
        <f t="shared" si="426"/>
        <v>rumus</v>
      </c>
      <c r="K849" s="116"/>
      <c r="L849" s="116"/>
      <c r="M849" s="116"/>
    </row>
    <row r="850" spans="1:14" ht="15" customHeight="1" x14ac:dyDescent="0.25">
      <c r="A850" s="109"/>
      <c r="B850" s="406" t="str">
        <f>"b. Semester Genap "&amp;IF(C851&lt;&gt;"",C851,"")&amp;" :"</f>
        <v>b. Semester Genap 2015/2016 :</v>
      </c>
      <c r="C850" s="415"/>
      <c r="D850" s="415"/>
      <c r="E850" s="415"/>
      <c r="F850" s="415"/>
      <c r="G850" s="415"/>
      <c r="H850" s="416"/>
      <c r="I850" s="116"/>
      <c r="J850" s="116"/>
      <c r="K850" s="1">
        <f>IF(COUNTIF(I840:I849,"Ketua Penguji")&lt;=4,SUMIF(I840:I849,"Ketua Penguji",J840:J849),4*1)+IF(COUNTIF(I840:I849,"Anggota Penguji")&lt;=8,SUMIF(I840:I849,"Anggota Penguji",J840:J849),8*0.5)</f>
        <v>0</v>
      </c>
      <c r="L850" s="2" t="s">
        <v>675</v>
      </c>
      <c r="M850" s="2">
        <f>IF(COUNTIF(I840:I849,"Ketua Penguji")&lt;=4,SUMIF(I840:I849,"Ketua Penguji",J840:J849),4*1)</f>
        <v>0</v>
      </c>
      <c r="N850" s="2">
        <f>IF(COUNTIF(I840:I849,"Anggota Penguji")&lt;=8,SUMIF(I840:I849,"Anggota Penguji",J840:J849),8*0.5)</f>
        <v>0</v>
      </c>
    </row>
    <row r="851" spans="1:14" ht="15.75" customHeight="1" x14ac:dyDescent="0.2">
      <c r="A851" s="109">
        <v>1</v>
      </c>
      <c r="B851" s="397" t="s">
        <v>399</v>
      </c>
      <c r="C851" s="106" t="s">
        <v>321</v>
      </c>
      <c r="D851" s="106" t="str">
        <f t="shared" ref="D851:D860" si="427">IF(G851&lt;&gt;"rumus","Lulusan","")</f>
        <v/>
      </c>
      <c r="E851" s="398" t="str">
        <f t="shared" ref="E851:E860" si="428">IF(I851&lt;&gt;"",1,"")</f>
        <v/>
      </c>
      <c r="F851" s="398" t="str">
        <f t="shared" ref="F851:F860" si="429">IF(I851&lt;&gt;"",J851,"")</f>
        <v/>
      </c>
      <c r="G851" s="399" t="str">
        <f t="shared" ref="G851:G860" si="430">IF(J851&lt;&gt;"rumus","1 x "&amp;J851&amp;" = "&amp;J851,"rumus")</f>
        <v>rumus</v>
      </c>
      <c r="H851" s="106" t="s">
        <v>764</v>
      </c>
      <c r="I851" s="420"/>
      <c r="J851" s="418" t="str">
        <f t="shared" ref="J851:J860" si="431">IF(I851&lt;&gt;"",IF(I851="Ketua Penguji",1,IF(I851="Anggota Penguji",0.5,"")),"rumus")</f>
        <v>rumus</v>
      </c>
      <c r="K851" s="116"/>
      <c r="L851" s="116"/>
      <c r="M851" s="116"/>
    </row>
    <row r="852" spans="1:14" ht="15.75" customHeight="1" x14ac:dyDescent="0.2">
      <c r="A852" s="109">
        <v>2</v>
      </c>
      <c r="B852" s="397" t="s">
        <v>399</v>
      </c>
      <c r="C852" s="106" t="s">
        <v>321</v>
      </c>
      <c r="D852" s="106" t="str">
        <f t="shared" si="427"/>
        <v/>
      </c>
      <c r="E852" s="398" t="str">
        <f t="shared" si="428"/>
        <v/>
      </c>
      <c r="F852" s="398" t="str">
        <f t="shared" si="429"/>
        <v/>
      </c>
      <c r="G852" s="399" t="str">
        <f t="shared" si="430"/>
        <v>rumus</v>
      </c>
      <c r="H852" s="114" t="s">
        <v>26</v>
      </c>
      <c r="I852" s="420"/>
      <c r="J852" s="418" t="str">
        <f t="shared" si="431"/>
        <v>rumus</v>
      </c>
      <c r="K852" s="116"/>
      <c r="L852" s="116"/>
      <c r="M852" s="116"/>
    </row>
    <row r="853" spans="1:14" ht="15.75" customHeight="1" x14ac:dyDescent="0.2">
      <c r="A853" s="109">
        <v>3</v>
      </c>
      <c r="B853" s="397" t="s">
        <v>399</v>
      </c>
      <c r="C853" s="106" t="s">
        <v>321</v>
      </c>
      <c r="D853" s="106" t="str">
        <f t="shared" si="427"/>
        <v/>
      </c>
      <c r="E853" s="398" t="str">
        <f t="shared" si="428"/>
        <v/>
      </c>
      <c r="F853" s="398" t="str">
        <f t="shared" si="429"/>
        <v/>
      </c>
      <c r="G853" s="399" t="str">
        <f t="shared" si="430"/>
        <v>rumus</v>
      </c>
      <c r="H853" s="114" t="s">
        <v>26</v>
      </c>
      <c r="I853" s="420"/>
      <c r="J853" s="418" t="str">
        <f t="shared" si="431"/>
        <v>rumus</v>
      </c>
      <c r="K853" s="116"/>
      <c r="L853" s="116"/>
      <c r="M853" s="116"/>
    </row>
    <row r="854" spans="1:14" ht="15.75" customHeight="1" x14ac:dyDescent="0.2">
      <c r="A854" s="109">
        <v>4</v>
      </c>
      <c r="B854" s="397" t="s">
        <v>399</v>
      </c>
      <c r="C854" s="106" t="s">
        <v>321</v>
      </c>
      <c r="D854" s="106" t="str">
        <f t="shared" si="427"/>
        <v/>
      </c>
      <c r="E854" s="398" t="str">
        <f t="shared" si="428"/>
        <v/>
      </c>
      <c r="F854" s="398" t="str">
        <f t="shared" si="429"/>
        <v/>
      </c>
      <c r="G854" s="399" t="str">
        <f t="shared" si="430"/>
        <v>rumus</v>
      </c>
      <c r="H854" s="114" t="s">
        <v>26</v>
      </c>
      <c r="I854" s="420"/>
      <c r="J854" s="418" t="str">
        <f t="shared" si="431"/>
        <v>rumus</v>
      </c>
      <c r="K854" s="116"/>
      <c r="L854" s="116"/>
      <c r="M854" s="116"/>
    </row>
    <row r="855" spans="1:14" ht="15.75" customHeight="1" x14ac:dyDescent="0.2">
      <c r="A855" s="109">
        <v>5</v>
      </c>
      <c r="B855" s="397" t="s">
        <v>399</v>
      </c>
      <c r="C855" s="106" t="s">
        <v>321</v>
      </c>
      <c r="D855" s="106" t="str">
        <f t="shared" si="427"/>
        <v/>
      </c>
      <c r="E855" s="398" t="str">
        <f t="shared" si="428"/>
        <v/>
      </c>
      <c r="F855" s="398" t="str">
        <f t="shared" si="429"/>
        <v/>
      </c>
      <c r="G855" s="399" t="str">
        <f t="shared" si="430"/>
        <v>rumus</v>
      </c>
      <c r="H855" s="114" t="s">
        <v>26</v>
      </c>
      <c r="I855" s="420"/>
      <c r="J855" s="418" t="str">
        <f t="shared" si="431"/>
        <v>rumus</v>
      </c>
      <c r="K855" s="116"/>
      <c r="L855" s="116"/>
      <c r="M855" s="116"/>
    </row>
    <row r="856" spans="1:14" ht="15.75" customHeight="1" x14ac:dyDescent="0.2">
      <c r="A856" s="109">
        <v>6</v>
      </c>
      <c r="B856" s="397" t="s">
        <v>399</v>
      </c>
      <c r="C856" s="106" t="s">
        <v>321</v>
      </c>
      <c r="D856" s="106" t="str">
        <f t="shared" si="427"/>
        <v/>
      </c>
      <c r="E856" s="398" t="str">
        <f t="shared" si="428"/>
        <v/>
      </c>
      <c r="F856" s="398" t="str">
        <f t="shared" si="429"/>
        <v/>
      </c>
      <c r="G856" s="399" t="str">
        <f t="shared" si="430"/>
        <v>rumus</v>
      </c>
      <c r="H856" s="114" t="s">
        <v>26</v>
      </c>
      <c r="I856" s="420"/>
      <c r="J856" s="418" t="str">
        <f t="shared" si="431"/>
        <v>rumus</v>
      </c>
      <c r="K856" s="116"/>
      <c r="L856" s="116"/>
      <c r="M856" s="116"/>
    </row>
    <row r="857" spans="1:14" ht="15.75" customHeight="1" x14ac:dyDescent="0.2">
      <c r="A857" s="109">
        <v>7</v>
      </c>
      <c r="B857" s="397" t="s">
        <v>399</v>
      </c>
      <c r="C857" s="106" t="s">
        <v>321</v>
      </c>
      <c r="D857" s="106" t="str">
        <f t="shared" si="427"/>
        <v/>
      </c>
      <c r="E857" s="398" t="str">
        <f t="shared" si="428"/>
        <v/>
      </c>
      <c r="F857" s="398" t="str">
        <f t="shared" si="429"/>
        <v/>
      </c>
      <c r="G857" s="399" t="str">
        <f t="shared" si="430"/>
        <v>rumus</v>
      </c>
      <c r="H857" s="114" t="s">
        <v>26</v>
      </c>
      <c r="I857" s="420"/>
      <c r="J857" s="418" t="str">
        <f t="shared" si="431"/>
        <v>rumus</v>
      </c>
      <c r="K857" s="116"/>
      <c r="L857" s="116"/>
      <c r="M857" s="116"/>
    </row>
    <row r="858" spans="1:14" ht="15.75" customHeight="1" x14ac:dyDescent="0.2">
      <c r="A858" s="109">
        <v>8</v>
      </c>
      <c r="B858" s="397" t="s">
        <v>399</v>
      </c>
      <c r="C858" s="106" t="s">
        <v>321</v>
      </c>
      <c r="D858" s="106" t="str">
        <f t="shared" si="427"/>
        <v/>
      </c>
      <c r="E858" s="398" t="str">
        <f t="shared" si="428"/>
        <v/>
      </c>
      <c r="F858" s="398" t="str">
        <f t="shared" si="429"/>
        <v/>
      </c>
      <c r="G858" s="399" t="str">
        <f t="shared" si="430"/>
        <v>rumus</v>
      </c>
      <c r="H858" s="114" t="s">
        <v>26</v>
      </c>
      <c r="I858" s="420"/>
      <c r="J858" s="418" t="str">
        <f t="shared" si="431"/>
        <v>rumus</v>
      </c>
      <c r="K858" s="116"/>
      <c r="L858" s="116"/>
      <c r="M858" s="116"/>
    </row>
    <row r="859" spans="1:14" ht="15.75" customHeight="1" x14ac:dyDescent="0.2">
      <c r="A859" s="109">
        <v>9</v>
      </c>
      <c r="B859" s="397" t="s">
        <v>399</v>
      </c>
      <c r="C859" s="106" t="s">
        <v>321</v>
      </c>
      <c r="D859" s="106" t="str">
        <f t="shared" si="427"/>
        <v/>
      </c>
      <c r="E859" s="398" t="str">
        <f t="shared" si="428"/>
        <v/>
      </c>
      <c r="F859" s="398" t="str">
        <f t="shared" si="429"/>
        <v/>
      </c>
      <c r="G859" s="399" t="str">
        <f t="shared" si="430"/>
        <v>rumus</v>
      </c>
      <c r="H859" s="114" t="s">
        <v>26</v>
      </c>
      <c r="I859" s="420"/>
      <c r="J859" s="418" t="str">
        <f t="shared" si="431"/>
        <v>rumus</v>
      </c>
      <c r="K859" s="116"/>
      <c r="L859" s="116"/>
      <c r="M859" s="116"/>
    </row>
    <row r="860" spans="1:14" ht="15.75" customHeight="1" x14ac:dyDescent="0.2">
      <c r="A860" s="109">
        <v>10</v>
      </c>
      <c r="B860" s="397" t="s">
        <v>399</v>
      </c>
      <c r="C860" s="106" t="s">
        <v>321</v>
      </c>
      <c r="D860" s="106" t="str">
        <f t="shared" si="427"/>
        <v/>
      </c>
      <c r="E860" s="398" t="str">
        <f t="shared" si="428"/>
        <v/>
      </c>
      <c r="F860" s="398" t="str">
        <f t="shared" si="429"/>
        <v/>
      </c>
      <c r="G860" s="399" t="str">
        <f t="shared" si="430"/>
        <v>rumus</v>
      </c>
      <c r="H860" s="114" t="s">
        <v>26</v>
      </c>
      <c r="I860" s="420"/>
      <c r="J860" s="418" t="str">
        <f t="shared" si="431"/>
        <v>rumus</v>
      </c>
      <c r="K860" s="116"/>
      <c r="L860" s="116"/>
      <c r="M860" s="116"/>
    </row>
    <row r="861" spans="1:14" ht="15" customHeight="1" x14ac:dyDescent="0.25">
      <c r="A861" s="124"/>
      <c r="B861" s="614" t="s">
        <v>304</v>
      </c>
      <c r="C861" s="615"/>
      <c r="D861" s="616"/>
      <c r="E861" s="403"/>
      <c r="F861" s="403"/>
      <c r="G861" s="113">
        <f>SUM(K559:K861)</f>
        <v>66</v>
      </c>
      <c r="H861" s="99"/>
      <c r="I861" s="116"/>
      <c r="J861" s="1"/>
      <c r="K861" s="1">
        <f>IF(COUNTIF(I851:I860,"Ketua Penguji")&lt;=4,SUMIF(I851:I860,"Ketua Penguji",J851:J860),4*1)+IF(COUNTIF(I851:I860,"Anggota Penguji")&lt;=8,SUMIF(I851:I860,"Anggota Penguji",J851:J860),8*0.5)</f>
        <v>0</v>
      </c>
      <c r="L861" s="2" t="s">
        <v>675</v>
      </c>
      <c r="M861" s="2">
        <f>IF(COUNTIF(I851:I860,"Ketua Penguji")&lt;=4,SUMIF(I851:I860,"Ketua Penguji",J851:J860),4*1)</f>
        <v>0</v>
      </c>
      <c r="N861" s="2">
        <f>IF(COUNTIF(I851:I860,"Anggota Penguji")&lt;=8,SUMIF(I851:I860,"Anggota Penguji",J851:J860),8*0.5)</f>
        <v>0</v>
      </c>
    </row>
    <row r="862" spans="1:14" ht="15" customHeight="1" x14ac:dyDescent="0.2">
      <c r="A862" s="115" t="s">
        <v>89</v>
      </c>
      <c r="B862" s="414" t="s">
        <v>801</v>
      </c>
      <c r="C862" s="415"/>
      <c r="D862" s="415"/>
      <c r="E862" s="415"/>
      <c r="F862" s="415"/>
      <c r="G862" s="415"/>
      <c r="H862" s="416"/>
      <c r="I862" s="116"/>
      <c r="J862" s="116"/>
      <c r="K862" s="116"/>
      <c r="L862" s="116"/>
      <c r="M862" s="116">
        <f t="shared" ref="M862:N862" si="432">SUM(M569:M861)</f>
        <v>42</v>
      </c>
      <c r="N862" s="116">
        <f t="shared" si="432"/>
        <v>24</v>
      </c>
    </row>
    <row r="863" spans="1:14" ht="15" customHeight="1" x14ac:dyDescent="0.2">
      <c r="A863" s="109"/>
      <c r="B863" s="406" t="str">
        <f>"a. Semester Gasal "&amp;IF(C864&lt;&gt;"",C864,"")&amp;" :"</f>
        <v>a. Semester Gasal 2004/2005 :</v>
      </c>
      <c r="C863" s="415"/>
      <c r="D863" s="415"/>
      <c r="E863" s="415"/>
      <c r="F863" s="415"/>
      <c r="G863" s="415"/>
      <c r="H863" s="416"/>
      <c r="I863" s="116"/>
      <c r="J863" s="116"/>
      <c r="K863" s="116"/>
      <c r="L863" s="116"/>
      <c r="M863" s="116"/>
    </row>
    <row r="864" spans="1:14" ht="15.75" customHeight="1" x14ac:dyDescent="0.2">
      <c r="A864" s="109">
        <v>1</v>
      </c>
      <c r="B864" s="397" t="s">
        <v>801</v>
      </c>
      <c r="C864" s="106" t="s">
        <v>705</v>
      </c>
      <c r="D864" s="106" t="str">
        <f t="shared" ref="D864:D865" si="433">IF(G864&lt;&gt;"rumus","Semester","")</f>
        <v/>
      </c>
      <c r="E864" s="398" t="str">
        <f t="shared" ref="E864:E865" si="434">IF(I864&lt;&gt;"",1,"")</f>
        <v/>
      </c>
      <c r="F864" s="398" t="str">
        <f t="shared" ref="F864:F865" si="435">IF(I864&lt;&gt;"",J864,"")</f>
        <v/>
      </c>
      <c r="G864" s="399" t="str">
        <f t="shared" ref="G864:G865" si="436">IF(J864&lt;&gt;"rumus","1 x "&amp;J864&amp;" = "&amp;J864,"rumus")</f>
        <v>rumus</v>
      </c>
      <c r="H864" s="106" t="s">
        <v>764</v>
      </c>
      <c r="I864" s="119"/>
      <c r="J864" s="418" t="str">
        <f t="shared" ref="J864:J865" si="437">IF(I864="Membina kegiatan mahasiswa per semester",2,"rumus")</f>
        <v>rumus</v>
      </c>
      <c r="K864" s="116"/>
      <c r="L864" s="116"/>
      <c r="M864" s="116"/>
    </row>
    <row r="865" spans="1:26" ht="15.75" customHeight="1" x14ac:dyDescent="0.2">
      <c r="A865" s="109">
        <v>2</v>
      </c>
      <c r="B865" s="397" t="s">
        <v>801</v>
      </c>
      <c r="C865" s="106" t="s">
        <v>705</v>
      </c>
      <c r="D865" s="106" t="str">
        <f t="shared" si="433"/>
        <v/>
      </c>
      <c r="E865" s="398" t="str">
        <f t="shared" si="434"/>
        <v/>
      </c>
      <c r="F865" s="398" t="str">
        <f t="shared" si="435"/>
        <v/>
      </c>
      <c r="G865" s="399" t="str">
        <f t="shared" si="436"/>
        <v>rumus</v>
      </c>
      <c r="H865" s="114" t="s">
        <v>26</v>
      </c>
      <c r="I865" s="119"/>
      <c r="J865" s="418" t="str">
        <f t="shared" si="437"/>
        <v>rumus</v>
      </c>
      <c r="K865" s="116"/>
      <c r="L865" s="116"/>
      <c r="M865" s="116"/>
    </row>
    <row r="866" spans="1:26" ht="15" customHeight="1" x14ac:dyDescent="0.2">
      <c r="A866" s="109"/>
      <c r="B866" s="406" t="str">
        <f>"a. Semester Gasal "&amp;IF(C867&lt;&gt;"",C867,"")&amp;" :"</f>
        <v>a. Semester Gasal 2005/2006 :</v>
      </c>
      <c r="C866" s="415"/>
      <c r="D866" s="415"/>
      <c r="E866" s="415"/>
      <c r="F866" s="415"/>
      <c r="G866" s="415"/>
      <c r="H866" s="416"/>
      <c r="I866" s="116"/>
      <c r="J866" s="116"/>
      <c r="K866" s="116">
        <f>IF(SUM(J864:J865)&gt;=4,4,SUM(J864:J865))</f>
        <v>0</v>
      </c>
      <c r="L866" s="120" t="s">
        <v>802</v>
      </c>
      <c r="M866" s="116"/>
    </row>
    <row r="867" spans="1:26" ht="15.75" customHeight="1" x14ac:dyDescent="0.2">
      <c r="A867" s="109">
        <v>1</v>
      </c>
      <c r="B867" s="397" t="s">
        <v>801</v>
      </c>
      <c r="C867" s="106" t="s">
        <v>803</v>
      </c>
      <c r="D867" s="106" t="str">
        <f t="shared" ref="D867:D868" si="438">IF(G867&lt;&gt;"rumus","Semester","")</f>
        <v/>
      </c>
      <c r="E867" s="398" t="str">
        <f t="shared" ref="E867:E868" si="439">IF(I867&lt;&gt;"",1,"")</f>
        <v/>
      </c>
      <c r="F867" s="398" t="str">
        <f t="shared" ref="F867:F868" si="440">IF(I867&lt;&gt;"",J867,"")</f>
        <v/>
      </c>
      <c r="G867" s="399" t="str">
        <f t="shared" ref="G867:G868" si="441">IF(J867&lt;&gt;"rumus","1 x "&amp;J867&amp;" = "&amp;J867,"rumus")</f>
        <v>rumus</v>
      </c>
      <c r="H867" s="106" t="s">
        <v>764</v>
      </c>
      <c r="I867" s="119"/>
      <c r="J867" s="418" t="str">
        <f t="shared" ref="J867:J868" si="442">IF(I867="Membina kegiatan mahasiswa per semester",2,"rumus")</f>
        <v>rumus</v>
      </c>
      <c r="K867" s="116"/>
      <c r="L867" s="116"/>
      <c r="M867" s="116"/>
    </row>
    <row r="868" spans="1:26" ht="15.75" customHeight="1" x14ac:dyDescent="0.2">
      <c r="A868" s="109">
        <v>2</v>
      </c>
      <c r="B868" s="397" t="s">
        <v>801</v>
      </c>
      <c r="C868" s="106" t="s">
        <v>803</v>
      </c>
      <c r="D868" s="106" t="str">
        <f t="shared" si="438"/>
        <v/>
      </c>
      <c r="E868" s="398" t="str">
        <f t="shared" si="439"/>
        <v/>
      </c>
      <c r="F868" s="398" t="str">
        <f t="shared" si="440"/>
        <v/>
      </c>
      <c r="G868" s="399" t="str">
        <f t="shared" si="441"/>
        <v>rumus</v>
      </c>
      <c r="H868" s="114" t="s">
        <v>26</v>
      </c>
      <c r="I868" s="119"/>
      <c r="J868" s="418" t="str">
        <f t="shared" si="442"/>
        <v>rumus</v>
      </c>
      <c r="K868" s="116"/>
      <c r="L868" s="116"/>
      <c r="M868" s="116"/>
    </row>
    <row r="869" spans="1:26" ht="15" customHeight="1" x14ac:dyDescent="0.2">
      <c r="A869" s="109"/>
      <c r="B869" s="406" t="str">
        <f>"a. Semester Gasal "&amp;IF(C870&lt;&gt;"",C870,"")&amp;" :"</f>
        <v>a. Semester Gasal 2006/2007 :</v>
      </c>
      <c r="C869" s="415"/>
      <c r="D869" s="415"/>
      <c r="E869" s="415"/>
      <c r="F869" s="415"/>
      <c r="G869" s="415"/>
      <c r="H869" s="416"/>
      <c r="I869" s="116"/>
      <c r="J869" s="116"/>
      <c r="K869" s="116">
        <f>IF(SUM(J867:J868)&gt;=4,4,SUM(J867:J868))</f>
        <v>0</v>
      </c>
      <c r="L869" s="120" t="s">
        <v>802</v>
      </c>
      <c r="M869" s="116"/>
    </row>
    <row r="870" spans="1:26" ht="15.75" customHeight="1" x14ac:dyDescent="0.25">
      <c r="A870" s="109">
        <v>1</v>
      </c>
      <c r="B870" s="397" t="s">
        <v>801</v>
      </c>
      <c r="C870" s="106" t="s">
        <v>804</v>
      </c>
      <c r="D870" s="106" t="str">
        <f t="shared" ref="D870:D871" si="443">IF(G870&lt;&gt;"rumus","Semester","")</f>
        <v/>
      </c>
      <c r="E870" s="398" t="str">
        <f t="shared" ref="E870:E871" si="444">IF(I870&lt;&gt;"",1,"")</f>
        <v/>
      </c>
      <c r="F870" s="398" t="str">
        <f t="shared" ref="F870:F871" si="445">IF(I870&lt;&gt;"",J870,"")</f>
        <v/>
      </c>
      <c r="G870" s="399" t="str">
        <f t="shared" ref="G870:G871" si="446">IF(J870&lt;&gt;"rumus","1 x "&amp;J870&amp;" = "&amp;J870,"rumus")</f>
        <v>rumus</v>
      </c>
      <c r="H870" s="106" t="s">
        <v>764</v>
      </c>
      <c r="I870" s="119"/>
      <c r="J870" s="418" t="str">
        <f t="shared" ref="J870:J871" si="447">IF(I870="Membina kegiatan mahasiswa per semester",2,"rumus")</f>
        <v>rumus</v>
      </c>
      <c r="K870" s="116"/>
      <c r="L870" s="116"/>
      <c r="M870" s="116"/>
      <c r="N870" s="2"/>
      <c r="O870" s="2"/>
      <c r="P870" s="2"/>
      <c r="Q870" s="2"/>
      <c r="R870" s="2"/>
      <c r="S870" s="2"/>
      <c r="T870" s="2"/>
      <c r="U870" s="2"/>
      <c r="V870" s="2"/>
      <c r="W870" s="2"/>
      <c r="X870" s="2"/>
      <c r="Y870" s="2"/>
      <c r="Z870" s="2"/>
    </row>
    <row r="871" spans="1:26" ht="15.75" customHeight="1" x14ac:dyDescent="0.25">
      <c r="A871" s="109">
        <v>2</v>
      </c>
      <c r="B871" s="397" t="s">
        <v>801</v>
      </c>
      <c r="C871" s="106" t="s">
        <v>804</v>
      </c>
      <c r="D871" s="106" t="str">
        <f t="shared" si="443"/>
        <v/>
      </c>
      <c r="E871" s="398" t="str">
        <f t="shared" si="444"/>
        <v/>
      </c>
      <c r="F871" s="398" t="str">
        <f t="shared" si="445"/>
        <v/>
      </c>
      <c r="G871" s="399" t="str">
        <f t="shared" si="446"/>
        <v>rumus</v>
      </c>
      <c r="H871" s="114" t="s">
        <v>26</v>
      </c>
      <c r="I871" s="119"/>
      <c r="J871" s="418" t="str">
        <f t="shared" si="447"/>
        <v>rumus</v>
      </c>
      <c r="K871" s="116"/>
      <c r="L871" s="116"/>
      <c r="M871" s="116"/>
      <c r="N871" s="2"/>
      <c r="O871" s="2"/>
      <c r="P871" s="2"/>
      <c r="Q871" s="2"/>
      <c r="R871" s="2"/>
      <c r="S871" s="2"/>
      <c r="T871" s="2"/>
      <c r="U871" s="2"/>
      <c r="V871" s="2"/>
      <c r="W871" s="2"/>
      <c r="X871" s="2"/>
      <c r="Y871" s="2"/>
      <c r="Z871" s="2"/>
    </row>
    <row r="872" spans="1:26" ht="15" customHeight="1" x14ac:dyDescent="0.2">
      <c r="A872" s="109"/>
      <c r="B872" s="406" t="str">
        <f>"a. Semester Gasal "&amp;IF(C873&lt;&gt;"",C873,"")&amp;" :"</f>
        <v>a. Semester Gasal 2007/2008 :</v>
      </c>
      <c r="C872" s="415"/>
      <c r="D872" s="415"/>
      <c r="E872" s="415"/>
      <c r="F872" s="415"/>
      <c r="G872" s="415"/>
      <c r="H872" s="416"/>
      <c r="I872" s="116"/>
      <c r="J872" s="116"/>
      <c r="K872" s="116">
        <f>IF(SUM(J870:J871)&gt;=4,4,SUM(J870:J871))</f>
        <v>0</v>
      </c>
      <c r="L872" s="120" t="s">
        <v>802</v>
      </c>
      <c r="M872" s="116"/>
    </row>
    <row r="873" spans="1:26" ht="15.75" customHeight="1" x14ac:dyDescent="0.2">
      <c r="A873" s="109">
        <v>1</v>
      </c>
      <c r="B873" s="397" t="s">
        <v>801</v>
      </c>
      <c r="C873" s="106" t="s">
        <v>382</v>
      </c>
      <c r="D873" s="106" t="str">
        <f t="shared" ref="D873:D874" si="448">IF(G873&lt;&gt;"rumus","Semester","")</f>
        <v/>
      </c>
      <c r="E873" s="398" t="str">
        <f t="shared" ref="E873:E874" si="449">IF(I873&lt;&gt;"",1,"")</f>
        <v/>
      </c>
      <c r="F873" s="398" t="str">
        <f t="shared" ref="F873:F874" si="450">IF(I873&lt;&gt;"",J873,"")</f>
        <v/>
      </c>
      <c r="G873" s="399" t="str">
        <f t="shared" ref="G873:G874" si="451">IF(J873&lt;&gt;"rumus","1 x "&amp;J873&amp;" = "&amp;J873,"rumus")</f>
        <v>rumus</v>
      </c>
      <c r="H873" s="106" t="s">
        <v>764</v>
      </c>
      <c r="I873" s="119"/>
      <c r="J873" s="418" t="str">
        <f t="shared" ref="J873:J874" si="452">IF(I873="Membina kegiatan mahasiswa per semester",2,"rumus")</f>
        <v>rumus</v>
      </c>
      <c r="K873" s="116"/>
      <c r="L873" s="116"/>
      <c r="M873" s="116"/>
    </row>
    <row r="874" spans="1:26" ht="15.75" customHeight="1" x14ac:dyDescent="0.2">
      <c r="A874" s="109">
        <v>2</v>
      </c>
      <c r="B874" s="397" t="s">
        <v>801</v>
      </c>
      <c r="C874" s="106" t="s">
        <v>382</v>
      </c>
      <c r="D874" s="106" t="str">
        <f t="shared" si="448"/>
        <v/>
      </c>
      <c r="E874" s="398" t="str">
        <f t="shared" si="449"/>
        <v/>
      </c>
      <c r="F874" s="398" t="str">
        <f t="shared" si="450"/>
        <v/>
      </c>
      <c r="G874" s="399" t="str">
        <f t="shared" si="451"/>
        <v>rumus</v>
      </c>
      <c r="H874" s="114" t="s">
        <v>26</v>
      </c>
      <c r="I874" s="119"/>
      <c r="J874" s="418" t="str">
        <f t="shared" si="452"/>
        <v>rumus</v>
      </c>
      <c r="K874" s="116"/>
      <c r="L874" s="116"/>
      <c r="M874" s="116"/>
    </row>
    <row r="875" spans="1:26" ht="15" customHeight="1" x14ac:dyDescent="0.2">
      <c r="A875" s="109"/>
      <c r="B875" s="406" t="str">
        <f>"a. Semester Gasal "&amp;IF(C876&lt;&gt;"",C876,"")&amp;" :"</f>
        <v>a. Semester Gasal 2008/2009 :</v>
      </c>
      <c r="C875" s="415"/>
      <c r="D875" s="415"/>
      <c r="E875" s="415"/>
      <c r="F875" s="415"/>
      <c r="G875" s="415"/>
      <c r="H875" s="416"/>
      <c r="I875" s="116"/>
      <c r="J875" s="116"/>
      <c r="K875" s="116">
        <f>IF(SUM(J873:J874)&gt;=4,4,SUM(J873:J874))</f>
        <v>0</v>
      </c>
      <c r="L875" s="120" t="s">
        <v>802</v>
      </c>
      <c r="M875" s="116"/>
    </row>
    <row r="876" spans="1:26" ht="15.75" customHeight="1" x14ac:dyDescent="0.25">
      <c r="A876" s="109">
        <v>1</v>
      </c>
      <c r="B876" s="397" t="s">
        <v>801</v>
      </c>
      <c r="C876" s="106" t="s">
        <v>383</v>
      </c>
      <c r="D876" s="106" t="str">
        <f t="shared" ref="D876:D877" si="453">IF(G876&lt;&gt;"rumus","Semester","")</f>
        <v/>
      </c>
      <c r="E876" s="398" t="str">
        <f t="shared" ref="E876:E877" si="454">IF(I876&lt;&gt;"",1,"")</f>
        <v/>
      </c>
      <c r="F876" s="398" t="str">
        <f t="shared" ref="F876:F877" si="455">IF(I876&lt;&gt;"",J876,"")</f>
        <v/>
      </c>
      <c r="G876" s="399" t="str">
        <f t="shared" ref="G876:G877" si="456">IF(J876&lt;&gt;"rumus","1 x "&amp;J876&amp;" = "&amp;J876,"rumus")</f>
        <v>rumus</v>
      </c>
      <c r="H876" s="106" t="s">
        <v>764</v>
      </c>
      <c r="I876" s="119"/>
      <c r="J876" s="418" t="str">
        <f t="shared" ref="J876:J877" si="457">IF(I876="Membina kegiatan mahasiswa per semester",2,"rumus")</f>
        <v>rumus</v>
      </c>
      <c r="K876" s="116"/>
      <c r="L876" s="116"/>
      <c r="M876" s="116"/>
      <c r="N876" s="2"/>
      <c r="O876" s="2"/>
      <c r="P876" s="2"/>
      <c r="Q876" s="2"/>
      <c r="R876" s="2"/>
      <c r="S876" s="2"/>
      <c r="T876" s="2"/>
      <c r="U876" s="2"/>
      <c r="V876" s="2"/>
      <c r="W876" s="2"/>
      <c r="X876" s="2"/>
      <c r="Y876" s="2"/>
      <c r="Z876" s="2"/>
    </row>
    <row r="877" spans="1:26" ht="15.75" customHeight="1" x14ac:dyDescent="0.25">
      <c r="A877" s="109">
        <v>2</v>
      </c>
      <c r="B877" s="397" t="s">
        <v>801</v>
      </c>
      <c r="C877" s="106" t="s">
        <v>383</v>
      </c>
      <c r="D877" s="106" t="str">
        <f t="shared" si="453"/>
        <v/>
      </c>
      <c r="E877" s="398" t="str">
        <f t="shared" si="454"/>
        <v/>
      </c>
      <c r="F877" s="398" t="str">
        <f t="shared" si="455"/>
        <v/>
      </c>
      <c r="G877" s="399" t="str">
        <f t="shared" si="456"/>
        <v>rumus</v>
      </c>
      <c r="H877" s="114" t="s">
        <v>26</v>
      </c>
      <c r="I877" s="119"/>
      <c r="J877" s="418" t="str">
        <f t="shared" si="457"/>
        <v>rumus</v>
      </c>
      <c r="K877" s="116"/>
      <c r="L877" s="116"/>
      <c r="M877" s="116"/>
      <c r="N877" s="2"/>
      <c r="O877" s="2"/>
      <c r="P877" s="2"/>
      <c r="Q877" s="2"/>
      <c r="R877" s="2"/>
      <c r="S877" s="2"/>
      <c r="T877" s="2"/>
      <c r="U877" s="2"/>
      <c r="V877" s="2"/>
      <c r="W877" s="2"/>
      <c r="X877" s="2"/>
      <c r="Y877" s="2"/>
      <c r="Z877" s="2"/>
    </row>
    <row r="878" spans="1:26" ht="15" customHeight="1" x14ac:dyDescent="0.2">
      <c r="A878" s="109"/>
      <c r="B878" s="406" t="str">
        <f>"a. Semester Gasal "&amp;IF(C879&lt;&gt;"",C879,"")&amp;" :"</f>
        <v>a. Semester Gasal 2009/2010 :</v>
      </c>
      <c r="C878" s="415"/>
      <c r="D878" s="415"/>
      <c r="E878" s="415"/>
      <c r="F878" s="415"/>
      <c r="G878" s="415"/>
      <c r="H878" s="416"/>
      <c r="I878" s="116"/>
      <c r="J878" s="116"/>
      <c r="K878" s="116">
        <f>IF(SUM(J876:J877)&gt;=4,4,SUM(J876:J877))</f>
        <v>0</v>
      </c>
      <c r="L878" s="120" t="s">
        <v>802</v>
      </c>
      <c r="M878" s="116"/>
    </row>
    <row r="879" spans="1:26" ht="15.75" customHeight="1" x14ac:dyDescent="0.25">
      <c r="A879" s="109">
        <v>1</v>
      </c>
      <c r="B879" s="397" t="s">
        <v>801</v>
      </c>
      <c r="C879" s="106" t="s">
        <v>384</v>
      </c>
      <c r="D879" s="106" t="str">
        <f t="shared" ref="D879:D880" si="458">IF(G879&lt;&gt;"rumus","Semester","")</f>
        <v/>
      </c>
      <c r="E879" s="398" t="str">
        <f t="shared" ref="E879:E880" si="459">IF(I879&lt;&gt;"",1,"")</f>
        <v/>
      </c>
      <c r="F879" s="398" t="str">
        <f t="shared" ref="F879:F880" si="460">IF(I879&lt;&gt;"",J879,"")</f>
        <v/>
      </c>
      <c r="G879" s="399" t="str">
        <f t="shared" ref="G879:G880" si="461">IF(J879&lt;&gt;"rumus","1 x "&amp;J879&amp;" = "&amp;J879,"rumus")</f>
        <v>rumus</v>
      </c>
      <c r="H879" s="106" t="s">
        <v>764</v>
      </c>
      <c r="I879" s="119"/>
      <c r="J879" s="418" t="str">
        <f t="shared" ref="J879:J880" si="462">IF(I879="Membina kegiatan mahasiswa per semester",2,"rumus")</f>
        <v>rumus</v>
      </c>
      <c r="K879" s="116"/>
      <c r="L879" s="116"/>
      <c r="M879" s="116"/>
      <c r="N879" s="2"/>
      <c r="O879" s="2"/>
      <c r="P879" s="2"/>
      <c r="Q879" s="2"/>
      <c r="R879" s="2"/>
      <c r="S879" s="2"/>
      <c r="T879" s="2"/>
      <c r="U879" s="2"/>
      <c r="V879" s="2"/>
      <c r="W879" s="2"/>
      <c r="X879" s="2"/>
      <c r="Y879" s="2"/>
      <c r="Z879" s="2"/>
    </row>
    <row r="880" spans="1:26" ht="15.75" customHeight="1" x14ac:dyDescent="0.25">
      <c r="A880" s="109">
        <v>2</v>
      </c>
      <c r="B880" s="397" t="s">
        <v>801</v>
      </c>
      <c r="C880" s="106" t="s">
        <v>384</v>
      </c>
      <c r="D880" s="106" t="str">
        <f t="shared" si="458"/>
        <v/>
      </c>
      <c r="E880" s="398" t="str">
        <f t="shared" si="459"/>
        <v/>
      </c>
      <c r="F880" s="398" t="str">
        <f t="shared" si="460"/>
        <v/>
      </c>
      <c r="G880" s="399" t="str">
        <f t="shared" si="461"/>
        <v>rumus</v>
      </c>
      <c r="H880" s="114" t="s">
        <v>26</v>
      </c>
      <c r="I880" s="119"/>
      <c r="J880" s="418" t="str">
        <f t="shared" si="462"/>
        <v>rumus</v>
      </c>
      <c r="K880" s="116"/>
      <c r="L880" s="116"/>
      <c r="M880" s="116"/>
      <c r="N880" s="2"/>
      <c r="O880" s="2"/>
      <c r="P880" s="2"/>
      <c r="Q880" s="2"/>
      <c r="R880" s="2"/>
      <c r="S880" s="2"/>
      <c r="T880" s="2"/>
      <c r="U880" s="2"/>
      <c r="V880" s="2"/>
      <c r="W880" s="2"/>
      <c r="X880" s="2"/>
      <c r="Y880" s="2"/>
      <c r="Z880" s="2"/>
    </row>
    <row r="881" spans="1:13" ht="15" customHeight="1" x14ac:dyDescent="0.2">
      <c r="A881" s="109"/>
      <c r="B881" s="406" t="str">
        <f>"a. Semester Gasal "&amp;IF(C882&lt;&gt;"",C882,"")&amp;" :"</f>
        <v>a. Semester Gasal 2010/2011 :</v>
      </c>
      <c r="C881" s="415"/>
      <c r="D881" s="415"/>
      <c r="E881" s="415"/>
      <c r="F881" s="415"/>
      <c r="G881" s="415"/>
      <c r="H881" s="416"/>
      <c r="I881" s="116"/>
      <c r="J881" s="116"/>
      <c r="K881" s="116">
        <f>IF(SUM(J879:J880)&gt;=4,4,SUM(J879:J880))</f>
        <v>0</v>
      </c>
      <c r="L881" s="120" t="s">
        <v>802</v>
      </c>
      <c r="M881" s="116"/>
    </row>
    <row r="882" spans="1:13" ht="15.75" customHeight="1" x14ac:dyDescent="0.2">
      <c r="A882" s="109">
        <v>1</v>
      </c>
      <c r="B882" s="397" t="s">
        <v>801</v>
      </c>
      <c r="C882" s="106" t="s">
        <v>385</v>
      </c>
      <c r="D882" s="106" t="str">
        <f t="shared" ref="D882:D883" si="463">IF(G882&lt;&gt;"rumus","Semester","")</f>
        <v/>
      </c>
      <c r="E882" s="398" t="str">
        <f t="shared" ref="E882:E883" si="464">IF(I882&lt;&gt;"",1,"")</f>
        <v/>
      </c>
      <c r="F882" s="398" t="str">
        <f t="shared" ref="F882:F883" si="465">IF(I882&lt;&gt;"",J882,"")</f>
        <v/>
      </c>
      <c r="G882" s="399" t="str">
        <f t="shared" ref="G882:G883" si="466">IF(J882&lt;&gt;"rumus","1 x "&amp;J882&amp;" = "&amp;J882,"rumus")</f>
        <v>rumus</v>
      </c>
      <c r="H882" s="106" t="s">
        <v>764</v>
      </c>
      <c r="I882" s="119"/>
      <c r="J882" s="418" t="str">
        <f t="shared" ref="J882:J883" si="467">IF(I882="Membina kegiatan mahasiswa per semester",2,"rumus")</f>
        <v>rumus</v>
      </c>
      <c r="K882" s="116"/>
      <c r="L882" s="116"/>
      <c r="M882" s="116"/>
    </row>
    <row r="883" spans="1:13" ht="15.75" customHeight="1" x14ac:dyDescent="0.2">
      <c r="A883" s="109">
        <v>2</v>
      </c>
      <c r="B883" s="397" t="s">
        <v>801</v>
      </c>
      <c r="C883" s="106" t="s">
        <v>385</v>
      </c>
      <c r="D883" s="106" t="str">
        <f t="shared" si="463"/>
        <v/>
      </c>
      <c r="E883" s="398" t="str">
        <f t="shared" si="464"/>
        <v/>
      </c>
      <c r="F883" s="398" t="str">
        <f t="shared" si="465"/>
        <v/>
      </c>
      <c r="G883" s="399" t="str">
        <f t="shared" si="466"/>
        <v>rumus</v>
      </c>
      <c r="H883" s="114" t="s">
        <v>26</v>
      </c>
      <c r="I883" s="119"/>
      <c r="J883" s="418" t="str">
        <f t="shared" si="467"/>
        <v>rumus</v>
      </c>
      <c r="K883" s="116"/>
      <c r="L883" s="116"/>
      <c r="M883" s="116"/>
    </row>
    <row r="884" spans="1:13" ht="15" customHeight="1" x14ac:dyDescent="0.2">
      <c r="A884" s="109"/>
      <c r="B884" s="406" t="str">
        <f>"a. Semester Gasal "&amp;IF(C885&lt;&gt;"",C885,"")&amp;" :"</f>
        <v>a. Semester Gasal 2011/2012 :</v>
      </c>
      <c r="C884" s="415"/>
      <c r="D884" s="415"/>
      <c r="E884" s="415"/>
      <c r="F884" s="415"/>
      <c r="G884" s="415"/>
      <c r="H884" s="416"/>
      <c r="I884" s="116"/>
      <c r="J884" s="116"/>
      <c r="K884" s="116">
        <f>IF(SUM(J882:J883)&gt;=4,4,SUM(J882:J883))</f>
        <v>0</v>
      </c>
      <c r="L884" s="120" t="s">
        <v>802</v>
      </c>
      <c r="M884" s="116"/>
    </row>
    <row r="885" spans="1:13" ht="15.75" customHeight="1" x14ac:dyDescent="0.2">
      <c r="A885" s="109">
        <v>1</v>
      </c>
      <c r="B885" s="397" t="s">
        <v>801</v>
      </c>
      <c r="C885" s="106" t="s">
        <v>355</v>
      </c>
      <c r="D885" s="106" t="str">
        <f t="shared" ref="D885:D886" si="468">IF(G885&lt;&gt;"rumus","Semester","")</f>
        <v/>
      </c>
      <c r="E885" s="398" t="str">
        <f t="shared" ref="E885:E886" si="469">IF(I885&lt;&gt;"",1,"")</f>
        <v/>
      </c>
      <c r="F885" s="398" t="str">
        <f t="shared" ref="F885:F886" si="470">IF(I885&lt;&gt;"",J885,"")</f>
        <v/>
      </c>
      <c r="G885" s="399" t="str">
        <f t="shared" ref="G885:G886" si="471">IF(J885&lt;&gt;"rumus","1 x "&amp;J885&amp;" = "&amp;J885,"rumus")</f>
        <v>rumus</v>
      </c>
      <c r="H885" s="106" t="s">
        <v>764</v>
      </c>
      <c r="I885" s="119"/>
      <c r="J885" s="418" t="str">
        <f t="shared" ref="J885:J886" si="472">IF(I885="Membina kegiatan mahasiswa per semester",2,"rumus")</f>
        <v>rumus</v>
      </c>
      <c r="K885" s="116"/>
      <c r="L885" s="116"/>
      <c r="M885" s="116"/>
    </row>
    <row r="886" spans="1:13" ht="15.75" customHeight="1" x14ac:dyDescent="0.2">
      <c r="A886" s="109">
        <v>2</v>
      </c>
      <c r="B886" s="397" t="s">
        <v>801</v>
      </c>
      <c r="C886" s="106" t="s">
        <v>355</v>
      </c>
      <c r="D886" s="106" t="str">
        <f t="shared" si="468"/>
        <v/>
      </c>
      <c r="E886" s="398" t="str">
        <f t="shared" si="469"/>
        <v/>
      </c>
      <c r="F886" s="398" t="str">
        <f t="shared" si="470"/>
        <v/>
      </c>
      <c r="G886" s="399" t="str">
        <f t="shared" si="471"/>
        <v>rumus</v>
      </c>
      <c r="H886" s="114" t="s">
        <v>26</v>
      </c>
      <c r="I886" s="119"/>
      <c r="J886" s="418" t="str">
        <f t="shared" si="472"/>
        <v>rumus</v>
      </c>
      <c r="K886" s="116"/>
      <c r="L886" s="116"/>
      <c r="M886" s="116"/>
    </row>
    <row r="887" spans="1:13" ht="15" customHeight="1" x14ac:dyDescent="0.2">
      <c r="A887" s="109"/>
      <c r="B887" s="406" t="str">
        <f>"a. Semester Gasal "&amp;IF(C888&lt;&gt;"",C888,"")&amp;" :"</f>
        <v>a. Semester Gasal 2012/2013 :</v>
      </c>
      <c r="C887" s="415"/>
      <c r="D887" s="415"/>
      <c r="E887" s="415"/>
      <c r="F887" s="415"/>
      <c r="G887" s="415"/>
      <c r="H887" s="416"/>
      <c r="I887" s="116"/>
      <c r="J887" s="116"/>
      <c r="K887" s="116">
        <f>IF(SUM(J885:J886)&gt;=4,4,SUM(J885:J886))</f>
        <v>0</v>
      </c>
      <c r="L887" s="120" t="s">
        <v>802</v>
      </c>
      <c r="M887" s="116"/>
    </row>
    <row r="888" spans="1:13" ht="15.75" customHeight="1" x14ac:dyDescent="0.2">
      <c r="A888" s="109">
        <v>1</v>
      </c>
      <c r="B888" s="397" t="s">
        <v>801</v>
      </c>
      <c r="C888" s="106" t="s">
        <v>312</v>
      </c>
      <c r="D888" s="106" t="str">
        <f t="shared" ref="D888:D889" si="473">IF(G888&lt;&gt;"rumus","Semester","")</f>
        <v/>
      </c>
      <c r="E888" s="398" t="str">
        <f t="shared" ref="E888:E889" si="474">IF(I888&lt;&gt;"",1,"")</f>
        <v/>
      </c>
      <c r="F888" s="398" t="str">
        <f t="shared" ref="F888:F889" si="475">IF(I888&lt;&gt;"",J888,"")</f>
        <v/>
      </c>
      <c r="G888" s="399" t="str">
        <f t="shared" ref="G888:G889" si="476">IF(J888&lt;&gt;"rumus","1 x "&amp;J888&amp;" = "&amp;J888,"rumus")</f>
        <v>rumus</v>
      </c>
      <c r="H888" s="106" t="s">
        <v>764</v>
      </c>
      <c r="I888" s="119"/>
      <c r="J888" s="418" t="str">
        <f t="shared" ref="J888:J889" si="477">IF(I888="Membina kegiatan mahasiswa per semester",2,"rumus")</f>
        <v>rumus</v>
      </c>
      <c r="K888" s="116"/>
      <c r="L888" s="116"/>
      <c r="M888" s="116"/>
    </row>
    <row r="889" spans="1:13" ht="15.75" customHeight="1" x14ac:dyDescent="0.2">
      <c r="A889" s="109">
        <v>2</v>
      </c>
      <c r="B889" s="397" t="s">
        <v>801</v>
      </c>
      <c r="C889" s="106" t="s">
        <v>312</v>
      </c>
      <c r="D889" s="106" t="str">
        <f t="shared" si="473"/>
        <v/>
      </c>
      <c r="E889" s="398" t="str">
        <f t="shared" si="474"/>
        <v/>
      </c>
      <c r="F889" s="398" t="str">
        <f t="shared" si="475"/>
        <v/>
      </c>
      <c r="G889" s="399" t="str">
        <f t="shared" si="476"/>
        <v>rumus</v>
      </c>
      <c r="H889" s="114" t="s">
        <v>26</v>
      </c>
      <c r="I889" s="119"/>
      <c r="J889" s="418" t="str">
        <f t="shared" si="477"/>
        <v>rumus</v>
      </c>
      <c r="K889" s="116"/>
      <c r="L889" s="116"/>
      <c r="M889" s="116"/>
    </row>
    <row r="890" spans="1:13" ht="15" customHeight="1" x14ac:dyDescent="0.2">
      <c r="A890" s="109"/>
      <c r="B890" s="406" t="str">
        <f>"a. Semester Gasal "&amp;IF(C891&lt;&gt;"",C891,"")&amp;" :"</f>
        <v>a. Semester Gasal 2013/2014 :</v>
      </c>
      <c r="C890" s="415"/>
      <c r="D890" s="415"/>
      <c r="E890" s="415"/>
      <c r="F890" s="415"/>
      <c r="G890" s="415"/>
      <c r="H890" s="416"/>
      <c r="I890" s="116"/>
      <c r="J890" s="116"/>
      <c r="K890" s="116">
        <f>IF(SUM(J888:J889)&gt;=4,4,SUM(J888:J889))</f>
        <v>0</v>
      </c>
      <c r="L890" s="120" t="s">
        <v>802</v>
      </c>
      <c r="M890" s="116"/>
    </row>
    <row r="891" spans="1:13" ht="15.75" customHeight="1" x14ac:dyDescent="0.2">
      <c r="A891" s="109">
        <v>1</v>
      </c>
      <c r="B891" s="397" t="s">
        <v>801</v>
      </c>
      <c r="C891" s="106" t="s">
        <v>317</v>
      </c>
      <c r="D891" s="106" t="str">
        <f t="shared" ref="D891:D892" si="478">IF(G891&lt;&gt;"rumus","Semester","")</f>
        <v/>
      </c>
      <c r="E891" s="398" t="str">
        <f t="shared" ref="E891:E892" si="479">IF(I891&lt;&gt;"",1,"")</f>
        <v/>
      </c>
      <c r="F891" s="398" t="str">
        <f t="shared" ref="F891:F892" si="480">IF(I891&lt;&gt;"",J891,"")</f>
        <v/>
      </c>
      <c r="G891" s="399" t="str">
        <f t="shared" ref="G891:G892" si="481">IF(J891&lt;&gt;"rumus","1 x "&amp;J891&amp;" = "&amp;J891,"rumus")</f>
        <v>rumus</v>
      </c>
      <c r="H891" s="106" t="s">
        <v>764</v>
      </c>
      <c r="I891" s="119"/>
      <c r="J891" s="418" t="str">
        <f t="shared" ref="J891:J892" si="482">IF(I891="Membina kegiatan mahasiswa per semester",2,"rumus")</f>
        <v>rumus</v>
      </c>
      <c r="K891" s="116"/>
      <c r="L891" s="116"/>
      <c r="M891" s="116"/>
    </row>
    <row r="892" spans="1:13" ht="15.75" customHeight="1" x14ac:dyDescent="0.2">
      <c r="A892" s="109">
        <v>2</v>
      </c>
      <c r="B892" s="397" t="s">
        <v>801</v>
      </c>
      <c r="C892" s="106" t="s">
        <v>317</v>
      </c>
      <c r="D892" s="106" t="str">
        <f t="shared" si="478"/>
        <v/>
      </c>
      <c r="E892" s="398" t="str">
        <f t="shared" si="479"/>
        <v/>
      </c>
      <c r="F892" s="398" t="str">
        <f t="shared" si="480"/>
        <v/>
      </c>
      <c r="G892" s="399" t="str">
        <f t="shared" si="481"/>
        <v>rumus</v>
      </c>
      <c r="H892" s="114" t="s">
        <v>26</v>
      </c>
      <c r="I892" s="119"/>
      <c r="J892" s="418" t="str">
        <f t="shared" si="482"/>
        <v>rumus</v>
      </c>
      <c r="K892" s="116"/>
      <c r="L892" s="116"/>
      <c r="M892" s="116"/>
    </row>
    <row r="893" spans="1:13" ht="15" customHeight="1" x14ac:dyDescent="0.2">
      <c r="A893" s="109"/>
      <c r="B893" s="406" t="str">
        <f>"a. Semester Gasal "&amp;IF(C894&lt;&gt;"",C894,"")&amp;" :"</f>
        <v>a. Semester Gasal 2014/2015 :</v>
      </c>
      <c r="C893" s="415"/>
      <c r="D893" s="415"/>
      <c r="E893" s="415"/>
      <c r="F893" s="415"/>
      <c r="G893" s="415"/>
      <c r="H893" s="416"/>
      <c r="I893" s="116"/>
      <c r="J893" s="116"/>
      <c r="K893" s="116">
        <f>IF(SUM(J891:J892)&gt;=4,4,SUM(J891:J892))</f>
        <v>0</v>
      </c>
      <c r="L893" s="120" t="s">
        <v>802</v>
      </c>
      <c r="M893" s="116"/>
    </row>
    <row r="894" spans="1:13" ht="15.75" customHeight="1" x14ac:dyDescent="0.2">
      <c r="A894" s="109">
        <v>1</v>
      </c>
      <c r="B894" s="397" t="s">
        <v>801</v>
      </c>
      <c r="C894" s="106" t="s">
        <v>319</v>
      </c>
      <c r="D894" s="106" t="str">
        <f t="shared" ref="D894:D895" si="483">IF(G894&lt;&gt;"rumus","Semester","")</f>
        <v/>
      </c>
      <c r="E894" s="398" t="str">
        <f t="shared" ref="E894:E895" si="484">IF(I894&lt;&gt;"",1,"")</f>
        <v/>
      </c>
      <c r="F894" s="398" t="str">
        <f t="shared" ref="F894:F895" si="485">IF(I894&lt;&gt;"",J894,"")</f>
        <v/>
      </c>
      <c r="G894" s="399" t="str">
        <f t="shared" ref="G894:G895" si="486">IF(J894&lt;&gt;"rumus","1 x "&amp;J894&amp;" = "&amp;J894,"rumus")</f>
        <v>rumus</v>
      </c>
      <c r="H894" s="106" t="s">
        <v>764</v>
      </c>
      <c r="I894" s="119"/>
      <c r="J894" s="418" t="str">
        <f t="shared" ref="J894:J895" si="487">IF(I894="Membina kegiatan mahasiswa per semester",2,"rumus")</f>
        <v>rumus</v>
      </c>
      <c r="K894" s="116"/>
      <c r="L894" s="116"/>
      <c r="M894" s="116"/>
    </row>
    <row r="895" spans="1:13" ht="15.75" customHeight="1" x14ac:dyDescent="0.2">
      <c r="A895" s="109">
        <v>2</v>
      </c>
      <c r="B895" s="397" t="s">
        <v>801</v>
      </c>
      <c r="C895" s="106" t="s">
        <v>319</v>
      </c>
      <c r="D895" s="106" t="str">
        <f t="shared" si="483"/>
        <v/>
      </c>
      <c r="E895" s="398" t="str">
        <f t="shared" si="484"/>
        <v/>
      </c>
      <c r="F895" s="398" t="str">
        <f t="shared" si="485"/>
        <v/>
      </c>
      <c r="G895" s="399" t="str">
        <f t="shared" si="486"/>
        <v>rumus</v>
      </c>
      <c r="H895" s="114" t="s">
        <v>26</v>
      </c>
      <c r="I895" s="119"/>
      <c r="J895" s="418" t="str">
        <f t="shared" si="487"/>
        <v>rumus</v>
      </c>
      <c r="K895" s="116"/>
      <c r="L895" s="116"/>
      <c r="M895" s="116"/>
    </row>
    <row r="896" spans="1:13" ht="15" customHeight="1" x14ac:dyDescent="0.2">
      <c r="A896" s="109"/>
      <c r="B896" s="406" t="str">
        <f>"a. Semester Gasal "&amp;IF(C897&lt;&gt;"",C897,"")&amp;" :"</f>
        <v>a. Semester Gasal 2015/2016 :</v>
      </c>
      <c r="C896" s="415"/>
      <c r="D896" s="415"/>
      <c r="E896" s="415"/>
      <c r="F896" s="415"/>
      <c r="G896" s="415"/>
      <c r="H896" s="416"/>
      <c r="I896" s="116"/>
      <c r="J896" s="116"/>
      <c r="K896" s="116">
        <f>IF(SUM(J894:J895)&gt;=4,4,SUM(J894:J895))</f>
        <v>0</v>
      </c>
      <c r="L896" s="120" t="s">
        <v>802</v>
      </c>
      <c r="M896" s="116"/>
    </row>
    <row r="897" spans="1:26" ht="15.75" customHeight="1" x14ac:dyDescent="0.2">
      <c r="A897" s="109">
        <v>1</v>
      </c>
      <c r="B897" s="397" t="s">
        <v>801</v>
      </c>
      <c r="C897" s="106" t="s">
        <v>321</v>
      </c>
      <c r="D897" s="106" t="str">
        <f t="shared" ref="D897:D898" si="488">IF(G897&lt;&gt;"rumus","Semester","")</f>
        <v/>
      </c>
      <c r="E897" s="398" t="str">
        <f t="shared" ref="E897:E898" si="489">IF(I897&lt;&gt;"",1,"")</f>
        <v/>
      </c>
      <c r="F897" s="398" t="str">
        <f t="shared" ref="F897:F898" si="490">IF(I897&lt;&gt;"",J897,"")</f>
        <v/>
      </c>
      <c r="G897" s="399" t="str">
        <f t="shared" ref="G897:G898" si="491">IF(J897&lt;&gt;"rumus","1 x "&amp;J897&amp;" = "&amp;J897,"rumus")</f>
        <v>rumus</v>
      </c>
      <c r="H897" s="106" t="s">
        <v>764</v>
      </c>
      <c r="I897" s="119"/>
      <c r="J897" s="418" t="str">
        <f t="shared" ref="J897:J898" si="492">IF(I897="Membina kegiatan mahasiswa per semester",2,"rumus")</f>
        <v>rumus</v>
      </c>
      <c r="K897" s="116"/>
      <c r="L897" s="116"/>
      <c r="M897" s="116"/>
    </row>
    <row r="898" spans="1:26" ht="15.75" customHeight="1" x14ac:dyDescent="0.2">
      <c r="A898" s="109">
        <v>2</v>
      </c>
      <c r="B898" s="397" t="s">
        <v>801</v>
      </c>
      <c r="C898" s="106" t="s">
        <v>321</v>
      </c>
      <c r="D898" s="106" t="str">
        <f t="shared" si="488"/>
        <v/>
      </c>
      <c r="E898" s="398" t="str">
        <f t="shared" si="489"/>
        <v/>
      </c>
      <c r="F898" s="398" t="str">
        <f t="shared" si="490"/>
        <v/>
      </c>
      <c r="G898" s="399" t="str">
        <f t="shared" si="491"/>
        <v>rumus</v>
      </c>
      <c r="H898" s="114" t="s">
        <v>26</v>
      </c>
      <c r="I898" s="119"/>
      <c r="J898" s="418" t="str">
        <f t="shared" si="492"/>
        <v>rumus</v>
      </c>
      <c r="K898" s="116"/>
      <c r="L898" s="116"/>
      <c r="M898" s="116"/>
    </row>
    <row r="899" spans="1:26" ht="15" customHeight="1" x14ac:dyDescent="0.2">
      <c r="A899" s="124"/>
      <c r="B899" s="406" t="str">
        <f>"a. Semester Genap "&amp;IF(C900&lt;&gt;"",C900,"")&amp;" :"</f>
        <v>a. Semester Genap 2004/2005 :</v>
      </c>
      <c r="C899" s="407"/>
      <c r="D899" s="407"/>
      <c r="E899" s="407"/>
      <c r="F899" s="407"/>
      <c r="G899" s="407"/>
      <c r="H899" s="408"/>
      <c r="I899" s="116"/>
      <c r="J899" s="116"/>
      <c r="K899" s="116">
        <f>IF(SUM(J897:J898)&gt;=4,4,SUM(J897:J898))</f>
        <v>0</v>
      </c>
      <c r="L899" s="120" t="s">
        <v>802</v>
      </c>
      <c r="M899" s="116"/>
    </row>
    <row r="900" spans="1:26" ht="15.75" customHeight="1" x14ac:dyDescent="0.2">
      <c r="A900" s="109">
        <v>1</v>
      </c>
      <c r="B900" s="397" t="s">
        <v>801</v>
      </c>
      <c r="C900" s="106" t="s">
        <v>705</v>
      </c>
      <c r="D900" s="106" t="str">
        <f t="shared" ref="D900:D901" si="493">IF(G900&lt;&gt;"rumus","Semester","")</f>
        <v/>
      </c>
      <c r="E900" s="398" t="str">
        <f t="shared" ref="E900:E901" si="494">IF(I900&lt;&gt;"",1,"")</f>
        <v/>
      </c>
      <c r="F900" s="398" t="str">
        <f t="shared" ref="F900:F901" si="495">IF(I900&lt;&gt;"",J900,"")</f>
        <v/>
      </c>
      <c r="G900" s="399" t="str">
        <f t="shared" ref="G900:G901" si="496">IF(J900&lt;&gt;"rumus","1 x "&amp;J900&amp;" = "&amp;J900,"rumus")</f>
        <v>rumus</v>
      </c>
      <c r="H900" s="106" t="s">
        <v>764</v>
      </c>
      <c r="I900" s="119"/>
      <c r="J900" s="418" t="str">
        <f t="shared" ref="J900:J901" si="497">IF(I900="Membina kegiatan mahasiswa per semester",2,"rumus")</f>
        <v>rumus</v>
      </c>
      <c r="K900" s="116"/>
      <c r="L900" s="116"/>
      <c r="M900" s="116"/>
    </row>
    <row r="901" spans="1:26" ht="15.75" customHeight="1" x14ac:dyDescent="0.2">
      <c r="A901" s="109">
        <v>2</v>
      </c>
      <c r="B901" s="397" t="s">
        <v>801</v>
      </c>
      <c r="C901" s="106" t="s">
        <v>705</v>
      </c>
      <c r="D901" s="106" t="str">
        <f t="shared" si="493"/>
        <v/>
      </c>
      <c r="E901" s="398" t="str">
        <f t="shared" si="494"/>
        <v/>
      </c>
      <c r="F901" s="398" t="str">
        <f t="shared" si="495"/>
        <v/>
      </c>
      <c r="G901" s="399" t="str">
        <f t="shared" si="496"/>
        <v>rumus</v>
      </c>
      <c r="H901" s="114" t="s">
        <v>26</v>
      </c>
      <c r="I901" s="119"/>
      <c r="J901" s="418" t="str">
        <f t="shared" si="497"/>
        <v>rumus</v>
      </c>
      <c r="K901" s="116"/>
      <c r="L901" s="116"/>
      <c r="M901" s="116"/>
    </row>
    <row r="902" spans="1:26" ht="15" customHeight="1" x14ac:dyDescent="0.2">
      <c r="A902" s="109"/>
      <c r="B902" s="406" t="str">
        <f>"a. Semester Genap "&amp;IF(C903&lt;&gt;"",C903,"")&amp;" :"</f>
        <v>a. Semester Genap 2005/2006 :</v>
      </c>
      <c r="C902" s="415"/>
      <c r="D902" s="415"/>
      <c r="E902" s="415"/>
      <c r="F902" s="415"/>
      <c r="G902" s="415"/>
      <c r="H902" s="416"/>
      <c r="I902" s="116"/>
      <c r="J902" s="116"/>
      <c r="K902" s="116">
        <f>IF(SUM(J900:J901)&gt;=4,4,SUM(J900:J901))</f>
        <v>0</v>
      </c>
      <c r="L902" s="120" t="s">
        <v>802</v>
      </c>
      <c r="M902" s="116"/>
    </row>
    <row r="903" spans="1:26" ht="15.75" customHeight="1" x14ac:dyDescent="0.2">
      <c r="A903" s="109">
        <v>1</v>
      </c>
      <c r="B903" s="397" t="s">
        <v>801</v>
      </c>
      <c r="C903" s="106" t="s">
        <v>803</v>
      </c>
      <c r="D903" s="106" t="str">
        <f t="shared" ref="D903:D904" si="498">IF(G903&lt;&gt;"rumus","Semester","")</f>
        <v/>
      </c>
      <c r="E903" s="398" t="str">
        <f t="shared" ref="E903:E904" si="499">IF(I903&lt;&gt;"",1,"")</f>
        <v/>
      </c>
      <c r="F903" s="398" t="str">
        <f t="shared" ref="F903:F904" si="500">IF(I903&lt;&gt;"",J903,"")</f>
        <v/>
      </c>
      <c r="G903" s="399" t="str">
        <f t="shared" ref="G903:G904" si="501">IF(J903&lt;&gt;"rumus","1 x "&amp;J903&amp;" = "&amp;J903,"rumus")</f>
        <v>rumus</v>
      </c>
      <c r="H903" s="106" t="s">
        <v>764</v>
      </c>
      <c r="I903" s="119"/>
      <c r="J903" s="418" t="str">
        <f t="shared" ref="J903:J904" si="502">IF(I903="Membina kegiatan mahasiswa per semester",2,"rumus")</f>
        <v>rumus</v>
      </c>
      <c r="K903" s="116"/>
      <c r="L903" s="116"/>
      <c r="M903" s="116"/>
    </row>
    <row r="904" spans="1:26" ht="15.75" customHeight="1" x14ac:dyDescent="0.2">
      <c r="A904" s="109">
        <v>2</v>
      </c>
      <c r="B904" s="397" t="s">
        <v>801</v>
      </c>
      <c r="C904" s="106" t="s">
        <v>803</v>
      </c>
      <c r="D904" s="106" t="str">
        <f t="shared" si="498"/>
        <v/>
      </c>
      <c r="E904" s="398" t="str">
        <f t="shared" si="499"/>
        <v/>
      </c>
      <c r="F904" s="398" t="str">
        <f t="shared" si="500"/>
        <v/>
      </c>
      <c r="G904" s="399" t="str">
        <f t="shared" si="501"/>
        <v>rumus</v>
      </c>
      <c r="H904" s="114" t="s">
        <v>26</v>
      </c>
      <c r="I904" s="119"/>
      <c r="J904" s="418" t="str">
        <f t="shared" si="502"/>
        <v>rumus</v>
      </c>
      <c r="K904" s="116"/>
      <c r="L904" s="116"/>
      <c r="M904" s="116"/>
    </row>
    <row r="905" spans="1:26" ht="15" customHeight="1" x14ac:dyDescent="0.2">
      <c r="A905" s="109"/>
      <c r="B905" s="406" t="str">
        <f>"a. Semester Genap "&amp;IF(C906&lt;&gt;"",C906,"")&amp;" :"</f>
        <v>a. Semester Genap 2006/2007 :</v>
      </c>
      <c r="C905" s="415"/>
      <c r="D905" s="415"/>
      <c r="E905" s="415"/>
      <c r="F905" s="415"/>
      <c r="G905" s="415"/>
      <c r="H905" s="416"/>
      <c r="I905" s="116"/>
      <c r="J905" s="116"/>
      <c r="K905" s="116">
        <f>IF(SUM(J903:J904)&gt;=4,4,SUM(J903:J904))</f>
        <v>0</v>
      </c>
      <c r="L905" s="120" t="s">
        <v>802</v>
      </c>
      <c r="M905" s="116"/>
    </row>
    <row r="906" spans="1:26" ht="15.75" customHeight="1" x14ac:dyDescent="0.25">
      <c r="A906" s="109">
        <v>1</v>
      </c>
      <c r="B906" s="397" t="s">
        <v>801</v>
      </c>
      <c r="C906" s="106" t="s">
        <v>804</v>
      </c>
      <c r="D906" s="106" t="str">
        <f t="shared" ref="D906:D907" si="503">IF(G906&lt;&gt;"rumus","Semester","")</f>
        <v/>
      </c>
      <c r="E906" s="398" t="str">
        <f t="shared" ref="E906:E907" si="504">IF(I906&lt;&gt;"",1,"")</f>
        <v/>
      </c>
      <c r="F906" s="398" t="str">
        <f t="shared" ref="F906:F907" si="505">IF(I906&lt;&gt;"",J906,"")</f>
        <v/>
      </c>
      <c r="G906" s="399" t="str">
        <f t="shared" ref="G906:G907" si="506">IF(J906&lt;&gt;"rumus","1 x "&amp;J906&amp;" = "&amp;J906,"rumus")</f>
        <v>rumus</v>
      </c>
      <c r="H906" s="106" t="s">
        <v>764</v>
      </c>
      <c r="I906" s="119"/>
      <c r="J906" s="418" t="str">
        <f t="shared" ref="J906:J907" si="507">IF(I906="Membina kegiatan mahasiswa per semester",2,"rumus")</f>
        <v>rumus</v>
      </c>
      <c r="K906" s="116"/>
      <c r="L906" s="116"/>
      <c r="M906" s="116"/>
      <c r="N906" s="2"/>
      <c r="O906" s="2"/>
      <c r="P906" s="2"/>
      <c r="Q906" s="2"/>
      <c r="R906" s="2"/>
      <c r="S906" s="2"/>
      <c r="T906" s="2"/>
      <c r="U906" s="2"/>
      <c r="V906" s="2"/>
      <c r="W906" s="2"/>
      <c r="X906" s="2"/>
      <c r="Y906" s="2"/>
      <c r="Z906" s="2"/>
    </row>
    <row r="907" spans="1:26" ht="15.75" customHeight="1" x14ac:dyDescent="0.25">
      <c r="A907" s="109">
        <v>2</v>
      </c>
      <c r="B907" s="397" t="s">
        <v>801</v>
      </c>
      <c r="C907" s="106" t="s">
        <v>804</v>
      </c>
      <c r="D907" s="106" t="str">
        <f t="shared" si="503"/>
        <v/>
      </c>
      <c r="E907" s="398" t="str">
        <f t="shared" si="504"/>
        <v/>
      </c>
      <c r="F907" s="398" t="str">
        <f t="shared" si="505"/>
        <v/>
      </c>
      <c r="G907" s="399" t="str">
        <f t="shared" si="506"/>
        <v>rumus</v>
      </c>
      <c r="H907" s="114" t="s">
        <v>26</v>
      </c>
      <c r="I907" s="119"/>
      <c r="J907" s="418" t="str">
        <f t="shared" si="507"/>
        <v>rumus</v>
      </c>
      <c r="K907" s="116"/>
      <c r="L907" s="116"/>
      <c r="M907" s="116"/>
      <c r="N907" s="2"/>
      <c r="O907" s="2"/>
      <c r="P907" s="2"/>
      <c r="Q907" s="2"/>
      <c r="R907" s="2"/>
      <c r="S907" s="2"/>
      <c r="T907" s="2"/>
      <c r="U907" s="2"/>
      <c r="V907" s="2"/>
      <c r="W907" s="2"/>
      <c r="X907" s="2"/>
      <c r="Y907" s="2"/>
      <c r="Z907" s="2"/>
    </row>
    <row r="908" spans="1:26" ht="15" customHeight="1" x14ac:dyDescent="0.2">
      <c r="A908" s="109"/>
      <c r="B908" s="406" t="str">
        <f>"a. Semester Genap "&amp;IF(C909&lt;&gt;"",C909,"")&amp;" :"</f>
        <v>a. Semester Genap 2007/2008 :</v>
      </c>
      <c r="C908" s="415"/>
      <c r="D908" s="415"/>
      <c r="E908" s="415"/>
      <c r="F908" s="415"/>
      <c r="G908" s="415"/>
      <c r="H908" s="416"/>
      <c r="I908" s="116"/>
      <c r="J908" s="116"/>
      <c r="K908" s="116">
        <f>IF(SUM(J906:J907)&gt;=4,4,SUM(J906:J907))</f>
        <v>0</v>
      </c>
      <c r="L908" s="120" t="s">
        <v>802</v>
      </c>
      <c r="M908" s="116"/>
    </row>
    <row r="909" spans="1:26" ht="15.75" customHeight="1" x14ac:dyDescent="0.2">
      <c r="A909" s="109">
        <v>1</v>
      </c>
      <c r="B909" s="397" t="s">
        <v>801</v>
      </c>
      <c r="C909" s="106" t="s">
        <v>382</v>
      </c>
      <c r="D909" s="106" t="str">
        <f t="shared" ref="D909:D910" si="508">IF(G909&lt;&gt;"rumus","Semester","")</f>
        <v/>
      </c>
      <c r="E909" s="398" t="str">
        <f t="shared" ref="E909:E910" si="509">IF(I909&lt;&gt;"",1,"")</f>
        <v/>
      </c>
      <c r="F909" s="398" t="str">
        <f t="shared" ref="F909:F910" si="510">IF(I909&lt;&gt;"",J909,"")</f>
        <v/>
      </c>
      <c r="G909" s="399" t="str">
        <f t="shared" ref="G909:G910" si="511">IF(J909&lt;&gt;"rumus","1 x "&amp;J909&amp;" = "&amp;J909,"rumus")</f>
        <v>rumus</v>
      </c>
      <c r="H909" s="106" t="s">
        <v>764</v>
      </c>
      <c r="I909" s="119"/>
      <c r="J909" s="418" t="str">
        <f t="shared" ref="J909:J910" si="512">IF(I909="Membina kegiatan mahasiswa per semester",2,"rumus")</f>
        <v>rumus</v>
      </c>
      <c r="K909" s="116"/>
      <c r="L909" s="116"/>
      <c r="M909" s="116"/>
    </row>
    <row r="910" spans="1:26" ht="15.75" customHeight="1" x14ac:dyDescent="0.2">
      <c r="A910" s="109">
        <v>2</v>
      </c>
      <c r="B910" s="397" t="s">
        <v>801</v>
      </c>
      <c r="C910" s="106" t="s">
        <v>382</v>
      </c>
      <c r="D910" s="106" t="str">
        <f t="shared" si="508"/>
        <v/>
      </c>
      <c r="E910" s="398" t="str">
        <f t="shared" si="509"/>
        <v/>
      </c>
      <c r="F910" s="398" t="str">
        <f t="shared" si="510"/>
        <v/>
      </c>
      <c r="G910" s="399" t="str">
        <f t="shared" si="511"/>
        <v>rumus</v>
      </c>
      <c r="H910" s="114" t="s">
        <v>26</v>
      </c>
      <c r="I910" s="119"/>
      <c r="J910" s="418" t="str">
        <f t="shared" si="512"/>
        <v>rumus</v>
      </c>
      <c r="K910" s="116"/>
      <c r="L910" s="116"/>
      <c r="M910" s="116"/>
    </row>
    <row r="911" spans="1:26" ht="15" customHeight="1" x14ac:dyDescent="0.2">
      <c r="A911" s="109"/>
      <c r="B911" s="406" t="str">
        <f>"a. Semester Genap "&amp;IF(C912&lt;&gt;"",C912,"")&amp;" :"</f>
        <v>a. Semester Genap 2008/2009 :</v>
      </c>
      <c r="C911" s="415"/>
      <c r="D911" s="415"/>
      <c r="E911" s="415"/>
      <c r="F911" s="415"/>
      <c r="G911" s="415"/>
      <c r="H911" s="416"/>
      <c r="I911" s="116"/>
      <c r="J911" s="116"/>
      <c r="K911" s="116">
        <f>IF(SUM(J909:J910)&gt;=4,4,SUM(J909:J910))</f>
        <v>0</v>
      </c>
      <c r="L911" s="120" t="s">
        <v>802</v>
      </c>
      <c r="M911" s="116"/>
    </row>
    <row r="912" spans="1:26" ht="15.75" customHeight="1" x14ac:dyDescent="0.25">
      <c r="A912" s="109">
        <v>1</v>
      </c>
      <c r="B912" s="397" t="s">
        <v>801</v>
      </c>
      <c r="C912" s="106" t="s">
        <v>383</v>
      </c>
      <c r="D912" s="106" t="str">
        <f t="shared" ref="D912:D913" si="513">IF(G912&lt;&gt;"rumus","Semester","")</f>
        <v/>
      </c>
      <c r="E912" s="398" t="str">
        <f t="shared" ref="E912:E913" si="514">IF(I912&lt;&gt;"",1,"")</f>
        <v/>
      </c>
      <c r="F912" s="398" t="str">
        <f t="shared" ref="F912:F913" si="515">IF(I912&lt;&gt;"",J912,"")</f>
        <v/>
      </c>
      <c r="G912" s="399" t="str">
        <f t="shared" ref="G912:G913" si="516">IF(J912&lt;&gt;"rumus","1 x "&amp;J912&amp;" = "&amp;J912,"rumus")</f>
        <v>rumus</v>
      </c>
      <c r="H912" s="106" t="s">
        <v>764</v>
      </c>
      <c r="I912" s="119"/>
      <c r="J912" s="418" t="str">
        <f t="shared" ref="J912:J913" si="517">IF(I912="Membina kegiatan mahasiswa per semester",2,"rumus")</f>
        <v>rumus</v>
      </c>
      <c r="K912" s="116"/>
      <c r="L912" s="116"/>
      <c r="M912" s="116"/>
      <c r="N912" s="2"/>
      <c r="O912" s="2"/>
      <c r="P912" s="2"/>
      <c r="Q912" s="2"/>
      <c r="R912" s="2"/>
      <c r="S912" s="2"/>
      <c r="T912" s="2"/>
      <c r="U912" s="2"/>
      <c r="V912" s="2"/>
      <c r="W912" s="2"/>
      <c r="X912" s="2"/>
      <c r="Y912" s="2"/>
      <c r="Z912" s="2"/>
    </row>
    <row r="913" spans="1:26" ht="15.75" customHeight="1" x14ac:dyDescent="0.25">
      <c r="A913" s="109">
        <v>2</v>
      </c>
      <c r="B913" s="397" t="s">
        <v>801</v>
      </c>
      <c r="C913" s="106" t="s">
        <v>383</v>
      </c>
      <c r="D913" s="106" t="str">
        <f t="shared" si="513"/>
        <v/>
      </c>
      <c r="E913" s="398" t="str">
        <f t="shared" si="514"/>
        <v/>
      </c>
      <c r="F913" s="398" t="str">
        <f t="shared" si="515"/>
        <v/>
      </c>
      <c r="G913" s="399" t="str">
        <f t="shared" si="516"/>
        <v>rumus</v>
      </c>
      <c r="H913" s="114" t="s">
        <v>26</v>
      </c>
      <c r="I913" s="119"/>
      <c r="J913" s="418" t="str">
        <f t="shared" si="517"/>
        <v>rumus</v>
      </c>
      <c r="K913" s="116"/>
      <c r="L913" s="116"/>
      <c r="M913" s="116"/>
      <c r="N913" s="2"/>
      <c r="O913" s="2"/>
      <c r="P913" s="2"/>
      <c r="Q913" s="2"/>
      <c r="R913" s="2"/>
      <c r="S913" s="2"/>
      <c r="T913" s="2"/>
      <c r="U913" s="2"/>
      <c r="V913" s="2"/>
      <c r="W913" s="2"/>
      <c r="X913" s="2"/>
      <c r="Y913" s="2"/>
      <c r="Z913" s="2"/>
    </row>
    <row r="914" spans="1:26" ht="15" customHeight="1" x14ac:dyDescent="0.2">
      <c r="A914" s="109"/>
      <c r="B914" s="406" t="str">
        <f>"a. Semester Genap "&amp;IF(C915&lt;&gt;"",C915,"")&amp;" :"</f>
        <v>a. Semester Genap 2009/2010 :</v>
      </c>
      <c r="C914" s="415"/>
      <c r="D914" s="415"/>
      <c r="E914" s="415"/>
      <c r="F914" s="415"/>
      <c r="G914" s="415"/>
      <c r="H914" s="416"/>
      <c r="I914" s="116"/>
      <c r="J914" s="116"/>
      <c r="K914" s="116">
        <f>IF(SUM(J912:J913)&gt;=4,4,SUM(J912:J913))</f>
        <v>0</v>
      </c>
      <c r="L914" s="120" t="s">
        <v>802</v>
      </c>
      <c r="M914" s="116"/>
    </row>
    <row r="915" spans="1:26" ht="15.75" customHeight="1" x14ac:dyDescent="0.25">
      <c r="A915" s="109">
        <v>1</v>
      </c>
      <c r="B915" s="397" t="s">
        <v>801</v>
      </c>
      <c r="C915" s="106" t="s">
        <v>384</v>
      </c>
      <c r="D915" s="106" t="str">
        <f t="shared" ref="D915:D916" si="518">IF(G915&lt;&gt;"rumus","Semester","")</f>
        <v/>
      </c>
      <c r="E915" s="398" t="str">
        <f t="shared" ref="E915:E916" si="519">IF(I915&lt;&gt;"",1,"")</f>
        <v/>
      </c>
      <c r="F915" s="398" t="str">
        <f t="shared" ref="F915:F916" si="520">IF(I915&lt;&gt;"",J915,"")</f>
        <v/>
      </c>
      <c r="G915" s="399" t="str">
        <f t="shared" ref="G915:G916" si="521">IF(J915&lt;&gt;"rumus","1 x "&amp;J915&amp;" = "&amp;J915,"rumus")</f>
        <v>rumus</v>
      </c>
      <c r="H915" s="106" t="s">
        <v>764</v>
      </c>
      <c r="I915" s="119"/>
      <c r="J915" s="418" t="str">
        <f t="shared" ref="J915:J916" si="522">IF(I915="Membina kegiatan mahasiswa per semester",2,"rumus")</f>
        <v>rumus</v>
      </c>
      <c r="K915" s="116"/>
      <c r="L915" s="116"/>
      <c r="M915" s="116"/>
      <c r="N915" s="2"/>
      <c r="O915" s="2"/>
      <c r="P915" s="2"/>
      <c r="Q915" s="2"/>
      <c r="R915" s="2"/>
      <c r="S915" s="2"/>
      <c r="T915" s="2"/>
      <c r="U915" s="2"/>
      <c r="V915" s="2"/>
      <c r="W915" s="2"/>
      <c r="X915" s="2"/>
      <c r="Y915" s="2"/>
      <c r="Z915" s="2"/>
    </row>
    <row r="916" spans="1:26" ht="15.75" customHeight="1" x14ac:dyDescent="0.25">
      <c r="A916" s="109">
        <v>2</v>
      </c>
      <c r="B916" s="397" t="s">
        <v>801</v>
      </c>
      <c r="C916" s="106" t="s">
        <v>384</v>
      </c>
      <c r="D916" s="106" t="str">
        <f t="shared" si="518"/>
        <v/>
      </c>
      <c r="E916" s="398" t="str">
        <f t="shared" si="519"/>
        <v/>
      </c>
      <c r="F916" s="398" t="str">
        <f t="shared" si="520"/>
        <v/>
      </c>
      <c r="G916" s="399" t="str">
        <f t="shared" si="521"/>
        <v>rumus</v>
      </c>
      <c r="H916" s="114" t="s">
        <v>26</v>
      </c>
      <c r="I916" s="119"/>
      <c r="J916" s="418" t="str">
        <f t="shared" si="522"/>
        <v>rumus</v>
      </c>
      <c r="K916" s="116"/>
      <c r="L916" s="116"/>
      <c r="M916" s="116"/>
      <c r="N916" s="2"/>
      <c r="O916" s="2"/>
      <c r="P916" s="2"/>
      <c r="Q916" s="2"/>
      <c r="R916" s="2"/>
      <c r="S916" s="2"/>
      <c r="T916" s="2"/>
      <c r="U916" s="2"/>
      <c r="V916" s="2"/>
      <c r="W916" s="2"/>
      <c r="X916" s="2"/>
      <c r="Y916" s="2"/>
      <c r="Z916" s="2"/>
    </row>
    <row r="917" spans="1:26" ht="15" customHeight="1" x14ac:dyDescent="0.2">
      <c r="A917" s="109"/>
      <c r="B917" s="406" t="str">
        <f>"a. Semester Genap "&amp;IF(C918&lt;&gt;"",C918,"")&amp;" :"</f>
        <v>a. Semester Genap 2010/2011 :</v>
      </c>
      <c r="C917" s="415"/>
      <c r="D917" s="415"/>
      <c r="E917" s="415"/>
      <c r="F917" s="415"/>
      <c r="G917" s="415"/>
      <c r="H917" s="416"/>
      <c r="I917" s="116"/>
      <c r="J917" s="116"/>
      <c r="K917" s="116">
        <f>IF(SUM(J915:J916)&gt;=4,4,SUM(J915:J916))</f>
        <v>0</v>
      </c>
      <c r="L917" s="120" t="s">
        <v>802</v>
      </c>
      <c r="M917" s="116"/>
    </row>
    <row r="918" spans="1:26" ht="15.75" customHeight="1" x14ac:dyDescent="0.2">
      <c r="A918" s="109">
        <v>1</v>
      </c>
      <c r="B918" s="397" t="s">
        <v>801</v>
      </c>
      <c r="C918" s="106" t="s">
        <v>385</v>
      </c>
      <c r="D918" s="106" t="str">
        <f t="shared" ref="D918:D919" si="523">IF(G918&lt;&gt;"rumus","Semester","")</f>
        <v/>
      </c>
      <c r="E918" s="398" t="str">
        <f t="shared" ref="E918:E919" si="524">IF(I918&lt;&gt;"",1,"")</f>
        <v/>
      </c>
      <c r="F918" s="398" t="str">
        <f t="shared" ref="F918:F919" si="525">IF(I918&lt;&gt;"",J918,"")</f>
        <v/>
      </c>
      <c r="G918" s="399" t="str">
        <f t="shared" ref="G918:G919" si="526">IF(J918&lt;&gt;"rumus","1 x "&amp;J918&amp;" = "&amp;J918,"rumus")</f>
        <v>rumus</v>
      </c>
      <c r="H918" s="106" t="s">
        <v>764</v>
      </c>
      <c r="I918" s="119"/>
      <c r="J918" s="418" t="str">
        <f t="shared" ref="J918:J919" si="527">IF(I918="Membina kegiatan mahasiswa per semester",2,"rumus")</f>
        <v>rumus</v>
      </c>
      <c r="K918" s="116"/>
      <c r="L918" s="116"/>
      <c r="M918" s="116"/>
    </row>
    <row r="919" spans="1:26" ht="15.75" customHeight="1" x14ac:dyDescent="0.2">
      <c r="A919" s="109">
        <v>2</v>
      </c>
      <c r="B919" s="397" t="s">
        <v>801</v>
      </c>
      <c r="C919" s="106" t="s">
        <v>385</v>
      </c>
      <c r="D919" s="106" t="str">
        <f t="shared" si="523"/>
        <v/>
      </c>
      <c r="E919" s="398" t="str">
        <f t="shared" si="524"/>
        <v/>
      </c>
      <c r="F919" s="398" t="str">
        <f t="shared" si="525"/>
        <v/>
      </c>
      <c r="G919" s="399" t="str">
        <f t="shared" si="526"/>
        <v>rumus</v>
      </c>
      <c r="H919" s="114" t="s">
        <v>26</v>
      </c>
      <c r="I919" s="119"/>
      <c r="J919" s="418" t="str">
        <f t="shared" si="527"/>
        <v>rumus</v>
      </c>
      <c r="K919" s="116"/>
      <c r="L919" s="116"/>
      <c r="M919" s="116"/>
    </row>
    <row r="920" spans="1:26" ht="15" customHeight="1" x14ac:dyDescent="0.2">
      <c r="A920" s="109"/>
      <c r="B920" s="406" t="str">
        <f>"a. Semester Genap "&amp;IF(C921&lt;&gt;"",C921,"")&amp;" :"</f>
        <v>a. Semester Genap 2011/2012 :</v>
      </c>
      <c r="C920" s="415"/>
      <c r="D920" s="415"/>
      <c r="E920" s="415"/>
      <c r="F920" s="415"/>
      <c r="G920" s="415"/>
      <c r="H920" s="416"/>
      <c r="I920" s="116"/>
      <c r="J920" s="116"/>
      <c r="K920" s="116">
        <f>IF(SUM(J918:J919)&gt;=4,4,SUM(J918:J919))</f>
        <v>0</v>
      </c>
      <c r="L920" s="120" t="s">
        <v>802</v>
      </c>
      <c r="M920" s="116"/>
    </row>
    <row r="921" spans="1:26" ht="15.75" customHeight="1" x14ac:dyDescent="0.2">
      <c r="A921" s="109">
        <v>1</v>
      </c>
      <c r="B921" s="397" t="s">
        <v>801</v>
      </c>
      <c r="C921" s="106" t="s">
        <v>355</v>
      </c>
      <c r="D921" s="106" t="str">
        <f t="shared" ref="D921:D922" si="528">IF(G921&lt;&gt;"rumus","Semester","")</f>
        <v/>
      </c>
      <c r="E921" s="398" t="str">
        <f t="shared" ref="E921:E922" si="529">IF(I921&lt;&gt;"",1,"")</f>
        <v/>
      </c>
      <c r="F921" s="398" t="str">
        <f t="shared" ref="F921:F922" si="530">IF(I921&lt;&gt;"",J921,"")</f>
        <v/>
      </c>
      <c r="G921" s="399" t="str">
        <f t="shared" ref="G921:G922" si="531">IF(J921&lt;&gt;"rumus","1 x "&amp;J921&amp;" = "&amp;J921,"rumus")</f>
        <v>rumus</v>
      </c>
      <c r="H921" s="106" t="s">
        <v>764</v>
      </c>
      <c r="I921" s="119"/>
      <c r="J921" s="418" t="str">
        <f t="shared" ref="J921:J922" si="532">IF(I921="Membina kegiatan mahasiswa per semester",2,"rumus")</f>
        <v>rumus</v>
      </c>
      <c r="K921" s="116"/>
      <c r="L921" s="116"/>
      <c r="M921" s="116"/>
    </row>
    <row r="922" spans="1:26" ht="15.75" customHeight="1" x14ac:dyDescent="0.2">
      <c r="A922" s="109">
        <v>2</v>
      </c>
      <c r="B922" s="397" t="s">
        <v>801</v>
      </c>
      <c r="C922" s="106" t="s">
        <v>355</v>
      </c>
      <c r="D922" s="106" t="str">
        <f t="shared" si="528"/>
        <v/>
      </c>
      <c r="E922" s="398" t="str">
        <f t="shared" si="529"/>
        <v/>
      </c>
      <c r="F922" s="398" t="str">
        <f t="shared" si="530"/>
        <v/>
      </c>
      <c r="G922" s="399" t="str">
        <f t="shared" si="531"/>
        <v>rumus</v>
      </c>
      <c r="H922" s="114" t="s">
        <v>26</v>
      </c>
      <c r="I922" s="119"/>
      <c r="J922" s="418" t="str">
        <f t="shared" si="532"/>
        <v>rumus</v>
      </c>
      <c r="K922" s="116"/>
      <c r="L922" s="116"/>
      <c r="M922" s="116"/>
    </row>
    <row r="923" spans="1:26" ht="15" customHeight="1" x14ac:dyDescent="0.2">
      <c r="A923" s="109"/>
      <c r="B923" s="406" t="str">
        <f>"a. Semester Genap "&amp;IF(C924&lt;&gt;"",C924,"")&amp;" :"</f>
        <v>a. Semester Genap 2012/2013 :</v>
      </c>
      <c r="C923" s="415"/>
      <c r="D923" s="415"/>
      <c r="E923" s="415"/>
      <c r="F923" s="415"/>
      <c r="G923" s="415"/>
      <c r="H923" s="416"/>
      <c r="I923" s="116"/>
      <c r="J923" s="116"/>
      <c r="K923" s="116">
        <f>IF(SUM(J921:J922)&gt;=4,4,SUM(J921:J922))</f>
        <v>0</v>
      </c>
      <c r="L923" s="120" t="s">
        <v>802</v>
      </c>
      <c r="M923" s="116"/>
    </row>
    <row r="924" spans="1:26" ht="15.75" customHeight="1" x14ac:dyDescent="0.2">
      <c r="A924" s="109">
        <v>1</v>
      </c>
      <c r="B924" s="397" t="s">
        <v>801</v>
      </c>
      <c r="C924" s="106" t="s">
        <v>312</v>
      </c>
      <c r="D924" s="106" t="str">
        <f t="shared" ref="D924:D925" si="533">IF(G924&lt;&gt;"rumus","Semester","")</f>
        <v/>
      </c>
      <c r="E924" s="398" t="str">
        <f t="shared" ref="E924:E925" si="534">IF(I924&lt;&gt;"",1,"")</f>
        <v/>
      </c>
      <c r="F924" s="398" t="str">
        <f t="shared" ref="F924:F925" si="535">IF(I924&lt;&gt;"",J924,"")</f>
        <v/>
      </c>
      <c r="G924" s="399" t="str">
        <f t="shared" ref="G924:G925" si="536">IF(J924&lt;&gt;"rumus","1 x "&amp;J924&amp;" = "&amp;J924,"rumus")</f>
        <v>rumus</v>
      </c>
      <c r="H924" s="106" t="s">
        <v>764</v>
      </c>
      <c r="I924" s="119"/>
      <c r="J924" s="418" t="str">
        <f t="shared" ref="J924:J925" si="537">IF(I924="Membina kegiatan mahasiswa per semester",2,"rumus")</f>
        <v>rumus</v>
      </c>
      <c r="K924" s="116"/>
      <c r="L924" s="116"/>
      <c r="M924" s="116"/>
    </row>
    <row r="925" spans="1:26" ht="15.75" customHeight="1" x14ac:dyDescent="0.2">
      <c r="A925" s="109">
        <v>2</v>
      </c>
      <c r="B925" s="397" t="s">
        <v>801</v>
      </c>
      <c r="C925" s="106" t="s">
        <v>312</v>
      </c>
      <c r="D925" s="106" t="str">
        <f t="shared" si="533"/>
        <v/>
      </c>
      <c r="E925" s="398" t="str">
        <f t="shared" si="534"/>
        <v/>
      </c>
      <c r="F925" s="398" t="str">
        <f t="shared" si="535"/>
        <v/>
      </c>
      <c r="G925" s="399" t="str">
        <f t="shared" si="536"/>
        <v>rumus</v>
      </c>
      <c r="H925" s="114" t="s">
        <v>26</v>
      </c>
      <c r="I925" s="119"/>
      <c r="J925" s="418" t="str">
        <f t="shared" si="537"/>
        <v>rumus</v>
      </c>
      <c r="K925" s="116"/>
      <c r="L925" s="116"/>
      <c r="M925" s="116"/>
    </row>
    <row r="926" spans="1:26" ht="15" customHeight="1" x14ac:dyDescent="0.2">
      <c r="A926" s="109"/>
      <c r="B926" s="406" t="str">
        <f>"a. Semester Genap "&amp;IF(C927&lt;&gt;"",C927,"")&amp;" :"</f>
        <v>a. Semester Genap 2013/2014 :</v>
      </c>
      <c r="C926" s="415"/>
      <c r="D926" s="415"/>
      <c r="E926" s="415"/>
      <c r="F926" s="415"/>
      <c r="G926" s="415"/>
      <c r="H926" s="416"/>
      <c r="I926" s="116"/>
      <c r="J926" s="116"/>
      <c r="K926" s="116">
        <f>IF(SUM(J924:J925)&gt;=4,4,SUM(J924:J925))</f>
        <v>0</v>
      </c>
      <c r="L926" s="120" t="s">
        <v>802</v>
      </c>
      <c r="M926" s="116"/>
    </row>
    <row r="927" spans="1:26" ht="15.75" customHeight="1" x14ac:dyDescent="0.2">
      <c r="A927" s="109">
        <v>1</v>
      </c>
      <c r="B927" s="397" t="s">
        <v>801</v>
      </c>
      <c r="C927" s="106" t="s">
        <v>317</v>
      </c>
      <c r="D927" s="106" t="str">
        <f t="shared" ref="D927:D928" si="538">IF(G927&lt;&gt;"rumus","Semester","")</f>
        <v/>
      </c>
      <c r="E927" s="398" t="str">
        <f t="shared" ref="E927:E928" si="539">IF(I927&lt;&gt;"",1,"")</f>
        <v/>
      </c>
      <c r="F927" s="398" t="str">
        <f t="shared" ref="F927:F928" si="540">IF(I927&lt;&gt;"",J927,"")</f>
        <v/>
      </c>
      <c r="G927" s="399" t="str">
        <f t="shared" ref="G927:G928" si="541">IF(J927&lt;&gt;"rumus","1 x "&amp;J927&amp;" = "&amp;J927,"rumus")</f>
        <v>rumus</v>
      </c>
      <c r="H927" s="106" t="s">
        <v>764</v>
      </c>
      <c r="I927" s="119"/>
      <c r="J927" s="418" t="str">
        <f t="shared" ref="J927:J928" si="542">IF(I927="Membina kegiatan mahasiswa per semester",2,"rumus")</f>
        <v>rumus</v>
      </c>
      <c r="K927" s="116"/>
      <c r="L927" s="116"/>
      <c r="M927" s="116"/>
    </row>
    <row r="928" spans="1:26" ht="15.75" customHeight="1" x14ac:dyDescent="0.2">
      <c r="A928" s="109">
        <v>2</v>
      </c>
      <c r="B928" s="397" t="s">
        <v>801</v>
      </c>
      <c r="C928" s="106" t="s">
        <v>317</v>
      </c>
      <c r="D928" s="106" t="str">
        <f t="shared" si="538"/>
        <v/>
      </c>
      <c r="E928" s="398" t="str">
        <f t="shared" si="539"/>
        <v/>
      </c>
      <c r="F928" s="398" t="str">
        <f t="shared" si="540"/>
        <v/>
      </c>
      <c r="G928" s="399" t="str">
        <f t="shared" si="541"/>
        <v>rumus</v>
      </c>
      <c r="H928" s="114" t="s">
        <v>26</v>
      </c>
      <c r="I928" s="119"/>
      <c r="J928" s="418" t="str">
        <f t="shared" si="542"/>
        <v>rumus</v>
      </c>
      <c r="K928" s="116"/>
      <c r="L928" s="116"/>
      <c r="M928" s="116"/>
    </row>
    <row r="929" spans="1:26" ht="15" customHeight="1" x14ac:dyDescent="0.2">
      <c r="A929" s="109"/>
      <c r="B929" s="406" t="str">
        <f>"a. Semester Genap "&amp;IF(C930&lt;&gt;"",C930,"")&amp;" :"</f>
        <v>a. Semester Genap 2014/2015 :</v>
      </c>
      <c r="C929" s="415"/>
      <c r="D929" s="415"/>
      <c r="E929" s="415"/>
      <c r="F929" s="415"/>
      <c r="G929" s="415"/>
      <c r="H929" s="416"/>
      <c r="I929" s="116"/>
      <c r="J929" s="116"/>
      <c r="K929" s="116">
        <f>IF(SUM(J927:J928)&gt;=4,4,SUM(J927:J928))</f>
        <v>0</v>
      </c>
      <c r="L929" s="120" t="s">
        <v>802</v>
      </c>
      <c r="M929" s="116"/>
    </row>
    <row r="930" spans="1:26" ht="15.75" customHeight="1" x14ac:dyDescent="0.2">
      <c r="A930" s="109">
        <v>1</v>
      </c>
      <c r="B930" s="397" t="s">
        <v>801</v>
      </c>
      <c r="C930" s="106" t="s">
        <v>319</v>
      </c>
      <c r="D930" s="106" t="str">
        <f t="shared" ref="D930:D931" si="543">IF(G930&lt;&gt;"rumus","Semester","")</f>
        <v/>
      </c>
      <c r="E930" s="398" t="str">
        <f t="shared" ref="E930:E931" si="544">IF(I930&lt;&gt;"",1,"")</f>
        <v/>
      </c>
      <c r="F930" s="398" t="str">
        <f t="shared" ref="F930:F931" si="545">IF(I930&lt;&gt;"",J930,"")</f>
        <v/>
      </c>
      <c r="G930" s="399" t="str">
        <f t="shared" ref="G930:G931" si="546">IF(J930&lt;&gt;"rumus","1 x "&amp;J930&amp;" = "&amp;J930,"rumus")</f>
        <v>rumus</v>
      </c>
      <c r="H930" s="106" t="s">
        <v>764</v>
      </c>
      <c r="I930" s="119"/>
      <c r="J930" s="418" t="str">
        <f t="shared" ref="J930:J931" si="547">IF(I930="Membina kegiatan mahasiswa per semester",2,"rumus")</f>
        <v>rumus</v>
      </c>
      <c r="K930" s="116"/>
      <c r="L930" s="116"/>
      <c r="M930" s="116"/>
    </row>
    <row r="931" spans="1:26" ht="15.75" customHeight="1" x14ac:dyDescent="0.2">
      <c r="A931" s="109">
        <v>2</v>
      </c>
      <c r="B931" s="397" t="s">
        <v>801</v>
      </c>
      <c r="C931" s="106" t="s">
        <v>319</v>
      </c>
      <c r="D931" s="106" t="str">
        <f t="shared" si="543"/>
        <v/>
      </c>
      <c r="E931" s="398" t="str">
        <f t="shared" si="544"/>
        <v/>
      </c>
      <c r="F931" s="398" t="str">
        <f t="shared" si="545"/>
        <v/>
      </c>
      <c r="G931" s="399" t="str">
        <f t="shared" si="546"/>
        <v>rumus</v>
      </c>
      <c r="H931" s="114" t="s">
        <v>26</v>
      </c>
      <c r="I931" s="119"/>
      <c r="J931" s="418" t="str">
        <f t="shared" si="547"/>
        <v>rumus</v>
      </c>
      <c r="K931" s="116"/>
      <c r="L931" s="116"/>
      <c r="M931" s="116"/>
    </row>
    <row r="932" spans="1:26" ht="15" customHeight="1" x14ac:dyDescent="0.2">
      <c r="A932" s="109"/>
      <c r="B932" s="406" t="str">
        <f>"a. Semester Genap "&amp;IF(C933&lt;&gt;"",C933,"")&amp;" :"</f>
        <v>a. Semester Genap 2015/2016 :</v>
      </c>
      <c r="C932" s="415"/>
      <c r="D932" s="415"/>
      <c r="E932" s="415"/>
      <c r="F932" s="415"/>
      <c r="G932" s="415"/>
      <c r="H932" s="416"/>
      <c r="I932" s="116"/>
      <c r="J932" s="116"/>
      <c r="K932" s="116">
        <f>IF(SUM(J930:J931)&gt;=4,4,SUM(J930:J931))</f>
        <v>0</v>
      </c>
      <c r="L932" s="120" t="s">
        <v>802</v>
      </c>
      <c r="M932" s="116"/>
    </row>
    <row r="933" spans="1:26" ht="15.75" customHeight="1" x14ac:dyDescent="0.2">
      <c r="A933" s="109">
        <v>1</v>
      </c>
      <c r="B933" s="397" t="s">
        <v>801</v>
      </c>
      <c r="C933" s="106" t="s">
        <v>321</v>
      </c>
      <c r="D933" s="106" t="str">
        <f t="shared" ref="D933:D934" si="548">IF(G933&lt;&gt;"rumus","Semester","")</f>
        <v/>
      </c>
      <c r="E933" s="398" t="str">
        <f t="shared" ref="E933:E934" si="549">IF(I933&lt;&gt;"",1,"")</f>
        <v/>
      </c>
      <c r="F933" s="398" t="str">
        <f t="shared" ref="F933:F934" si="550">IF(I933&lt;&gt;"",J933,"")</f>
        <v/>
      </c>
      <c r="G933" s="399" t="str">
        <f t="shared" ref="G933:G934" si="551">IF(J933&lt;&gt;"rumus","1 x "&amp;J933&amp;" = "&amp;J933,"rumus")</f>
        <v>rumus</v>
      </c>
      <c r="H933" s="106" t="s">
        <v>764</v>
      </c>
      <c r="I933" s="119"/>
      <c r="J933" s="418" t="str">
        <f t="shared" ref="J933:J934" si="552">IF(I933="Membina kegiatan mahasiswa per semester",2,"rumus")</f>
        <v>rumus</v>
      </c>
      <c r="K933" s="116"/>
      <c r="L933" s="116"/>
      <c r="M933" s="116"/>
    </row>
    <row r="934" spans="1:26" ht="15.75" customHeight="1" x14ac:dyDescent="0.2">
      <c r="A934" s="109">
        <v>2</v>
      </c>
      <c r="B934" s="397" t="s">
        <v>801</v>
      </c>
      <c r="C934" s="106" t="s">
        <v>321</v>
      </c>
      <c r="D934" s="106" t="str">
        <f t="shared" si="548"/>
        <v/>
      </c>
      <c r="E934" s="398" t="str">
        <f t="shared" si="549"/>
        <v/>
      </c>
      <c r="F934" s="398" t="str">
        <f t="shared" si="550"/>
        <v/>
      </c>
      <c r="G934" s="399" t="str">
        <f t="shared" si="551"/>
        <v>rumus</v>
      </c>
      <c r="H934" s="114" t="s">
        <v>26</v>
      </c>
      <c r="I934" s="119"/>
      <c r="J934" s="418" t="str">
        <f t="shared" si="552"/>
        <v>rumus</v>
      </c>
      <c r="K934" s="116"/>
      <c r="L934" s="116"/>
      <c r="M934" s="116"/>
    </row>
    <row r="935" spans="1:26" ht="15" customHeight="1" x14ac:dyDescent="0.25">
      <c r="A935" s="124"/>
      <c r="B935" s="614" t="s">
        <v>304</v>
      </c>
      <c r="C935" s="615"/>
      <c r="D935" s="616"/>
      <c r="E935" s="403"/>
      <c r="F935" s="403"/>
      <c r="G935" s="113">
        <f>SUM(K865:K935)</f>
        <v>0</v>
      </c>
      <c r="H935" s="99"/>
      <c r="I935" s="116"/>
      <c r="J935" s="116"/>
      <c r="K935" s="116">
        <f>IF(SUM(J933:J934)&gt;=4,4,SUM(J933:J934))</f>
        <v>0</v>
      </c>
      <c r="L935" s="120" t="s">
        <v>802</v>
      </c>
      <c r="M935" s="116"/>
    </row>
    <row r="936" spans="1:26" ht="15" customHeight="1" x14ac:dyDescent="0.25">
      <c r="A936" s="115" t="s">
        <v>92</v>
      </c>
      <c r="B936" s="396" t="s">
        <v>805</v>
      </c>
      <c r="C936" s="421"/>
      <c r="D936" s="421"/>
      <c r="E936" s="421"/>
      <c r="F936" s="421"/>
      <c r="G936" s="421"/>
      <c r="H936" s="422"/>
      <c r="I936" s="116"/>
      <c r="J936" s="116"/>
      <c r="K936" s="116"/>
      <c r="L936" s="116"/>
      <c r="M936" s="116"/>
    </row>
    <row r="937" spans="1:26" ht="15" customHeight="1" x14ac:dyDescent="0.2">
      <c r="A937" s="109"/>
      <c r="B937" s="406" t="str">
        <f>"a. Semester Gasal "&amp;IF(C938&lt;&gt;"",C938,"")&amp;" :"</f>
        <v>a. Semester Gasal 2004/2005 :</v>
      </c>
      <c r="C937" s="415"/>
      <c r="D937" s="415"/>
      <c r="E937" s="415"/>
      <c r="F937" s="415"/>
      <c r="G937" s="415"/>
      <c r="H937" s="416"/>
      <c r="I937" s="116"/>
      <c r="J937" s="116"/>
      <c r="K937" s="116"/>
      <c r="L937" s="116"/>
      <c r="M937" s="116"/>
    </row>
    <row r="938" spans="1:26" ht="15.75" customHeight="1" x14ac:dyDescent="0.2">
      <c r="A938" s="109">
        <v>1</v>
      </c>
      <c r="B938" s="397" t="s">
        <v>806</v>
      </c>
      <c r="C938" s="106" t="s">
        <v>705</v>
      </c>
      <c r="D938" s="106" t="str">
        <f t="shared" ref="D938:D939" si="553">IF(G938&lt;&gt;"rumus","Semester","")</f>
        <v/>
      </c>
      <c r="E938" s="398" t="str">
        <f t="shared" ref="E938:E939" si="554">IF(I938&lt;&gt;"",1,"")</f>
        <v/>
      </c>
      <c r="F938" s="398" t="str">
        <f t="shared" ref="F938:F939" si="555">IF(I938&lt;&gt;"",J938,"")</f>
        <v/>
      </c>
      <c r="G938" s="399" t="str">
        <f t="shared" ref="G938:G939" si="556">IF(J938&lt;&gt;"rumus","1 x "&amp;J938&amp;" = "&amp;J938,"rumus")</f>
        <v>rumus</v>
      </c>
      <c r="H938" s="106" t="s">
        <v>764</v>
      </c>
      <c r="I938" s="119"/>
      <c r="J938" s="418" t="str">
        <f t="shared" ref="J938:J939" si="557">IF(I938="Mengembangkan program kuliah per semester",2,"rumus")</f>
        <v>rumus</v>
      </c>
      <c r="K938" s="120"/>
      <c r="L938" s="120"/>
      <c r="M938" s="116"/>
    </row>
    <row r="939" spans="1:26" ht="15.75" customHeight="1" x14ac:dyDescent="0.2">
      <c r="A939" s="109">
        <v>2</v>
      </c>
      <c r="B939" s="397" t="s">
        <v>806</v>
      </c>
      <c r="C939" s="106" t="s">
        <v>705</v>
      </c>
      <c r="D939" s="106" t="str">
        <f t="shared" si="553"/>
        <v/>
      </c>
      <c r="E939" s="398" t="str">
        <f t="shared" si="554"/>
        <v/>
      </c>
      <c r="F939" s="398" t="str">
        <f t="shared" si="555"/>
        <v/>
      </c>
      <c r="G939" s="399" t="str">
        <f t="shared" si="556"/>
        <v>rumus</v>
      </c>
      <c r="H939" s="114" t="s">
        <v>26</v>
      </c>
      <c r="I939" s="119"/>
      <c r="J939" s="418" t="str">
        <f t="shared" si="557"/>
        <v>rumus</v>
      </c>
      <c r="K939" s="120"/>
      <c r="L939" s="120"/>
      <c r="M939" s="116"/>
    </row>
    <row r="940" spans="1:26" ht="15" customHeight="1" x14ac:dyDescent="0.2">
      <c r="A940" s="109"/>
      <c r="B940" s="406" t="str">
        <f>"a. Semester Gasal "&amp;IF(C941&lt;&gt;"",C941,"")&amp;" :"</f>
        <v>a. Semester Gasal 2005/2006 :</v>
      </c>
      <c r="C940" s="415"/>
      <c r="D940" s="415"/>
      <c r="E940" s="415"/>
      <c r="F940" s="415"/>
      <c r="G940" s="415"/>
      <c r="H940" s="416"/>
      <c r="I940" s="116"/>
      <c r="J940" s="116"/>
      <c r="K940" s="120">
        <f>IF(SUM(J938:J939)&gt;=2,2,SUM(J938:J939))</f>
        <v>0</v>
      </c>
      <c r="L940" s="120" t="s">
        <v>807</v>
      </c>
      <c r="M940" s="116"/>
    </row>
    <row r="941" spans="1:26" ht="15.75" customHeight="1" x14ac:dyDescent="0.2">
      <c r="A941" s="109">
        <v>1</v>
      </c>
      <c r="B941" s="397" t="s">
        <v>806</v>
      </c>
      <c r="C941" s="106" t="s">
        <v>803</v>
      </c>
      <c r="D941" s="106" t="str">
        <f t="shared" ref="D941:D942" si="558">IF(G941&lt;&gt;"rumus","Semester","")</f>
        <v/>
      </c>
      <c r="E941" s="398" t="str">
        <f t="shared" ref="E941:E942" si="559">IF(I941&lt;&gt;"",1,"")</f>
        <v/>
      </c>
      <c r="F941" s="398" t="str">
        <f t="shared" ref="F941:F942" si="560">IF(I941&lt;&gt;"",J941,"")</f>
        <v/>
      </c>
      <c r="G941" s="399" t="str">
        <f t="shared" ref="G941:G942" si="561">IF(J941&lt;&gt;"rumus","1 x "&amp;J941&amp;" = "&amp;J941,"rumus")</f>
        <v>rumus</v>
      </c>
      <c r="H941" s="106" t="s">
        <v>764</v>
      </c>
      <c r="I941" s="119"/>
      <c r="J941" s="418" t="str">
        <f t="shared" ref="J941:J942" si="562">IF(I941="Mengembangkan program kuliah per semester",2,"rumus")</f>
        <v>rumus</v>
      </c>
      <c r="K941" s="120"/>
      <c r="L941" s="120"/>
      <c r="M941" s="116"/>
    </row>
    <row r="942" spans="1:26" ht="15.75" customHeight="1" x14ac:dyDescent="0.2">
      <c r="A942" s="109">
        <v>2</v>
      </c>
      <c r="B942" s="397" t="s">
        <v>806</v>
      </c>
      <c r="C942" s="106" t="s">
        <v>803</v>
      </c>
      <c r="D942" s="106" t="str">
        <f t="shared" si="558"/>
        <v/>
      </c>
      <c r="E942" s="398" t="str">
        <f t="shared" si="559"/>
        <v/>
      </c>
      <c r="F942" s="398" t="str">
        <f t="shared" si="560"/>
        <v/>
      </c>
      <c r="G942" s="399" t="str">
        <f t="shared" si="561"/>
        <v>rumus</v>
      </c>
      <c r="H942" s="114" t="s">
        <v>26</v>
      </c>
      <c r="I942" s="119"/>
      <c r="J942" s="418" t="str">
        <f t="shared" si="562"/>
        <v>rumus</v>
      </c>
      <c r="K942" s="120"/>
      <c r="L942" s="120"/>
      <c r="M942" s="116"/>
    </row>
    <row r="943" spans="1:26" ht="15" customHeight="1" x14ac:dyDescent="0.2">
      <c r="A943" s="109"/>
      <c r="B943" s="406" t="str">
        <f>"a. Semester Gasal "&amp;IF(C944&lt;&gt;"",C944,"")&amp;" :"</f>
        <v>a. Semester Gasal 2006/2007 :</v>
      </c>
      <c r="C943" s="415"/>
      <c r="D943" s="415"/>
      <c r="E943" s="415"/>
      <c r="F943" s="415"/>
      <c r="G943" s="415"/>
      <c r="H943" s="416"/>
      <c r="I943" s="116"/>
      <c r="J943" s="116"/>
      <c r="K943" s="120">
        <f>IF(SUM(J941:J942)&gt;=2,2,SUM(J941:J942))</f>
        <v>0</v>
      </c>
      <c r="L943" s="120" t="s">
        <v>807</v>
      </c>
      <c r="M943" s="116"/>
    </row>
    <row r="944" spans="1:26" ht="15.75" customHeight="1" x14ac:dyDescent="0.25">
      <c r="A944" s="109">
        <v>1</v>
      </c>
      <c r="B944" s="397" t="s">
        <v>806</v>
      </c>
      <c r="C944" s="106" t="s">
        <v>804</v>
      </c>
      <c r="D944" s="106" t="str">
        <f t="shared" ref="D944:D945" si="563">IF(G944&lt;&gt;"rumus","Semester","")</f>
        <v/>
      </c>
      <c r="E944" s="398" t="str">
        <f t="shared" ref="E944:E945" si="564">IF(I944&lt;&gt;"",1,"")</f>
        <v/>
      </c>
      <c r="F944" s="398" t="str">
        <f t="shared" ref="F944:F945" si="565">IF(I944&lt;&gt;"",J944,"")</f>
        <v/>
      </c>
      <c r="G944" s="399" t="str">
        <f t="shared" ref="G944:G945" si="566">IF(J944&lt;&gt;"rumus","1 x "&amp;J944&amp;" = "&amp;J944,"rumus")</f>
        <v>rumus</v>
      </c>
      <c r="H944" s="106" t="s">
        <v>764</v>
      </c>
      <c r="I944" s="119"/>
      <c r="J944" s="418" t="str">
        <f t="shared" ref="J944:J945" si="567">IF(I944="Mengembangkan program kuliah per semester",2,"rumus")</f>
        <v>rumus</v>
      </c>
      <c r="K944" s="120"/>
      <c r="L944" s="120"/>
      <c r="M944" s="116"/>
      <c r="N944" s="2"/>
      <c r="O944" s="2"/>
      <c r="P944" s="2"/>
      <c r="Q944" s="2"/>
      <c r="R944" s="2"/>
      <c r="S944" s="2"/>
      <c r="T944" s="2"/>
      <c r="U944" s="2"/>
      <c r="V944" s="2"/>
      <c r="W944" s="2"/>
      <c r="X944" s="2"/>
      <c r="Y944" s="2"/>
      <c r="Z944" s="2"/>
    </row>
    <row r="945" spans="1:26" ht="15.75" customHeight="1" x14ac:dyDescent="0.25">
      <c r="A945" s="109">
        <v>2</v>
      </c>
      <c r="B945" s="397" t="s">
        <v>806</v>
      </c>
      <c r="C945" s="106" t="s">
        <v>804</v>
      </c>
      <c r="D945" s="106" t="str">
        <f t="shared" si="563"/>
        <v/>
      </c>
      <c r="E945" s="398" t="str">
        <f t="shared" si="564"/>
        <v/>
      </c>
      <c r="F945" s="398" t="str">
        <f t="shared" si="565"/>
        <v/>
      </c>
      <c r="G945" s="399" t="str">
        <f t="shared" si="566"/>
        <v>rumus</v>
      </c>
      <c r="H945" s="114" t="s">
        <v>26</v>
      </c>
      <c r="I945" s="119"/>
      <c r="J945" s="418" t="str">
        <f t="shared" si="567"/>
        <v>rumus</v>
      </c>
      <c r="K945" s="120"/>
      <c r="L945" s="120"/>
      <c r="M945" s="116"/>
      <c r="N945" s="2"/>
      <c r="O945" s="2"/>
      <c r="P945" s="2"/>
      <c r="Q945" s="2"/>
      <c r="R945" s="2"/>
      <c r="S945" s="2"/>
      <c r="T945" s="2"/>
      <c r="U945" s="2"/>
      <c r="V945" s="2"/>
      <c r="W945" s="2"/>
      <c r="X945" s="2"/>
      <c r="Y945" s="2"/>
      <c r="Z945" s="2"/>
    </row>
    <row r="946" spans="1:26" ht="15" customHeight="1" x14ac:dyDescent="0.2">
      <c r="A946" s="109"/>
      <c r="B946" s="406" t="str">
        <f>"a. Semester Gasal "&amp;IF(C947&lt;&gt;"",C947,"")&amp;" :"</f>
        <v>a. Semester Gasal 2007/2008 :</v>
      </c>
      <c r="C946" s="415"/>
      <c r="D946" s="415"/>
      <c r="E946" s="415"/>
      <c r="F946" s="415"/>
      <c r="G946" s="415"/>
      <c r="H946" s="416"/>
      <c r="I946" s="116"/>
      <c r="J946" s="116"/>
      <c r="K946" s="120">
        <f>IF(SUM(J944:J945)&gt;=2,2,SUM(J944:J945))</f>
        <v>0</v>
      </c>
      <c r="L946" s="120" t="s">
        <v>807</v>
      </c>
      <c r="M946" s="116"/>
    </row>
    <row r="947" spans="1:26" ht="15.75" customHeight="1" x14ac:dyDescent="0.2">
      <c r="A947" s="109">
        <v>1</v>
      </c>
      <c r="B947" s="397" t="s">
        <v>806</v>
      </c>
      <c r="C947" s="106" t="s">
        <v>382</v>
      </c>
      <c r="D947" s="106" t="str">
        <f t="shared" ref="D947:D948" si="568">IF(G947&lt;&gt;"rumus","Semester","")</f>
        <v/>
      </c>
      <c r="E947" s="398" t="str">
        <f t="shared" ref="E947:E948" si="569">IF(I947&lt;&gt;"",1,"")</f>
        <v/>
      </c>
      <c r="F947" s="398" t="str">
        <f t="shared" ref="F947:F948" si="570">IF(I947&lt;&gt;"",J947,"")</f>
        <v/>
      </c>
      <c r="G947" s="399" t="str">
        <f t="shared" ref="G947:G948" si="571">IF(J947&lt;&gt;"rumus","1 x "&amp;J947&amp;" = "&amp;J947,"rumus")</f>
        <v>rumus</v>
      </c>
      <c r="H947" s="106" t="s">
        <v>764</v>
      </c>
      <c r="I947" s="119"/>
      <c r="J947" s="418" t="str">
        <f t="shared" ref="J947:J948" si="572">IF(I947="Mengembangkan program kuliah per semester",2,"rumus")</f>
        <v>rumus</v>
      </c>
      <c r="K947" s="120"/>
      <c r="L947" s="120"/>
      <c r="M947" s="116"/>
    </row>
    <row r="948" spans="1:26" ht="15.75" customHeight="1" x14ac:dyDescent="0.2">
      <c r="A948" s="109">
        <v>2</v>
      </c>
      <c r="B948" s="397" t="s">
        <v>806</v>
      </c>
      <c r="C948" s="106" t="s">
        <v>382</v>
      </c>
      <c r="D948" s="106" t="str">
        <f t="shared" si="568"/>
        <v/>
      </c>
      <c r="E948" s="398" t="str">
        <f t="shared" si="569"/>
        <v/>
      </c>
      <c r="F948" s="398" t="str">
        <f t="shared" si="570"/>
        <v/>
      </c>
      <c r="G948" s="399" t="str">
        <f t="shared" si="571"/>
        <v>rumus</v>
      </c>
      <c r="H948" s="114" t="s">
        <v>26</v>
      </c>
      <c r="I948" s="119"/>
      <c r="J948" s="418" t="str">
        <f t="shared" si="572"/>
        <v>rumus</v>
      </c>
      <c r="K948" s="120"/>
      <c r="L948" s="120"/>
      <c r="M948" s="116"/>
    </row>
    <row r="949" spans="1:26" ht="15" customHeight="1" x14ac:dyDescent="0.2">
      <c r="A949" s="109"/>
      <c r="B949" s="406" t="str">
        <f>"a. Semester Gasal "&amp;IF(C950&lt;&gt;"",C950,"")&amp;" :"</f>
        <v>a. Semester Gasal 2008/2009 :</v>
      </c>
      <c r="C949" s="415"/>
      <c r="D949" s="415"/>
      <c r="E949" s="415"/>
      <c r="F949" s="415"/>
      <c r="G949" s="415"/>
      <c r="H949" s="416"/>
      <c r="I949" s="116"/>
      <c r="J949" s="116"/>
      <c r="K949" s="120">
        <f>IF(SUM(J947:J948)&gt;=2,2,SUM(J947:J948))</f>
        <v>0</v>
      </c>
      <c r="L949" s="120" t="s">
        <v>807</v>
      </c>
      <c r="M949" s="116"/>
    </row>
    <row r="950" spans="1:26" ht="15.75" customHeight="1" x14ac:dyDescent="0.25">
      <c r="A950" s="109">
        <v>1</v>
      </c>
      <c r="B950" s="397" t="s">
        <v>806</v>
      </c>
      <c r="C950" s="106" t="s">
        <v>383</v>
      </c>
      <c r="D950" s="106" t="str">
        <f t="shared" ref="D950:D951" si="573">IF(G950&lt;&gt;"rumus","Semester","")</f>
        <v/>
      </c>
      <c r="E950" s="398" t="str">
        <f t="shared" ref="E950:E951" si="574">IF(I950&lt;&gt;"",1,"")</f>
        <v/>
      </c>
      <c r="F950" s="398" t="str">
        <f t="shared" ref="F950:F951" si="575">IF(I950&lt;&gt;"",J950,"")</f>
        <v/>
      </c>
      <c r="G950" s="399" t="str">
        <f t="shared" ref="G950:G951" si="576">IF(J950&lt;&gt;"rumus","1 x "&amp;J950&amp;" = "&amp;J950,"rumus")</f>
        <v>rumus</v>
      </c>
      <c r="H950" s="106" t="s">
        <v>764</v>
      </c>
      <c r="I950" s="119"/>
      <c r="J950" s="418" t="str">
        <f t="shared" ref="J950:J951" si="577">IF(I950="Mengembangkan program kuliah per semester",2,"rumus")</f>
        <v>rumus</v>
      </c>
      <c r="K950" s="120"/>
      <c r="L950" s="120"/>
      <c r="M950" s="116"/>
      <c r="N950" s="2"/>
      <c r="O950" s="2"/>
      <c r="P950" s="2"/>
      <c r="Q950" s="2"/>
      <c r="R950" s="2"/>
      <c r="S950" s="2"/>
      <c r="T950" s="2"/>
      <c r="U950" s="2"/>
      <c r="V950" s="2"/>
      <c r="W950" s="2"/>
      <c r="X950" s="2"/>
      <c r="Y950" s="2"/>
      <c r="Z950" s="2"/>
    </row>
    <row r="951" spans="1:26" ht="15.75" customHeight="1" x14ac:dyDescent="0.25">
      <c r="A951" s="109">
        <v>2</v>
      </c>
      <c r="B951" s="397" t="s">
        <v>806</v>
      </c>
      <c r="C951" s="106" t="s">
        <v>383</v>
      </c>
      <c r="D951" s="106" t="str">
        <f t="shared" si="573"/>
        <v/>
      </c>
      <c r="E951" s="398" t="str">
        <f t="shared" si="574"/>
        <v/>
      </c>
      <c r="F951" s="398" t="str">
        <f t="shared" si="575"/>
        <v/>
      </c>
      <c r="G951" s="399" t="str">
        <f t="shared" si="576"/>
        <v>rumus</v>
      </c>
      <c r="H951" s="114" t="s">
        <v>26</v>
      </c>
      <c r="I951" s="119"/>
      <c r="J951" s="418" t="str">
        <f t="shared" si="577"/>
        <v>rumus</v>
      </c>
      <c r="K951" s="120"/>
      <c r="L951" s="120"/>
      <c r="M951" s="116"/>
      <c r="N951" s="2"/>
      <c r="O951" s="2"/>
      <c r="P951" s="2"/>
      <c r="Q951" s="2"/>
      <c r="R951" s="2"/>
      <c r="S951" s="2"/>
      <c r="T951" s="2"/>
      <c r="U951" s="2"/>
      <c r="V951" s="2"/>
      <c r="W951" s="2"/>
      <c r="X951" s="2"/>
      <c r="Y951" s="2"/>
      <c r="Z951" s="2"/>
    </row>
    <row r="952" spans="1:26" ht="15" customHeight="1" x14ac:dyDescent="0.2">
      <c r="A952" s="109"/>
      <c r="B952" s="406" t="str">
        <f>"a. Semester Gasal "&amp;IF(C953&lt;&gt;"",C953,"")&amp;" :"</f>
        <v>a. Semester Gasal 2009/2010 :</v>
      </c>
      <c r="C952" s="415"/>
      <c r="D952" s="415"/>
      <c r="E952" s="415"/>
      <c r="F952" s="415"/>
      <c r="G952" s="415"/>
      <c r="H952" s="416"/>
      <c r="I952" s="116"/>
      <c r="J952" s="116"/>
      <c r="K952" s="120">
        <f>IF(SUM(J950:J951)&gt;=2,2,SUM(J950:J951))</f>
        <v>0</v>
      </c>
      <c r="L952" s="120" t="s">
        <v>807</v>
      </c>
      <c r="M952" s="116"/>
    </row>
    <row r="953" spans="1:26" ht="15.75" customHeight="1" x14ac:dyDescent="0.25">
      <c r="A953" s="109">
        <v>1</v>
      </c>
      <c r="B953" s="397" t="s">
        <v>806</v>
      </c>
      <c r="C953" s="106" t="s">
        <v>384</v>
      </c>
      <c r="D953" s="106" t="str">
        <f t="shared" ref="D953:D954" si="578">IF(G953&lt;&gt;"rumus","Semester","")</f>
        <v/>
      </c>
      <c r="E953" s="398" t="str">
        <f t="shared" ref="E953:E954" si="579">IF(I953&lt;&gt;"",1,"")</f>
        <v/>
      </c>
      <c r="F953" s="398" t="str">
        <f t="shared" ref="F953:F954" si="580">IF(I953&lt;&gt;"",J953,"")</f>
        <v/>
      </c>
      <c r="G953" s="399" t="str">
        <f t="shared" ref="G953:G954" si="581">IF(J953&lt;&gt;"rumus","1 x "&amp;J953&amp;" = "&amp;J953,"rumus")</f>
        <v>rumus</v>
      </c>
      <c r="H953" s="106" t="s">
        <v>764</v>
      </c>
      <c r="I953" s="119"/>
      <c r="J953" s="418" t="str">
        <f t="shared" ref="J953:J954" si="582">IF(I953="Mengembangkan program kuliah per semester",2,"rumus")</f>
        <v>rumus</v>
      </c>
      <c r="K953" s="120"/>
      <c r="L953" s="120"/>
      <c r="M953" s="116"/>
      <c r="N953" s="2"/>
      <c r="O953" s="2"/>
      <c r="P953" s="2"/>
      <c r="Q953" s="2"/>
      <c r="R953" s="2"/>
      <c r="S953" s="2"/>
      <c r="T953" s="2"/>
      <c r="U953" s="2"/>
      <c r="V953" s="2"/>
      <c r="W953" s="2"/>
      <c r="X953" s="2"/>
      <c r="Y953" s="2"/>
      <c r="Z953" s="2"/>
    </row>
    <row r="954" spans="1:26" ht="15.75" customHeight="1" x14ac:dyDescent="0.25">
      <c r="A954" s="109">
        <v>2</v>
      </c>
      <c r="B954" s="397" t="s">
        <v>806</v>
      </c>
      <c r="C954" s="106" t="s">
        <v>384</v>
      </c>
      <c r="D954" s="106" t="str">
        <f t="shared" si="578"/>
        <v/>
      </c>
      <c r="E954" s="398" t="str">
        <f t="shared" si="579"/>
        <v/>
      </c>
      <c r="F954" s="398" t="str">
        <f t="shared" si="580"/>
        <v/>
      </c>
      <c r="G954" s="399" t="str">
        <f t="shared" si="581"/>
        <v>rumus</v>
      </c>
      <c r="H954" s="114" t="s">
        <v>26</v>
      </c>
      <c r="I954" s="119"/>
      <c r="J954" s="418" t="str">
        <f t="shared" si="582"/>
        <v>rumus</v>
      </c>
      <c r="K954" s="120"/>
      <c r="L954" s="120"/>
      <c r="M954" s="116"/>
      <c r="N954" s="2"/>
      <c r="O954" s="2"/>
      <c r="P954" s="2"/>
      <c r="Q954" s="2"/>
      <c r="R954" s="2"/>
      <c r="S954" s="2"/>
      <c r="T954" s="2"/>
      <c r="U954" s="2"/>
      <c r="V954" s="2"/>
      <c r="W954" s="2"/>
      <c r="X954" s="2"/>
      <c r="Y954" s="2"/>
      <c r="Z954" s="2"/>
    </row>
    <row r="955" spans="1:26" ht="15" customHeight="1" x14ac:dyDescent="0.2">
      <c r="A955" s="109"/>
      <c r="B955" s="406" t="str">
        <f>"a. Semester Gasal "&amp;IF(C956&lt;&gt;"",C956,"")&amp;" :"</f>
        <v>a. Semester Gasal 2010/2011 :</v>
      </c>
      <c r="C955" s="415"/>
      <c r="D955" s="415"/>
      <c r="E955" s="415"/>
      <c r="F955" s="415"/>
      <c r="G955" s="415"/>
      <c r="H955" s="416"/>
      <c r="I955" s="116"/>
      <c r="J955" s="116"/>
      <c r="K955" s="120">
        <f>IF(SUM(J953:J954)&gt;=2,2,SUM(J953:J954))</f>
        <v>0</v>
      </c>
      <c r="L955" s="120" t="s">
        <v>807</v>
      </c>
      <c r="M955" s="116"/>
    </row>
    <row r="956" spans="1:26" ht="15.75" customHeight="1" x14ac:dyDescent="0.2">
      <c r="A956" s="109">
        <v>1</v>
      </c>
      <c r="B956" s="397" t="s">
        <v>806</v>
      </c>
      <c r="C956" s="106" t="s">
        <v>385</v>
      </c>
      <c r="D956" s="106" t="str">
        <f t="shared" ref="D956:D957" si="583">IF(G956&lt;&gt;"rumus","Semester","")</f>
        <v/>
      </c>
      <c r="E956" s="398" t="str">
        <f t="shared" ref="E956:E957" si="584">IF(I956&lt;&gt;"",1,"")</f>
        <v/>
      </c>
      <c r="F956" s="398" t="str">
        <f t="shared" ref="F956:F957" si="585">IF(I956&lt;&gt;"",J956,"")</f>
        <v/>
      </c>
      <c r="G956" s="399" t="str">
        <f t="shared" ref="G956:G957" si="586">IF(J956&lt;&gt;"rumus","1 x "&amp;J956&amp;" = "&amp;J956,"rumus")</f>
        <v>rumus</v>
      </c>
      <c r="H956" s="106" t="s">
        <v>764</v>
      </c>
      <c r="I956" s="119"/>
      <c r="J956" s="418" t="str">
        <f t="shared" ref="J956:J957" si="587">IF(I956="Mengembangkan program kuliah per semester",2,"rumus")</f>
        <v>rumus</v>
      </c>
      <c r="K956" s="120"/>
      <c r="L956" s="120"/>
      <c r="M956" s="116"/>
    </row>
    <row r="957" spans="1:26" ht="15.75" customHeight="1" x14ac:dyDescent="0.2">
      <c r="A957" s="109">
        <v>2</v>
      </c>
      <c r="B957" s="397" t="s">
        <v>806</v>
      </c>
      <c r="C957" s="106" t="s">
        <v>385</v>
      </c>
      <c r="D957" s="106" t="str">
        <f t="shared" si="583"/>
        <v/>
      </c>
      <c r="E957" s="398" t="str">
        <f t="shared" si="584"/>
        <v/>
      </c>
      <c r="F957" s="398" t="str">
        <f t="shared" si="585"/>
        <v/>
      </c>
      <c r="G957" s="399" t="str">
        <f t="shared" si="586"/>
        <v>rumus</v>
      </c>
      <c r="H957" s="114" t="s">
        <v>26</v>
      </c>
      <c r="I957" s="119"/>
      <c r="J957" s="418" t="str">
        <f t="shared" si="587"/>
        <v>rumus</v>
      </c>
      <c r="K957" s="120"/>
      <c r="L957" s="120"/>
      <c r="M957" s="116"/>
    </row>
    <row r="958" spans="1:26" ht="15" customHeight="1" x14ac:dyDescent="0.2">
      <c r="A958" s="109"/>
      <c r="B958" s="406" t="str">
        <f>"a. Semester Gasal "&amp;IF(C959&lt;&gt;"",C959,"")&amp;" :"</f>
        <v>a. Semester Gasal 2011/2012 :</v>
      </c>
      <c r="C958" s="415"/>
      <c r="D958" s="415"/>
      <c r="E958" s="415"/>
      <c r="F958" s="415"/>
      <c r="G958" s="415"/>
      <c r="H958" s="416"/>
      <c r="I958" s="116"/>
      <c r="J958" s="116"/>
      <c r="K958" s="120">
        <f>IF(SUM(J956:J957)&gt;=2,2,SUM(J956:J957))</f>
        <v>0</v>
      </c>
      <c r="L958" s="120" t="s">
        <v>807</v>
      </c>
      <c r="M958" s="116"/>
    </row>
    <row r="959" spans="1:26" ht="15.75" customHeight="1" x14ac:dyDescent="0.2">
      <c r="A959" s="109">
        <v>1</v>
      </c>
      <c r="B959" s="397" t="s">
        <v>806</v>
      </c>
      <c r="C959" s="106" t="s">
        <v>355</v>
      </c>
      <c r="D959" s="106" t="str">
        <f t="shared" ref="D959:D960" si="588">IF(G959&lt;&gt;"rumus","Semester","")</f>
        <v/>
      </c>
      <c r="E959" s="398" t="str">
        <f t="shared" ref="E959:E960" si="589">IF(I959&lt;&gt;"",1,"")</f>
        <v/>
      </c>
      <c r="F959" s="398" t="str">
        <f t="shared" ref="F959:F960" si="590">IF(I959&lt;&gt;"",J959,"")</f>
        <v/>
      </c>
      <c r="G959" s="399" t="str">
        <f t="shared" ref="G959:G960" si="591">IF(J959&lt;&gt;"rumus","1 x "&amp;J959&amp;" = "&amp;J959,"rumus")</f>
        <v>rumus</v>
      </c>
      <c r="H959" s="106" t="s">
        <v>764</v>
      </c>
      <c r="I959" s="119"/>
      <c r="J959" s="418" t="str">
        <f t="shared" ref="J959:J960" si="592">IF(I959="Mengembangkan program kuliah per semester",2,"rumus")</f>
        <v>rumus</v>
      </c>
      <c r="K959" s="120"/>
      <c r="L959" s="120"/>
      <c r="M959" s="116"/>
    </row>
    <row r="960" spans="1:26" ht="15.75" customHeight="1" x14ac:dyDescent="0.2">
      <c r="A960" s="109">
        <v>2</v>
      </c>
      <c r="B960" s="397" t="s">
        <v>806</v>
      </c>
      <c r="C960" s="106" t="s">
        <v>355</v>
      </c>
      <c r="D960" s="106" t="str">
        <f t="shared" si="588"/>
        <v/>
      </c>
      <c r="E960" s="398" t="str">
        <f t="shared" si="589"/>
        <v/>
      </c>
      <c r="F960" s="398" t="str">
        <f t="shared" si="590"/>
        <v/>
      </c>
      <c r="G960" s="399" t="str">
        <f t="shared" si="591"/>
        <v>rumus</v>
      </c>
      <c r="H960" s="114" t="s">
        <v>26</v>
      </c>
      <c r="I960" s="119"/>
      <c r="J960" s="418" t="str">
        <f t="shared" si="592"/>
        <v>rumus</v>
      </c>
      <c r="K960" s="120"/>
      <c r="L960" s="120"/>
      <c r="M960" s="116"/>
    </row>
    <row r="961" spans="1:13" ht="15" customHeight="1" x14ac:dyDescent="0.2">
      <c r="A961" s="109"/>
      <c r="B961" s="406" t="str">
        <f>"a. Semester Gasal "&amp;IF(C962&lt;&gt;"",C962,"")&amp;" :"</f>
        <v>a. Semester Gasal 2012/2013 :</v>
      </c>
      <c r="C961" s="415"/>
      <c r="D961" s="415"/>
      <c r="E961" s="415"/>
      <c r="F961" s="415"/>
      <c r="G961" s="415"/>
      <c r="H961" s="416"/>
      <c r="I961" s="116"/>
      <c r="J961" s="116"/>
      <c r="K961" s="120">
        <f>IF(SUM(J959:J960)&gt;=2,2,SUM(J959:J960))</f>
        <v>0</v>
      </c>
      <c r="L961" s="120" t="s">
        <v>807</v>
      </c>
      <c r="M961" s="116"/>
    </row>
    <row r="962" spans="1:13" ht="15.75" customHeight="1" x14ac:dyDescent="0.2">
      <c r="A962" s="109">
        <v>1</v>
      </c>
      <c r="B962" s="397" t="s">
        <v>806</v>
      </c>
      <c r="C962" s="106" t="s">
        <v>312</v>
      </c>
      <c r="D962" s="106" t="str">
        <f t="shared" ref="D962:D963" si="593">IF(G962&lt;&gt;"rumus","Semester","")</f>
        <v/>
      </c>
      <c r="E962" s="398" t="str">
        <f t="shared" ref="E962:E963" si="594">IF(I962&lt;&gt;"",1,"")</f>
        <v/>
      </c>
      <c r="F962" s="398" t="str">
        <f t="shared" ref="F962:F963" si="595">IF(I962&lt;&gt;"",J962,"")</f>
        <v/>
      </c>
      <c r="G962" s="399" t="str">
        <f t="shared" ref="G962:G963" si="596">IF(J962&lt;&gt;"rumus","1 x "&amp;J962&amp;" = "&amp;J962,"rumus")</f>
        <v>rumus</v>
      </c>
      <c r="H962" s="106" t="s">
        <v>764</v>
      </c>
      <c r="I962" s="119"/>
      <c r="J962" s="418" t="str">
        <f t="shared" ref="J962:J963" si="597">IF(I962="Mengembangkan program kuliah per semester",2,"rumus")</f>
        <v>rumus</v>
      </c>
      <c r="K962" s="120"/>
      <c r="L962" s="120"/>
      <c r="M962" s="116"/>
    </row>
    <row r="963" spans="1:13" ht="15.75" customHeight="1" x14ac:dyDescent="0.2">
      <c r="A963" s="109">
        <v>2</v>
      </c>
      <c r="B963" s="397" t="s">
        <v>806</v>
      </c>
      <c r="C963" s="106" t="s">
        <v>312</v>
      </c>
      <c r="D963" s="106" t="str">
        <f t="shared" si="593"/>
        <v/>
      </c>
      <c r="E963" s="398" t="str">
        <f t="shared" si="594"/>
        <v/>
      </c>
      <c r="F963" s="398" t="str">
        <f t="shared" si="595"/>
        <v/>
      </c>
      <c r="G963" s="399" t="str">
        <f t="shared" si="596"/>
        <v>rumus</v>
      </c>
      <c r="H963" s="114" t="s">
        <v>26</v>
      </c>
      <c r="I963" s="119"/>
      <c r="J963" s="418" t="str">
        <f t="shared" si="597"/>
        <v>rumus</v>
      </c>
      <c r="K963" s="120"/>
      <c r="L963" s="120"/>
      <c r="M963" s="116"/>
    </row>
    <row r="964" spans="1:13" ht="15" customHeight="1" x14ac:dyDescent="0.2">
      <c r="A964" s="109"/>
      <c r="B964" s="406" t="str">
        <f>"a. Semester Gasal "&amp;IF(C965&lt;&gt;"",C965,"")&amp;" :"</f>
        <v>a. Semester Gasal 2013/2014 :</v>
      </c>
      <c r="C964" s="415"/>
      <c r="D964" s="415"/>
      <c r="E964" s="415"/>
      <c r="F964" s="415"/>
      <c r="G964" s="415"/>
      <c r="H964" s="416"/>
      <c r="I964" s="116"/>
      <c r="J964" s="116"/>
      <c r="K964" s="120">
        <f>IF(SUM(J962:J963)&gt;=2,2,SUM(J962:J963))</f>
        <v>0</v>
      </c>
      <c r="L964" s="120" t="s">
        <v>807</v>
      </c>
      <c r="M964" s="116"/>
    </row>
    <row r="965" spans="1:13" ht="15.75" customHeight="1" x14ac:dyDescent="0.2">
      <c r="A965" s="109">
        <v>1</v>
      </c>
      <c r="B965" s="397" t="s">
        <v>806</v>
      </c>
      <c r="C965" s="106" t="s">
        <v>317</v>
      </c>
      <c r="D965" s="106" t="str">
        <f t="shared" ref="D965:D966" si="598">IF(G965&lt;&gt;"rumus","Semester","")</f>
        <v/>
      </c>
      <c r="E965" s="398" t="str">
        <f t="shared" ref="E965:E966" si="599">IF(I965&lt;&gt;"",1,"")</f>
        <v/>
      </c>
      <c r="F965" s="398" t="str">
        <f t="shared" ref="F965:F966" si="600">IF(I965&lt;&gt;"",J965,"")</f>
        <v/>
      </c>
      <c r="G965" s="399" t="str">
        <f t="shared" ref="G965:G966" si="601">IF(J965&lt;&gt;"rumus","1 x "&amp;J965&amp;" = "&amp;J965,"rumus")</f>
        <v>rumus</v>
      </c>
      <c r="H965" s="106" t="s">
        <v>764</v>
      </c>
      <c r="I965" s="119"/>
      <c r="J965" s="418" t="str">
        <f t="shared" ref="J965:J966" si="602">IF(I965="Mengembangkan program kuliah per semester",2,"rumus")</f>
        <v>rumus</v>
      </c>
      <c r="K965" s="120"/>
      <c r="L965" s="120"/>
      <c r="M965" s="116"/>
    </row>
    <row r="966" spans="1:13" ht="15.75" customHeight="1" x14ac:dyDescent="0.2">
      <c r="A966" s="109">
        <v>2</v>
      </c>
      <c r="B966" s="397" t="s">
        <v>806</v>
      </c>
      <c r="C966" s="106" t="s">
        <v>317</v>
      </c>
      <c r="D966" s="106" t="str">
        <f t="shared" si="598"/>
        <v/>
      </c>
      <c r="E966" s="398" t="str">
        <f t="shared" si="599"/>
        <v/>
      </c>
      <c r="F966" s="398" t="str">
        <f t="shared" si="600"/>
        <v/>
      </c>
      <c r="G966" s="399" t="str">
        <f t="shared" si="601"/>
        <v>rumus</v>
      </c>
      <c r="H966" s="114" t="s">
        <v>26</v>
      </c>
      <c r="I966" s="119"/>
      <c r="J966" s="418" t="str">
        <f t="shared" si="602"/>
        <v>rumus</v>
      </c>
      <c r="K966" s="120"/>
      <c r="L966" s="120"/>
      <c r="M966" s="116"/>
    </row>
    <row r="967" spans="1:13" ht="15" customHeight="1" x14ac:dyDescent="0.2">
      <c r="A967" s="109"/>
      <c r="B967" s="406" t="str">
        <f>"a. Semester Gasal "&amp;IF(C968&lt;&gt;"",C968,"")&amp;" :"</f>
        <v>a. Semester Gasal 2014/2015 :</v>
      </c>
      <c r="C967" s="415"/>
      <c r="D967" s="415"/>
      <c r="E967" s="415"/>
      <c r="F967" s="415"/>
      <c r="G967" s="415"/>
      <c r="H967" s="416"/>
      <c r="I967" s="116"/>
      <c r="J967" s="116"/>
      <c r="K967" s="120">
        <f>IF(SUM(J965:J966)&gt;=2,2,SUM(J965:J966))</f>
        <v>0</v>
      </c>
      <c r="L967" s="120" t="s">
        <v>807</v>
      </c>
      <c r="M967" s="116"/>
    </row>
    <row r="968" spans="1:13" ht="15.75" customHeight="1" x14ac:dyDescent="0.2">
      <c r="A968" s="109">
        <v>1</v>
      </c>
      <c r="B968" s="397" t="s">
        <v>806</v>
      </c>
      <c r="C968" s="106" t="s">
        <v>319</v>
      </c>
      <c r="D968" s="106" t="str">
        <f t="shared" ref="D968:D969" si="603">IF(G968&lt;&gt;"rumus","Semester","")</f>
        <v/>
      </c>
      <c r="E968" s="398" t="str">
        <f t="shared" ref="E968:E969" si="604">IF(I968&lt;&gt;"",1,"")</f>
        <v/>
      </c>
      <c r="F968" s="398" t="str">
        <f t="shared" ref="F968:F969" si="605">IF(I968&lt;&gt;"",J968,"")</f>
        <v/>
      </c>
      <c r="G968" s="399" t="str">
        <f t="shared" ref="G968:G969" si="606">IF(J968&lt;&gt;"rumus","1 x "&amp;J968&amp;" = "&amp;J968,"rumus")</f>
        <v>rumus</v>
      </c>
      <c r="H968" s="106" t="s">
        <v>764</v>
      </c>
      <c r="I968" s="119"/>
      <c r="J968" s="418" t="str">
        <f t="shared" ref="J968:J969" si="607">IF(I968="Mengembangkan program kuliah per semester",2,"rumus")</f>
        <v>rumus</v>
      </c>
      <c r="K968" s="120"/>
      <c r="L968" s="120"/>
      <c r="M968" s="116"/>
    </row>
    <row r="969" spans="1:13" ht="15.75" customHeight="1" x14ac:dyDescent="0.2">
      <c r="A969" s="109">
        <v>2</v>
      </c>
      <c r="B969" s="397" t="s">
        <v>806</v>
      </c>
      <c r="C969" s="106" t="s">
        <v>319</v>
      </c>
      <c r="D969" s="106" t="str">
        <f t="shared" si="603"/>
        <v/>
      </c>
      <c r="E969" s="398" t="str">
        <f t="shared" si="604"/>
        <v/>
      </c>
      <c r="F969" s="398" t="str">
        <f t="shared" si="605"/>
        <v/>
      </c>
      <c r="G969" s="399" t="str">
        <f t="shared" si="606"/>
        <v>rumus</v>
      </c>
      <c r="H969" s="114" t="s">
        <v>26</v>
      </c>
      <c r="I969" s="119"/>
      <c r="J969" s="418" t="str">
        <f t="shared" si="607"/>
        <v>rumus</v>
      </c>
      <c r="K969" s="120"/>
      <c r="L969" s="120"/>
      <c r="M969" s="116"/>
    </row>
    <row r="970" spans="1:13" ht="15" customHeight="1" x14ac:dyDescent="0.2">
      <c r="A970" s="109"/>
      <c r="B970" s="406" t="str">
        <f>"a. Semester Gasal "&amp;IF(C971&lt;&gt;"",C971,"")&amp;" :"</f>
        <v>a. Semester Gasal 2015/2016 :</v>
      </c>
      <c r="C970" s="415"/>
      <c r="D970" s="415"/>
      <c r="E970" s="415"/>
      <c r="F970" s="415"/>
      <c r="G970" s="415"/>
      <c r="H970" s="416"/>
      <c r="I970" s="116"/>
      <c r="J970" s="116"/>
      <c r="K970" s="120">
        <f>IF(SUM(J968:J969)&gt;=2,2,SUM(J968:J969))</f>
        <v>0</v>
      </c>
      <c r="L970" s="120" t="s">
        <v>807</v>
      </c>
      <c r="M970" s="116"/>
    </row>
    <row r="971" spans="1:13" ht="15.75" customHeight="1" x14ac:dyDescent="0.2">
      <c r="A971" s="109">
        <v>1</v>
      </c>
      <c r="B971" s="397" t="s">
        <v>806</v>
      </c>
      <c r="C971" s="106" t="s">
        <v>321</v>
      </c>
      <c r="D971" s="106" t="str">
        <f t="shared" ref="D971:D972" si="608">IF(G971&lt;&gt;"rumus","Semester","")</f>
        <v/>
      </c>
      <c r="E971" s="398" t="str">
        <f t="shared" ref="E971:E972" si="609">IF(I971&lt;&gt;"",1,"")</f>
        <v/>
      </c>
      <c r="F971" s="398" t="str">
        <f t="shared" ref="F971:F972" si="610">IF(I971&lt;&gt;"",J971,"")</f>
        <v/>
      </c>
      <c r="G971" s="399" t="str">
        <f t="shared" ref="G971:G972" si="611">IF(J971&lt;&gt;"rumus","1 x "&amp;J971&amp;" = "&amp;J971,"rumus")</f>
        <v>rumus</v>
      </c>
      <c r="H971" s="106" t="s">
        <v>764</v>
      </c>
      <c r="I971" s="119"/>
      <c r="J971" s="418" t="str">
        <f t="shared" ref="J971:J972" si="612">IF(I971="Mengembangkan program kuliah per semester",2,"rumus")</f>
        <v>rumus</v>
      </c>
      <c r="K971" s="120"/>
      <c r="L971" s="120"/>
      <c r="M971" s="116"/>
    </row>
    <row r="972" spans="1:13" ht="15.75" customHeight="1" x14ac:dyDescent="0.2">
      <c r="A972" s="109">
        <v>2</v>
      </c>
      <c r="B972" s="397" t="s">
        <v>806</v>
      </c>
      <c r="C972" s="106" t="s">
        <v>321</v>
      </c>
      <c r="D972" s="106" t="str">
        <f t="shared" si="608"/>
        <v/>
      </c>
      <c r="E972" s="398" t="str">
        <f t="shared" si="609"/>
        <v/>
      </c>
      <c r="F972" s="398" t="str">
        <f t="shared" si="610"/>
        <v/>
      </c>
      <c r="G972" s="399" t="str">
        <f t="shared" si="611"/>
        <v>rumus</v>
      </c>
      <c r="H972" s="114" t="s">
        <v>26</v>
      </c>
      <c r="I972" s="119"/>
      <c r="J972" s="418" t="str">
        <f t="shared" si="612"/>
        <v>rumus</v>
      </c>
      <c r="K972" s="120"/>
      <c r="L972" s="120"/>
      <c r="M972" s="116"/>
    </row>
    <row r="973" spans="1:13" ht="15" customHeight="1" x14ac:dyDescent="0.2">
      <c r="A973" s="109"/>
      <c r="B973" s="406" t="str">
        <f>"a. Semester Genap "&amp;IF(C974&lt;&gt;"",C974,"")&amp;" :"</f>
        <v>a. Semester Genap 2004/2005 :</v>
      </c>
      <c r="C973" s="415"/>
      <c r="D973" s="415"/>
      <c r="E973" s="415"/>
      <c r="F973" s="415"/>
      <c r="G973" s="415"/>
      <c r="H973" s="416"/>
      <c r="I973" s="116"/>
      <c r="J973" s="116"/>
      <c r="K973" s="120">
        <f>IF(SUM(J971:J972)&gt;=2,2,SUM(J971:J972))</f>
        <v>0</v>
      </c>
      <c r="L973" s="120" t="s">
        <v>807</v>
      </c>
      <c r="M973" s="116"/>
    </row>
    <row r="974" spans="1:13" ht="15.75" customHeight="1" x14ac:dyDescent="0.2">
      <c r="A974" s="109">
        <v>1</v>
      </c>
      <c r="B974" s="397" t="s">
        <v>806</v>
      </c>
      <c r="C974" s="106" t="s">
        <v>705</v>
      </c>
      <c r="D974" s="106" t="str">
        <f t="shared" ref="D974:D975" si="613">IF(G974&lt;&gt;"rumus","Semester","")</f>
        <v/>
      </c>
      <c r="E974" s="398" t="str">
        <f t="shared" ref="E974:E975" si="614">IF(I974&lt;&gt;"",1,"")</f>
        <v/>
      </c>
      <c r="F974" s="398" t="str">
        <f t="shared" ref="F974:F975" si="615">IF(I974&lt;&gt;"",J974,"")</f>
        <v/>
      </c>
      <c r="G974" s="399" t="str">
        <f t="shared" ref="G974:G975" si="616">IF(J974&lt;&gt;"rumus","1 x "&amp;J974&amp;" = "&amp;J974,"rumus")</f>
        <v>rumus</v>
      </c>
      <c r="H974" s="106" t="s">
        <v>764</v>
      </c>
      <c r="I974" s="119"/>
      <c r="J974" s="418" t="str">
        <f t="shared" ref="J974:J975" si="617">IF(I974="Mengembangkan program kuliah per semester",2,"rumus")</f>
        <v>rumus</v>
      </c>
      <c r="K974" s="120"/>
      <c r="L974" s="120"/>
      <c r="M974" s="116"/>
    </row>
    <row r="975" spans="1:13" ht="15.75" customHeight="1" x14ac:dyDescent="0.2">
      <c r="A975" s="109">
        <v>2</v>
      </c>
      <c r="B975" s="397" t="s">
        <v>806</v>
      </c>
      <c r="C975" s="106" t="s">
        <v>705</v>
      </c>
      <c r="D975" s="106" t="str">
        <f t="shared" si="613"/>
        <v/>
      </c>
      <c r="E975" s="398" t="str">
        <f t="shared" si="614"/>
        <v/>
      </c>
      <c r="F975" s="398" t="str">
        <f t="shared" si="615"/>
        <v/>
      </c>
      <c r="G975" s="399" t="str">
        <f t="shared" si="616"/>
        <v>rumus</v>
      </c>
      <c r="H975" s="114" t="s">
        <v>26</v>
      </c>
      <c r="I975" s="119"/>
      <c r="J975" s="418" t="str">
        <f t="shared" si="617"/>
        <v>rumus</v>
      </c>
      <c r="K975" s="120"/>
      <c r="L975" s="120"/>
      <c r="M975" s="116"/>
    </row>
    <row r="976" spans="1:13" ht="15" customHeight="1" x14ac:dyDescent="0.2">
      <c r="A976" s="109"/>
      <c r="B976" s="406" t="str">
        <f>"a. Semester Genap "&amp;IF(C977&lt;&gt;"",C977,"")&amp;" :"</f>
        <v>a. Semester Genap 2005/2006 :</v>
      </c>
      <c r="C976" s="415"/>
      <c r="D976" s="415"/>
      <c r="E976" s="415"/>
      <c r="F976" s="415"/>
      <c r="G976" s="415"/>
      <c r="H976" s="416"/>
      <c r="I976" s="116"/>
      <c r="J976" s="116"/>
      <c r="K976" s="120">
        <f>IF(SUM(J974:J975)&gt;=2,2,SUM(J974:J975))</f>
        <v>0</v>
      </c>
      <c r="L976" s="120" t="s">
        <v>807</v>
      </c>
      <c r="M976" s="116"/>
    </row>
    <row r="977" spans="1:26" ht="15.75" customHeight="1" x14ac:dyDescent="0.2">
      <c r="A977" s="109">
        <v>1</v>
      </c>
      <c r="B977" s="397" t="s">
        <v>806</v>
      </c>
      <c r="C977" s="106" t="s">
        <v>803</v>
      </c>
      <c r="D977" s="106" t="str">
        <f t="shared" ref="D977:D978" si="618">IF(G977&lt;&gt;"rumus","Semester","")</f>
        <v/>
      </c>
      <c r="E977" s="398" t="str">
        <f t="shared" ref="E977:E978" si="619">IF(I977&lt;&gt;"",1,"")</f>
        <v/>
      </c>
      <c r="F977" s="398" t="str">
        <f t="shared" ref="F977:F978" si="620">IF(I977&lt;&gt;"",J977,"")</f>
        <v/>
      </c>
      <c r="G977" s="399" t="str">
        <f t="shared" ref="G977:G978" si="621">IF(J977&lt;&gt;"rumus","1 x "&amp;J977&amp;" = "&amp;J977,"rumus")</f>
        <v>rumus</v>
      </c>
      <c r="H977" s="106" t="s">
        <v>764</v>
      </c>
      <c r="I977" s="119"/>
      <c r="J977" s="418" t="str">
        <f t="shared" ref="J977:J978" si="622">IF(I977="Mengembangkan program kuliah per semester",2,"rumus")</f>
        <v>rumus</v>
      </c>
      <c r="K977" s="120"/>
      <c r="L977" s="120"/>
      <c r="M977" s="116"/>
    </row>
    <row r="978" spans="1:26" ht="15.75" customHeight="1" x14ac:dyDescent="0.2">
      <c r="A978" s="109">
        <v>2</v>
      </c>
      <c r="B978" s="397" t="s">
        <v>806</v>
      </c>
      <c r="C978" s="106" t="s">
        <v>803</v>
      </c>
      <c r="D978" s="106" t="str">
        <f t="shared" si="618"/>
        <v/>
      </c>
      <c r="E978" s="398" t="str">
        <f t="shared" si="619"/>
        <v/>
      </c>
      <c r="F978" s="398" t="str">
        <f t="shared" si="620"/>
        <v/>
      </c>
      <c r="G978" s="399" t="str">
        <f t="shared" si="621"/>
        <v>rumus</v>
      </c>
      <c r="H978" s="114" t="s">
        <v>26</v>
      </c>
      <c r="I978" s="119"/>
      <c r="J978" s="418" t="str">
        <f t="shared" si="622"/>
        <v>rumus</v>
      </c>
      <c r="K978" s="120"/>
      <c r="L978" s="120"/>
      <c r="M978" s="116"/>
    </row>
    <row r="979" spans="1:26" ht="15" customHeight="1" x14ac:dyDescent="0.2">
      <c r="A979" s="109"/>
      <c r="B979" s="406" t="str">
        <f>"a. Semester Genap "&amp;IF(C980&lt;&gt;"",C980,"")&amp;" :"</f>
        <v>a. Semester Genap 2006/2007 :</v>
      </c>
      <c r="C979" s="415"/>
      <c r="D979" s="415"/>
      <c r="E979" s="415"/>
      <c r="F979" s="415"/>
      <c r="G979" s="415"/>
      <c r="H979" s="416"/>
      <c r="I979" s="116"/>
      <c r="J979" s="116"/>
      <c r="K979" s="120">
        <f>IF(SUM(J977:J978)&gt;=2,2,SUM(J977:J978))</f>
        <v>0</v>
      </c>
      <c r="L979" s="120" t="s">
        <v>807</v>
      </c>
      <c r="M979" s="116"/>
    </row>
    <row r="980" spans="1:26" ht="15.75" customHeight="1" x14ac:dyDescent="0.25">
      <c r="A980" s="109">
        <v>1</v>
      </c>
      <c r="B980" s="397" t="s">
        <v>806</v>
      </c>
      <c r="C980" s="106" t="s">
        <v>804</v>
      </c>
      <c r="D980" s="106" t="str">
        <f t="shared" ref="D980:D981" si="623">IF(G980&lt;&gt;"rumus","Semester","")</f>
        <v/>
      </c>
      <c r="E980" s="398" t="str">
        <f t="shared" ref="E980:E981" si="624">IF(I980&lt;&gt;"",1,"")</f>
        <v/>
      </c>
      <c r="F980" s="398" t="str">
        <f t="shared" ref="F980:F981" si="625">IF(I980&lt;&gt;"",J980,"")</f>
        <v/>
      </c>
      <c r="G980" s="399" t="str">
        <f t="shared" ref="G980:G981" si="626">IF(J980&lt;&gt;"rumus","1 x "&amp;J980&amp;" = "&amp;J980,"rumus")</f>
        <v>rumus</v>
      </c>
      <c r="H980" s="106" t="s">
        <v>764</v>
      </c>
      <c r="I980" s="119"/>
      <c r="J980" s="418" t="str">
        <f t="shared" ref="J980:J981" si="627">IF(I980="Mengembangkan program kuliah per semester",2,"rumus")</f>
        <v>rumus</v>
      </c>
      <c r="K980" s="120"/>
      <c r="L980" s="120"/>
      <c r="M980" s="116"/>
      <c r="N980" s="2"/>
      <c r="O980" s="2"/>
      <c r="P980" s="2"/>
      <c r="Q980" s="2"/>
      <c r="R980" s="2"/>
      <c r="S980" s="2"/>
      <c r="T980" s="2"/>
      <c r="U980" s="2"/>
      <c r="V980" s="2"/>
      <c r="W980" s="2"/>
      <c r="X980" s="2"/>
      <c r="Y980" s="2"/>
      <c r="Z980" s="2"/>
    </row>
    <row r="981" spans="1:26" ht="15.75" customHeight="1" x14ac:dyDescent="0.25">
      <c r="A981" s="109">
        <v>2</v>
      </c>
      <c r="B981" s="397" t="s">
        <v>806</v>
      </c>
      <c r="C981" s="106" t="s">
        <v>804</v>
      </c>
      <c r="D981" s="106" t="str">
        <f t="shared" si="623"/>
        <v/>
      </c>
      <c r="E981" s="398" t="str">
        <f t="shared" si="624"/>
        <v/>
      </c>
      <c r="F981" s="398" t="str">
        <f t="shared" si="625"/>
        <v/>
      </c>
      <c r="G981" s="399" t="str">
        <f t="shared" si="626"/>
        <v>rumus</v>
      </c>
      <c r="H981" s="114" t="s">
        <v>26</v>
      </c>
      <c r="I981" s="119"/>
      <c r="J981" s="418" t="str">
        <f t="shared" si="627"/>
        <v>rumus</v>
      </c>
      <c r="K981" s="120"/>
      <c r="L981" s="120"/>
      <c r="M981" s="116"/>
      <c r="N981" s="2"/>
      <c r="O981" s="2"/>
      <c r="P981" s="2"/>
      <c r="Q981" s="2"/>
      <c r="R981" s="2"/>
      <c r="S981" s="2"/>
      <c r="T981" s="2"/>
      <c r="U981" s="2"/>
      <c r="V981" s="2"/>
      <c r="W981" s="2"/>
      <c r="X981" s="2"/>
      <c r="Y981" s="2"/>
      <c r="Z981" s="2"/>
    </row>
    <row r="982" spans="1:26" ht="15" customHeight="1" x14ac:dyDescent="0.2">
      <c r="A982" s="109"/>
      <c r="B982" s="406" t="str">
        <f>"a. Semester Genap "&amp;IF(C983&lt;&gt;"",C983,"")&amp;" :"</f>
        <v>a. Semester Genap 2007/2008 :</v>
      </c>
      <c r="C982" s="415"/>
      <c r="D982" s="415"/>
      <c r="E982" s="415"/>
      <c r="F982" s="415"/>
      <c r="G982" s="415"/>
      <c r="H982" s="416"/>
      <c r="I982" s="116"/>
      <c r="J982" s="116"/>
      <c r="K982" s="120">
        <f>IF(SUM(J980:J981)&gt;=2,2,SUM(J980:J981))</f>
        <v>0</v>
      </c>
      <c r="L982" s="120" t="s">
        <v>807</v>
      </c>
      <c r="M982" s="116"/>
    </row>
    <row r="983" spans="1:26" ht="15.75" customHeight="1" x14ac:dyDescent="0.2">
      <c r="A983" s="109">
        <v>1</v>
      </c>
      <c r="B983" s="397" t="s">
        <v>806</v>
      </c>
      <c r="C983" s="106" t="s">
        <v>382</v>
      </c>
      <c r="D983" s="106" t="str">
        <f t="shared" ref="D983:D984" si="628">IF(G983&lt;&gt;"rumus","Semester","")</f>
        <v/>
      </c>
      <c r="E983" s="398" t="str">
        <f t="shared" ref="E983:E984" si="629">IF(I983&lt;&gt;"",1,"")</f>
        <v/>
      </c>
      <c r="F983" s="398" t="str">
        <f t="shared" ref="F983:F984" si="630">IF(I983&lt;&gt;"",J983,"")</f>
        <v/>
      </c>
      <c r="G983" s="399" t="str">
        <f t="shared" ref="G983:G984" si="631">IF(J983&lt;&gt;"rumus","1 x "&amp;J983&amp;" = "&amp;J983,"rumus")</f>
        <v>rumus</v>
      </c>
      <c r="H983" s="106" t="s">
        <v>764</v>
      </c>
      <c r="I983" s="119"/>
      <c r="J983" s="418" t="str">
        <f t="shared" ref="J983:J984" si="632">IF(I983="Mengembangkan program kuliah per semester",2,"rumus")</f>
        <v>rumus</v>
      </c>
      <c r="K983" s="120"/>
      <c r="L983" s="120"/>
      <c r="M983" s="116"/>
    </row>
    <row r="984" spans="1:26" ht="15.75" customHeight="1" x14ac:dyDescent="0.2">
      <c r="A984" s="109">
        <v>2</v>
      </c>
      <c r="B984" s="397" t="s">
        <v>806</v>
      </c>
      <c r="C984" s="106" t="s">
        <v>382</v>
      </c>
      <c r="D984" s="106" t="str">
        <f t="shared" si="628"/>
        <v/>
      </c>
      <c r="E984" s="398" t="str">
        <f t="shared" si="629"/>
        <v/>
      </c>
      <c r="F984" s="398" t="str">
        <f t="shared" si="630"/>
        <v/>
      </c>
      <c r="G984" s="399" t="str">
        <f t="shared" si="631"/>
        <v>rumus</v>
      </c>
      <c r="H984" s="114" t="s">
        <v>26</v>
      </c>
      <c r="I984" s="119"/>
      <c r="J984" s="418" t="str">
        <f t="shared" si="632"/>
        <v>rumus</v>
      </c>
      <c r="K984" s="120"/>
      <c r="L984" s="120"/>
      <c r="M984" s="116"/>
    </row>
    <row r="985" spans="1:26" ht="15" customHeight="1" x14ac:dyDescent="0.2">
      <c r="A985" s="109"/>
      <c r="B985" s="406" t="str">
        <f>"a. Semester Genap "&amp;IF(C986&lt;&gt;"",C986,"")&amp;" :"</f>
        <v>a. Semester Genap 2008/2009 :</v>
      </c>
      <c r="C985" s="415"/>
      <c r="D985" s="415"/>
      <c r="E985" s="415"/>
      <c r="F985" s="415"/>
      <c r="G985" s="415"/>
      <c r="H985" s="416"/>
      <c r="I985" s="116"/>
      <c r="J985" s="116"/>
      <c r="K985" s="120">
        <f>IF(SUM(J983:J984)&gt;=2,2,SUM(J983:J984))</f>
        <v>0</v>
      </c>
      <c r="L985" s="120" t="s">
        <v>807</v>
      </c>
      <c r="M985" s="116"/>
    </row>
    <row r="986" spans="1:26" ht="15.75" customHeight="1" x14ac:dyDescent="0.25">
      <c r="A986" s="109">
        <v>1</v>
      </c>
      <c r="B986" s="397" t="s">
        <v>806</v>
      </c>
      <c r="C986" s="106" t="s">
        <v>383</v>
      </c>
      <c r="D986" s="106" t="str">
        <f t="shared" ref="D986:D987" si="633">IF(G986&lt;&gt;"rumus","Semester","")</f>
        <v/>
      </c>
      <c r="E986" s="398" t="str">
        <f t="shared" ref="E986:E987" si="634">IF(I986&lt;&gt;"",1,"")</f>
        <v/>
      </c>
      <c r="F986" s="398" t="str">
        <f t="shared" ref="F986:F987" si="635">IF(I986&lt;&gt;"",J986,"")</f>
        <v/>
      </c>
      <c r="G986" s="399" t="str">
        <f t="shared" ref="G986:G987" si="636">IF(J986&lt;&gt;"rumus","1 x "&amp;J986&amp;" = "&amp;J986,"rumus")</f>
        <v>rumus</v>
      </c>
      <c r="H986" s="106" t="s">
        <v>764</v>
      </c>
      <c r="I986" s="119"/>
      <c r="J986" s="418" t="str">
        <f t="shared" ref="J986:J987" si="637">IF(I986="Mengembangkan program kuliah per semester",2,"rumus")</f>
        <v>rumus</v>
      </c>
      <c r="K986" s="120"/>
      <c r="L986" s="120"/>
      <c r="M986" s="116"/>
      <c r="N986" s="2"/>
      <c r="O986" s="2"/>
      <c r="P986" s="2"/>
      <c r="Q986" s="2"/>
      <c r="R986" s="2"/>
      <c r="S986" s="2"/>
      <c r="T986" s="2"/>
      <c r="U986" s="2"/>
      <c r="V986" s="2"/>
      <c r="W986" s="2"/>
      <c r="X986" s="2"/>
      <c r="Y986" s="2"/>
      <c r="Z986" s="2"/>
    </row>
    <row r="987" spans="1:26" ht="15.75" customHeight="1" x14ac:dyDescent="0.25">
      <c r="A987" s="109">
        <v>2</v>
      </c>
      <c r="B987" s="397" t="s">
        <v>806</v>
      </c>
      <c r="C987" s="106" t="s">
        <v>383</v>
      </c>
      <c r="D987" s="106" t="str">
        <f t="shared" si="633"/>
        <v/>
      </c>
      <c r="E987" s="398" t="str">
        <f t="shared" si="634"/>
        <v/>
      </c>
      <c r="F987" s="398" t="str">
        <f t="shared" si="635"/>
        <v/>
      </c>
      <c r="G987" s="399" t="str">
        <f t="shared" si="636"/>
        <v>rumus</v>
      </c>
      <c r="H987" s="114" t="s">
        <v>26</v>
      </c>
      <c r="I987" s="119"/>
      <c r="J987" s="418" t="str">
        <f t="shared" si="637"/>
        <v>rumus</v>
      </c>
      <c r="K987" s="120"/>
      <c r="L987" s="120"/>
      <c r="M987" s="116"/>
      <c r="N987" s="2"/>
      <c r="O987" s="2"/>
      <c r="P987" s="2"/>
      <c r="Q987" s="2"/>
      <c r="R987" s="2"/>
      <c r="S987" s="2"/>
      <c r="T987" s="2"/>
      <c r="U987" s="2"/>
      <c r="V987" s="2"/>
      <c r="W987" s="2"/>
      <c r="X987" s="2"/>
      <c r="Y987" s="2"/>
      <c r="Z987" s="2"/>
    </row>
    <row r="988" spans="1:26" ht="15" customHeight="1" x14ac:dyDescent="0.2">
      <c r="A988" s="109"/>
      <c r="B988" s="406" t="str">
        <f>"a. Semester Genap "&amp;IF(C989&lt;&gt;"",C989,"")&amp;" :"</f>
        <v>a. Semester Genap 2009/2010 :</v>
      </c>
      <c r="C988" s="415"/>
      <c r="D988" s="415"/>
      <c r="E988" s="415"/>
      <c r="F988" s="415"/>
      <c r="G988" s="415"/>
      <c r="H988" s="416"/>
      <c r="I988" s="116"/>
      <c r="J988" s="116"/>
      <c r="K988" s="120">
        <f>IF(SUM(J986:J987)&gt;=2,2,SUM(J986:J987))</f>
        <v>0</v>
      </c>
      <c r="L988" s="120" t="s">
        <v>807</v>
      </c>
      <c r="M988" s="116"/>
    </row>
    <row r="989" spans="1:26" ht="15.75" customHeight="1" x14ac:dyDescent="0.25">
      <c r="A989" s="109">
        <v>1</v>
      </c>
      <c r="B989" s="397" t="s">
        <v>806</v>
      </c>
      <c r="C989" s="106" t="s">
        <v>384</v>
      </c>
      <c r="D989" s="106" t="str">
        <f t="shared" ref="D989:D990" si="638">IF(G989&lt;&gt;"rumus","Semester","")</f>
        <v/>
      </c>
      <c r="E989" s="398" t="str">
        <f t="shared" ref="E989:E990" si="639">IF(I989&lt;&gt;"",1,"")</f>
        <v/>
      </c>
      <c r="F989" s="398" t="str">
        <f t="shared" ref="F989:F990" si="640">IF(I989&lt;&gt;"",J989,"")</f>
        <v/>
      </c>
      <c r="G989" s="399" t="str">
        <f t="shared" ref="G989:G990" si="641">IF(J989&lt;&gt;"rumus","1 x "&amp;J989&amp;" = "&amp;J989,"rumus")</f>
        <v>rumus</v>
      </c>
      <c r="H989" s="106" t="s">
        <v>764</v>
      </c>
      <c r="I989" s="119"/>
      <c r="J989" s="418" t="str">
        <f t="shared" ref="J989:J990" si="642">IF(I989="Mengembangkan program kuliah per semester",2,"rumus")</f>
        <v>rumus</v>
      </c>
      <c r="K989" s="120"/>
      <c r="L989" s="120"/>
      <c r="M989" s="116"/>
      <c r="N989" s="2"/>
      <c r="O989" s="2"/>
      <c r="P989" s="2"/>
      <c r="Q989" s="2"/>
      <c r="R989" s="2"/>
      <c r="S989" s="2"/>
      <c r="T989" s="2"/>
      <c r="U989" s="2"/>
      <c r="V989" s="2"/>
      <c r="W989" s="2"/>
      <c r="X989" s="2"/>
      <c r="Y989" s="2"/>
      <c r="Z989" s="2"/>
    </row>
    <row r="990" spans="1:26" ht="15.75" customHeight="1" x14ac:dyDescent="0.25">
      <c r="A990" s="109">
        <v>2</v>
      </c>
      <c r="B990" s="397" t="s">
        <v>806</v>
      </c>
      <c r="C990" s="106" t="s">
        <v>384</v>
      </c>
      <c r="D990" s="106" t="str">
        <f t="shared" si="638"/>
        <v/>
      </c>
      <c r="E990" s="398" t="str">
        <f t="shared" si="639"/>
        <v/>
      </c>
      <c r="F990" s="398" t="str">
        <f t="shared" si="640"/>
        <v/>
      </c>
      <c r="G990" s="399" t="str">
        <f t="shared" si="641"/>
        <v>rumus</v>
      </c>
      <c r="H990" s="114" t="s">
        <v>26</v>
      </c>
      <c r="I990" s="119"/>
      <c r="J990" s="418" t="str">
        <f t="shared" si="642"/>
        <v>rumus</v>
      </c>
      <c r="K990" s="120"/>
      <c r="L990" s="120"/>
      <c r="M990" s="116"/>
      <c r="N990" s="2"/>
      <c r="O990" s="2"/>
      <c r="P990" s="2"/>
      <c r="Q990" s="2"/>
      <c r="R990" s="2"/>
      <c r="S990" s="2"/>
      <c r="T990" s="2"/>
      <c r="U990" s="2"/>
      <c r="V990" s="2"/>
      <c r="W990" s="2"/>
      <c r="X990" s="2"/>
      <c r="Y990" s="2"/>
      <c r="Z990" s="2"/>
    </row>
    <row r="991" spans="1:26" ht="15" customHeight="1" x14ac:dyDescent="0.2">
      <c r="A991" s="109"/>
      <c r="B991" s="406" t="str">
        <f>"a. Semester Genap "&amp;IF(C992&lt;&gt;"",C992,"")&amp;" :"</f>
        <v>a. Semester Genap 2010/2011 :</v>
      </c>
      <c r="C991" s="415"/>
      <c r="D991" s="415"/>
      <c r="E991" s="415"/>
      <c r="F991" s="415"/>
      <c r="G991" s="415"/>
      <c r="H991" s="416"/>
      <c r="I991" s="116"/>
      <c r="J991" s="116"/>
      <c r="K991" s="120">
        <f>IF(SUM(J989:J990)&gt;=2,2,SUM(J989:J990))</f>
        <v>0</v>
      </c>
      <c r="L991" s="120" t="s">
        <v>807</v>
      </c>
      <c r="M991" s="116"/>
    </row>
    <row r="992" spans="1:26" ht="15.75" customHeight="1" x14ac:dyDescent="0.2">
      <c r="A992" s="109">
        <v>1</v>
      </c>
      <c r="B992" s="397" t="s">
        <v>806</v>
      </c>
      <c r="C992" s="106" t="s">
        <v>385</v>
      </c>
      <c r="D992" s="106" t="str">
        <f t="shared" ref="D992:D993" si="643">IF(G992&lt;&gt;"rumus","Semester","")</f>
        <v/>
      </c>
      <c r="E992" s="398" t="str">
        <f t="shared" ref="E992:E993" si="644">IF(I992&lt;&gt;"",1,"")</f>
        <v/>
      </c>
      <c r="F992" s="398" t="str">
        <f t="shared" ref="F992:F993" si="645">IF(I992&lt;&gt;"",J992,"")</f>
        <v/>
      </c>
      <c r="G992" s="399" t="str">
        <f t="shared" ref="G992:G993" si="646">IF(J992&lt;&gt;"rumus","1 x "&amp;J992&amp;" = "&amp;J992,"rumus")</f>
        <v>rumus</v>
      </c>
      <c r="H992" s="106" t="s">
        <v>764</v>
      </c>
      <c r="I992" s="119"/>
      <c r="J992" s="418" t="str">
        <f t="shared" ref="J992:J993" si="647">IF(I992="Mengembangkan program kuliah per semester",2,"rumus")</f>
        <v>rumus</v>
      </c>
      <c r="K992" s="120"/>
      <c r="L992" s="120"/>
      <c r="M992" s="116"/>
    </row>
    <row r="993" spans="1:13" ht="15.75" customHeight="1" x14ac:dyDescent="0.2">
      <c r="A993" s="109">
        <v>2</v>
      </c>
      <c r="B993" s="397" t="s">
        <v>806</v>
      </c>
      <c r="C993" s="106" t="s">
        <v>385</v>
      </c>
      <c r="D993" s="106" t="str">
        <f t="shared" si="643"/>
        <v/>
      </c>
      <c r="E993" s="398" t="str">
        <f t="shared" si="644"/>
        <v/>
      </c>
      <c r="F993" s="398" t="str">
        <f t="shared" si="645"/>
        <v/>
      </c>
      <c r="G993" s="399" t="str">
        <f t="shared" si="646"/>
        <v>rumus</v>
      </c>
      <c r="H993" s="114" t="s">
        <v>26</v>
      </c>
      <c r="I993" s="119"/>
      <c r="J993" s="418" t="str">
        <f t="shared" si="647"/>
        <v>rumus</v>
      </c>
      <c r="K993" s="120"/>
      <c r="L993" s="120"/>
      <c r="M993" s="116"/>
    </row>
    <row r="994" spans="1:13" ht="15" customHeight="1" x14ac:dyDescent="0.2">
      <c r="A994" s="109"/>
      <c r="B994" s="406" t="str">
        <f>"a. Semester Genap "&amp;IF(C995&lt;&gt;"",C995,"")&amp;" :"</f>
        <v>a. Semester Genap 2011/2012 :</v>
      </c>
      <c r="C994" s="415"/>
      <c r="D994" s="415"/>
      <c r="E994" s="415"/>
      <c r="F994" s="415"/>
      <c r="G994" s="415"/>
      <c r="H994" s="416"/>
      <c r="I994" s="116"/>
      <c r="J994" s="116"/>
      <c r="K994" s="120">
        <f>IF(SUM(J992:J993)&gt;=2,2,SUM(J992:J993))</f>
        <v>0</v>
      </c>
      <c r="L994" s="120" t="s">
        <v>807</v>
      </c>
      <c r="M994" s="116"/>
    </row>
    <row r="995" spans="1:13" ht="15.75" customHeight="1" x14ac:dyDescent="0.2">
      <c r="A995" s="109">
        <v>1</v>
      </c>
      <c r="B995" s="397" t="s">
        <v>806</v>
      </c>
      <c r="C995" s="106" t="s">
        <v>355</v>
      </c>
      <c r="D995" s="106" t="str">
        <f t="shared" ref="D995:D996" si="648">IF(G995&lt;&gt;"rumus","Semester","")</f>
        <v/>
      </c>
      <c r="E995" s="398" t="str">
        <f t="shared" ref="E995:E996" si="649">IF(I995&lt;&gt;"",1,"")</f>
        <v/>
      </c>
      <c r="F995" s="398" t="str">
        <f t="shared" ref="F995:F996" si="650">IF(I995&lt;&gt;"",J995,"")</f>
        <v/>
      </c>
      <c r="G995" s="399" t="str">
        <f t="shared" ref="G995:G996" si="651">IF(J995&lt;&gt;"rumus","1 x "&amp;J995&amp;" = "&amp;J995,"rumus")</f>
        <v>rumus</v>
      </c>
      <c r="H995" s="106" t="s">
        <v>764</v>
      </c>
      <c r="I995" s="119"/>
      <c r="J995" s="418" t="str">
        <f t="shared" ref="J995:J996" si="652">IF(I995="Mengembangkan program kuliah per semester",2,"rumus")</f>
        <v>rumus</v>
      </c>
      <c r="K995" s="120"/>
      <c r="L995" s="120"/>
      <c r="M995" s="116"/>
    </row>
    <row r="996" spans="1:13" ht="15.75" customHeight="1" x14ac:dyDescent="0.2">
      <c r="A996" s="109">
        <v>2</v>
      </c>
      <c r="B996" s="397" t="s">
        <v>806</v>
      </c>
      <c r="C996" s="106" t="s">
        <v>355</v>
      </c>
      <c r="D996" s="106" t="str">
        <f t="shared" si="648"/>
        <v/>
      </c>
      <c r="E996" s="398" t="str">
        <f t="shared" si="649"/>
        <v/>
      </c>
      <c r="F996" s="398" t="str">
        <f t="shared" si="650"/>
        <v/>
      </c>
      <c r="G996" s="399" t="str">
        <f t="shared" si="651"/>
        <v>rumus</v>
      </c>
      <c r="H996" s="114" t="s">
        <v>26</v>
      </c>
      <c r="I996" s="119"/>
      <c r="J996" s="418" t="str">
        <f t="shared" si="652"/>
        <v>rumus</v>
      </c>
      <c r="K996" s="120"/>
      <c r="L996" s="120"/>
      <c r="M996" s="116"/>
    </row>
    <row r="997" spans="1:13" ht="15" customHeight="1" x14ac:dyDescent="0.2">
      <c r="A997" s="109"/>
      <c r="B997" s="406" t="str">
        <f>"a. Semester Genap "&amp;IF(C998&lt;&gt;"",C998,"")&amp;" :"</f>
        <v>a. Semester Genap 2012/2013 :</v>
      </c>
      <c r="C997" s="415"/>
      <c r="D997" s="415"/>
      <c r="E997" s="415"/>
      <c r="F997" s="415"/>
      <c r="G997" s="415"/>
      <c r="H997" s="416"/>
      <c r="I997" s="116"/>
      <c r="J997" s="116"/>
      <c r="K997" s="120">
        <f>IF(SUM(J995:J996)&gt;=2,2,SUM(J995:J996))</f>
        <v>0</v>
      </c>
      <c r="L997" s="120" t="s">
        <v>807</v>
      </c>
      <c r="M997" s="116"/>
    </row>
    <row r="998" spans="1:13" ht="15.75" customHeight="1" x14ac:dyDescent="0.2">
      <c r="A998" s="109">
        <v>1</v>
      </c>
      <c r="B998" s="397" t="s">
        <v>806</v>
      </c>
      <c r="C998" s="106" t="s">
        <v>312</v>
      </c>
      <c r="D998" s="106" t="str">
        <f t="shared" ref="D998:D999" si="653">IF(G998&lt;&gt;"rumus","Semester","")</f>
        <v/>
      </c>
      <c r="E998" s="398" t="str">
        <f t="shared" ref="E998:E999" si="654">IF(I998&lt;&gt;"",1,"")</f>
        <v/>
      </c>
      <c r="F998" s="398" t="str">
        <f t="shared" ref="F998:F999" si="655">IF(I998&lt;&gt;"",J998,"")</f>
        <v/>
      </c>
      <c r="G998" s="399" t="str">
        <f t="shared" ref="G998:G999" si="656">IF(J998&lt;&gt;"rumus","1 x "&amp;J998&amp;" = "&amp;J998,"rumus")</f>
        <v>rumus</v>
      </c>
      <c r="H998" s="106" t="s">
        <v>764</v>
      </c>
      <c r="I998" s="119"/>
      <c r="J998" s="418" t="str">
        <f t="shared" ref="J998:J999" si="657">IF(I998="Mengembangkan program kuliah per semester",2,"rumus")</f>
        <v>rumus</v>
      </c>
      <c r="K998" s="120"/>
      <c r="L998" s="120"/>
      <c r="M998" s="116"/>
    </row>
    <row r="999" spans="1:13" ht="15.75" customHeight="1" x14ac:dyDescent="0.2">
      <c r="A999" s="109">
        <v>2</v>
      </c>
      <c r="B999" s="397" t="s">
        <v>806</v>
      </c>
      <c r="C999" s="106" t="s">
        <v>312</v>
      </c>
      <c r="D999" s="106" t="str">
        <f t="shared" si="653"/>
        <v/>
      </c>
      <c r="E999" s="398" t="str">
        <f t="shared" si="654"/>
        <v/>
      </c>
      <c r="F999" s="398" t="str">
        <f t="shared" si="655"/>
        <v/>
      </c>
      <c r="G999" s="399" t="str">
        <f t="shared" si="656"/>
        <v>rumus</v>
      </c>
      <c r="H999" s="114" t="s">
        <v>26</v>
      </c>
      <c r="I999" s="119"/>
      <c r="J999" s="418" t="str">
        <f t="shared" si="657"/>
        <v>rumus</v>
      </c>
      <c r="K999" s="120"/>
      <c r="L999" s="120"/>
      <c r="M999" s="116"/>
    </row>
    <row r="1000" spans="1:13" ht="15" customHeight="1" x14ac:dyDescent="0.2">
      <c r="A1000" s="109"/>
      <c r="B1000" s="406" t="str">
        <f>"a. Semester Genap "&amp;IF(C1001&lt;&gt;"",C1001,"")&amp;" :"</f>
        <v>a. Semester Genap 2013/2014 :</v>
      </c>
      <c r="C1000" s="415"/>
      <c r="D1000" s="415"/>
      <c r="E1000" s="415"/>
      <c r="F1000" s="415"/>
      <c r="G1000" s="415"/>
      <c r="H1000" s="416"/>
      <c r="I1000" s="116"/>
      <c r="J1000" s="116"/>
      <c r="K1000" s="120">
        <f>IF(SUM(J998:J999)&gt;=2,2,SUM(J998:J999))</f>
        <v>0</v>
      </c>
      <c r="L1000" s="120" t="s">
        <v>807</v>
      </c>
      <c r="M1000" s="116"/>
    </row>
    <row r="1001" spans="1:13" ht="15.75" customHeight="1" x14ac:dyDescent="0.2">
      <c r="A1001" s="109">
        <v>1</v>
      </c>
      <c r="B1001" s="397" t="s">
        <v>806</v>
      </c>
      <c r="C1001" s="106" t="s">
        <v>317</v>
      </c>
      <c r="D1001" s="106" t="str">
        <f t="shared" ref="D1001:D1002" si="658">IF(G1001&lt;&gt;"rumus","Semester","")</f>
        <v/>
      </c>
      <c r="E1001" s="398" t="str">
        <f t="shared" ref="E1001:E1002" si="659">IF(I1001&lt;&gt;"",1,"")</f>
        <v/>
      </c>
      <c r="F1001" s="398" t="str">
        <f t="shared" ref="F1001:F1002" si="660">IF(I1001&lt;&gt;"",J1001,"")</f>
        <v/>
      </c>
      <c r="G1001" s="399" t="str">
        <f t="shared" ref="G1001:G1002" si="661">IF(J1001&lt;&gt;"rumus","1 x "&amp;J1001&amp;" = "&amp;J1001,"rumus")</f>
        <v>rumus</v>
      </c>
      <c r="H1001" s="106" t="s">
        <v>764</v>
      </c>
      <c r="I1001" s="119"/>
      <c r="J1001" s="418" t="str">
        <f t="shared" ref="J1001:J1002" si="662">IF(I1001="Mengembangkan program kuliah per semester",2,"rumus")</f>
        <v>rumus</v>
      </c>
      <c r="K1001" s="120"/>
      <c r="L1001" s="120"/>
      <c r="M1001" s="116"/>
    </row>
    <row r="1002" spans="1:13" ht="15.75" customHeight="1" x14ac:dyDescent="0.2">
      <c r="A1002" s="109">
        <v>2</v>
      </c>
      <c r="B1002" s="397" t="s">
        <v>806</v>
      </c>
      <c r="C1002" s="106" t="s">
        <v>317</v>
      </c>
      <c r="D1002" s="106" t="str">
        <f t="shared" si="658"/>
        <v/>
      </c>
      <c r="E1002" s="398" t="str">
        <f t="shared" si="659"/>
        <v/>
      </c>
      <c r="F1002" s="398" t="str">
        <f t="shared" si="660"/>
        <v/>
      </c>
      <c r="G1002" s="399" t="str">
        <f t="shared" si="661"/>
        <v>rumus</v>
      </c>
      <c r="H1002" s="114" t="s">
        <v>26</v>
      </c>
      <c r="I1002" s="119"/>
      <c r="J1002" s="418" t="str">
        <f t="shared" si="662"/>
        <v>rumus</v>
      </c>
      <c r="K1002" s="120"/>
      <c r="L1002" s="120"/>
      <c r="M1002" s="116"/>
    </row>
    <row r="1003" spans="1:13" ht="15" customHeight="1" x14ac:dyDescent="0.2">
      <c r="A1003" s="109"/>
      <c r="B1003" s="406" t="str">
        <f>"a. Semester Genap "&amp;IF(C1004&lt;&gt;"",C1004,"")&amp;" :"</f>
        <v>a. Semester Genap 2014/2015 :</v>
      </c>
      <c r="C1003" s="415"/>
      <c r="D1003" s="415"/>
      <c r="E1003" s="415"/>
      <c r="F1003" s="415"/>
      <c r="G1003" s="415"/>
      <c r="H1003" s="416"/>
      <c r="I1003" s="116"/>
      <c r="J1003" s="116"/>
      <c r="K1003" s="120">
        <f>IF(SUM(J1001:J1002)&gt;=2,2,SUM(J1001:J1002))</f>
        <v>0</v>
      </c>
      <c r="L1003" s="120" t="s">
        <v>807</v>
      </c>
      <c r="M1003" s="116"/>
    </row>
    <row r="1004" spans="1:13" ht="15.75" customHeight="1" x14ac:dyDescent="0.2">
      <c r="A1004" s="109">
        <v>1</v>
      </c>
      <c r="B1004" s="397" t="s">
        <v>806</v>
      </c>
      <c r="C1004" s="106" t="s">
        <v>319</v>
      </c>
      <c r="D1004" s="106" t="str">
        <f t="shared" ref="D1004:D1005" si="663">IF(G1004&lt;&gt;"rumus","Semester","")</f>
        <v/>
      </c>
      <c r="E1004" s="398" t="str">
        <f t="shared" ref="E1004:E1005" si="664">IF(I1004&lt;&gt;"",1,"")</f>
        <v/>
      </c>
      <c r="F1004" s="398" t="str">
        <f t="shared" ref="F1004:F1005" si="665">IF(I1004&lt;&gt;"",J1004,"")</f>
        <v/>
      </c>
      <c r="G1004" s="399" t="str">
        <f t="shared" ref="G1004:G1005" si="666">IF(J1004&lt;&gt;"rumus","1 x "&amp;J1004&amp;" = "&amp;J1004,"rumus")</f>
        <v>rumus</v>
      </c>
      <c r="H1004" s="106" t="s">
        <v>764</v>
      </c>
      <c r="I1004" s="119"/>
      <c r="J1004" s="418" t="str">
        <f t="shared" ref="J1004:J1005" si="667">IF(I1004="Mengembangkan program kuliah per semester",2,"rumus")</f>
        <v>rumus</v>
      </c>
      <c r="K1004" s="120"/>
      <c r="L1004" s="120"/>
      <c r="M1004" s="116"/>
    </row>
    <row r="1005" spans="1:13" ht="15.75" customHeight="1" x14ac:dyDescent="0.2">
      <c r="A1005" s="109">
        <v>2</v>
      </c>
      <c r="B1005" s="397" t="s">
        <v>806</v>
      </c>
      <c r="C1005" s="106" t="s">
        <v>319</v>
      </c>
      <c r="D1005" s="106" t="str">
        <f t="shared" si="663"/>
        <v/>
      </c>
      <c r="E1005" s="398" t="str">
        <f t="shared" si="664"/>
        <v/>
      </c>
      <c r="F1005" s="398" t="str">
        <f t="shared" si="665"/>
        <v/>
      </c>
      <c r="G1005" s="399" t="str">
        <f t="shared" si="666"/>
        <v>rumus</v>
      </c>
      <c r="H1005" s="114" t="s">
        <v>26</v>
      </c>
      <c r="I1005" s="119"/>
      <c r="J1005" s="418" t="str">
        <f t="shared" si="667"/>
        <v>rumus</v>
      </c>
      <c r="K1005" s="120"/>
      <c r="L1005" s="120"/>
      <c r="M1005" s="116"/>
    </row>
    <row r="1006" spans="1:13" ht="15" customHeight="1" x14ac:dyDescent="0.2">
      <c r="A1006" s="109"/>
      <c r="B1006" s="406" t="str">
        <f>"a. Semester Genap "&amp;IF(C1007&lt;&gt;"",C1007,"")&amp;" :"</f>
        <v>a. Semester Genap 2015/2016 :</v>
      </c>
      <c r="C1006" s="415"/>
      <c r="D1006" s="415"/>
      <c r="E1006" s="415"/>
      <c r="F1006" s="415"/>
      <c r="G1006" s="415"/>
      <c r="H1006" s="416"/>
      <c r="I1006" s="116"/>
      <c r="J1006" s="116"/>
      <c r="K1006" s="120">
        <f>IF(SUM(J1004:J1005)&gt;=2,2,SUM(J1004:J1005))</f>
        <v>0</v>
      </c>
      <c r="L1006" s="120" t="s">
        <v>807</v>
      </c>
      <c r="M1006" s="116"/>
    </row>
    <row r="1007" spans="1:13" ht="15.75" customHeight="1" x14ac:dyDescent="0.2">
      <c r="A1007" s="109">
        <v>1</v>
      </c>
      <c r="B1007" s="397" t="s">
        <v>806</v>
      </c>
      <c r="C1007" s="106" t="s">
        <v>321</v>
      </c>
      <c r="D1007" s="106" t="str">
        <f t="shared" ref="D1007:D1008" si="668">IF(G1007&lt;&gt;"rumus","Semester","")</f>
        <v/>
      </c>
      <c r="E1007" s="398" t="str">
        <f t="shared" ref="E1007:E1008" si="669">IF(I1007&lt;&gt;"",1,"")</f>
        <v/>
      </c>
      <c r="F1007" s="398" t="str">
        <f t="shared" ref="F1007:F1008" si="670">IF(I1007&lt;&gt;"",J1007,"")</f>
        <v/>
      </c>
      <c r="G1007" s="399" t="str">
        <f t="shared" ref="G1007:G1008" si="671">IF(J1007&lt;&gt;"rumus","1 x "&amp;J1007&amp;" = "&amp;J1007,"rumus")</f>
        <v>rumus</v>
      </c>
      <c r="H1007" s="106" t="s">
        <v>764</v>
      </c>
      <c r="I1007" s="119"/>
      <c r="J1007" s="418" t="str">
        <f t="shared" ref="J1007:J1008" si="672">IF(I1007="Mengembangkan program kuliah per semester",2,"rumus")</f>
        <v>rumus</v>
      </c>
      <c r="K1007" s="120"/>
      <c r="L1007" s="120"/>
      <c r="M1007" s="116"/>
    </row>
    <row r="1008" spans="1:13" ht="15.75" customHeight="1" x14ac:dyDescent="0.2">
      <c r="A1008" s="109">
        <v>2</v>
      </c>
      <c r="B1008" s="397" t="s">
        <v>806</v>
      </c>
      <c r="C1008" s="106" t="s">
        <v>321</v>
      </c>
      <c r="D1008" s="106" t="str">
        <f t="shared" si="668"/>
        <v/>
      </c>
      <c r="E1008" s="398" t="str">
        <f t="shared" si="669"/>
        <v/>
      </c>
      <c r="F1008" s="398" t="str">
        <f t="shared" si="670"/>
        <v/>
      </c>
      <c r="G1008" s="399" t="str">
        <f t="shared" si="671"/>
        <v>rumus</v>
      </c>
      <c r="H1008" s="114" t="s">
        <v>26</v>
      </c>
      <c r="I1008" s="119"/>
      <c r="J1008" s="418" t="str">
        <f t="shared" si="672"/>
        <v>rumus</v>
      </c>
      <c r="K1008" s="120"/>
      <c r="L1008" s="120"/>
      <c r="M1008" s="116"/>
    </row>
    <row r="1009" spans="1:13" ht="15" customHeight="1" x14ac:dyDescent="0.25">
      <c r="A1009" s="124"/>
      <c r="B1009" s="614" t="s">
        <v>304</v>
      </c>
      <c r="C1009" s="615"/>
      <c r="D1009" s="616"/>
      <c r="E1009" s="403"/>
      <c r="F1009" s="403"/>
      <c r="G1009" s="113">
        <f>SUM(K939:K1009)</f>
        <v>0</v>
      </c>
      <c r="H1009" s="99"/>
      <c r="I1009" s="125"/>
      <c r="J1009" s="116"/>
      <c r="K1009" s="120">
        <f>IF(SUM(J1007:J1008)&gt;=2,2,SUM(J1007:J1008))</f>
        <v>0</v>
      </c>
      <c r="L1009" s="120" t="s">
        <v>807</v>
      </c>
      <c r="M1009" s="116"/>
    </row>
    <row r="1010" spans="1:13" ht="15" customHeight="1" x14ac:dyDescent="0.25">
      <c r="A1010" s="115" t="s">
        <v>95</v>
      </c>
      <c r="B1010" s="423" t="s">
        <v>808</v>
      </c>
      <c r="C1010" s="126"/>
      <c r="D1010" s="126"/>
      <c r="E1010" s="126"/>
      <c r="F1010" s="126"/>
      <c r="G1010" s="126"/>
      <c r="H1010" s="127"/>
      <c r="I1010" s="116"/>
      <c r="J1010" s="116"/>
      <c r="K1010" s="116"/>
      <c r="L1010" s="116"/>
      <c r="M1010" s="116"/>
    </row>
    <row r="1011" spans="1:13" ht="15" customHeight="1" x14ac:dyDescent="0.2">
      <c r="A1011" s="109"/>
      <c r="B1011" s="424" t="s">
        <v>380</v>
      </c>
      <c r="C1011" s="415"/>
      <c r="D1011" s="415"/>
      <c r="E1011" s="415"/>
      <c r="F1011" s="415"/>
      <c r="G1011" s="415"/>
      <c r="H1011" s="416"/>
      <c r="I1011" s="116"/>
      <c r="J1011" s="116"/>
      <c r="K1011" s="116"/>
      <c r="L1011" s="116"/>
      <c r="M1011" s="116"/>
    </row>
    <row r="1012" spans="1:13" ht="15" customHeight="1" x14ac:dyDescent="0.2">
      <c r="A1012" s="109">
        <v>1</v>
      </c>
      <c r="B1012" s="425" t="s">
        <v>809</v>
      </c>
      <c r="C1012" s="106" t="s">
        <v>705</v>
      </c>
      <c r="D1012" s="106" t="str">
        <f t="shared" ref="D1012:D1023" si="673">IF(G1012&lt;&gt;"rumus","Eksampelar","")</f>
        <v/>
      </c>
      <c r="E1012" s="398" t="str">
        <f t="shared" ref="E1012:E1023" si="674">IF(I1012&lt;&gt;"",1,"")</f>
        <v/>
      </c>
      <c r="F1012" s="398" t="str">
        <f t="shared" ref="F1012:F1023" si="675">IF(I1012&lt;&gt;"",J1012,"")</f>
        <v/>
      </c>
      <c r="G1012" s="399" t="str">
        <f t="shared" ref="G1012:G1023" si="676">IF(J1012&lt;&gt;"rumus","1 x "&amp;J1012&amp;" = "&amp;J1012,"rumus")</f>
        <v>rumus</v>
      </c>
      <c r="H1012" s="106" t="s">
        <v>764</v>
      </c>
      <c r="I1012" s="420"/>
      <c r="J1012" s="418" t="str">
        <f t="shared" ref="J1012:J1023" si="677">IF(I1012&lt;&gt;"",IF(I1012="Buku Pertahun",20,IF(I1012="Diktat/Modul Persemester",5,"")),"rumus")</f>
        <v>rumus</v>
      </c>
      <c r="K1012" s="116"/>
      <c r="L1012" s="116"/>
    </row>
    <row r="1013" spans="1:13" ht="15" customHeight="1" x14ac:dyDescent="0.2">
      <c r="A1013" s="109">
        <v>2</v>
      </c>
      <c r="B1013" s="397" t="s">
        <v>809</v>
      </c>
      <c r="C1013" s="106" t="s">
        <v>803</v>
      </c>
      <c r="D1013" s="106" t="str">
        <f t="shared" si="673"/>
        <v/>
      </c>
      <c r="E1013" s="398" t="str">
        <f t="shared" si="674"/>
        <v/>
      </c>
      <c r="F1013" s="398" t="str">
        <f t="shared" si="675"/>
        <v/>
      </c>
      <c r="G1013" s="399" t="str">
        <f t="shared" si="676"/>
        <v>rumus</v>
      </c>
      <c r="H1013" s="114" t="s">
        <v>26</v>
      </c>
      <c r="I1013" s="420"/>
      <c r="J1013" s="418" t="str">
        <f t="shared" si="677"/>
        <v>rumus</v>
      </c>
      <c r="K1013" s="116"/>
      <c r="L1013" s="116"/>
    </row>
    <row r="1014" spans="1:13" ht="15" customHeight="1" x14ac:dyDescent="0.2">
      <c r="A1014" s="109">
        <v>3</v>
      </c>
      <c r="B1014" s="397" t="s">
        <v>809</v>
      </c>
      <c r="C1014" s="106" t="s">
        <v>804</v>
      </c>
      <c r="D1014" s="106" t="str">
        <f t="shared" si="673"/>
        <v/>
      </c>
      <c r="E1014" s="398" t="str">
        <f t="shared" si="674"/>
        <v/>
      </c>
      <c r="F1014" s="398" t="str">
        <f t="shared" si="675"/>
        <v/>
      </c>
      <c r="G1014" s="399" t="str">
        <f t="shared" si="676"/>
        <v>rumus</v>
      </c>
      <c r="H1014" s="114" t="s">
        <v>26</v>
      </c>
      <c r="I1014" s="420"/>
      <c r="J1014" s="418" t="str">
        <f t="shared" si="677"/>
        <v>rumus</v>
      </c>
      <c r="K1014" s="116"/>
      <c r="L1014" s="116"/>
    </row>
    <row r="1015" spans="1:13" ht="15" customHeight="1" x14ac:dyDescent="0.2">
      <c r="A1015" s="109">
        <v>4</v>
      </c>
      <c r="B1015" s="397" t="s">
        <v>809</v>
      </c>
      <c r="C1015" s="106" t="s">
        <v>382</v>
      </c>
      <c r="D1015" s="106" t="str">
        <f t="shared" si="673"/>
        <v/>
      </c>
      <c r="E1015" s="398" t="str">
        <f t="shared" si="674"/>
        <v/>
      </c>
      <c r="F1015" s="398" t="str">
        <f t="shared" si="675"/>
        <v/>
      </c>
      <c r="G1015" s="399" t="str">
        <f t="shared" si="676"/>
        <v>rumus</v>
      </c>
      <c r="H1015" s="114" t="s">
        <v>26</v>
      </c>
      <c r="I1015" s="420"/>
      <c r="J1015" s="418" t="str">
        <f t="shared" si="677"/>
        <v>rumus</v>
      </c>
      <c r="K1015" s="116"/>
      <c r="L1015" s="116"/>
    </row>
    <row r="1016" spans="1:13" ht="15" customHeight="1" x14ac:dyDescent="0.2">
      <c r="A1016" s="109">
        <v>5</v>
      </c>
      <c r="B1016" s="397" t="s">
        <v>809</v>
      </c>
      <c r="C1016" s="106" t="s">
        <v>383</v>
      </c>
      <c r="D1016" s="106" t="str">
        <f t="shared" si="673"/>
        <v/>
      </c>
      <c r="E1016" s="398" t="str">
        <f t="shared" si="674"/>
        <v/>
      </c>
      <c r="F1016" s="398" t="str">
        <f t="shared" si="675"/>
        <v/>
      </c>
      <c r="G1016" s="399" t="str">
        <f t="shared" si="676"/>
        <v>rumus</v>
      </c>
      <c r="H1016" s="114" t="s">
        <v>26</v>
      </c>
      <c r="I1016" s="420"/>
      <c r="J1016" s="418" t="str">
        <f t="shared" si="677"/>
        <v>rumus</v>
      </c>
      <c r="K1016" s="116"/>
      <c r="L1016" s="116"/>
    </row>
    <row r="1017" spans="1:13" ht="15" customHeight="1" x14ac:dyDescent="0.2">
      <c r="A1017" s="109">
        <v>6</v>
      </c>
      <c r="B1017" s="397" t="s">
        <v>809</v>
      </c>
      <c r="C1017" s="106" t="s">
        <v>384</v>
      </c>
      <c r="D1017" s="106" t="str">
        <f t="shared" si="673"/>
        <v/>
      </c>
      <c r="E1017" s="398" t="str">
        <f t="shared" si="674"/>
        <v/>
      </c>
      <c r="F1017" s="398" t="str">
        <f t="shared" si="675"/>
        <v/>
      </c>
      <c r="G1017" s="399" t="str">
        <f t="shared" si="676"/>
        <v>rumus</v>
      </c>
      <c r="H1017" s="114" t="s">
        <v>26</v>
      </c>
      <c r="I1017" s="420"/>
      <c r="J1017" s="418" t="str">
        <f t="shared" si="677"/>
        <v>rumus</v>
      </c>
      <c r="K1017" s="116"/>
      <c r="L1017" s="116"/>
    </row>
    <row r="1018" spans="1:13" ht="15" customHeight="1" x14ac:dyDescent="0.2">
      <c r="A1018" s="109">
        <v>7</v>
      </c>
      <c r="B1018" s="397" t="s">
        <v>809</v>
      </c>
      <c r="C1018" s="106" t="s">
        <v>385</v>
      </c>
      <c r="D1018" s="106" t="str">
        <f t="shared" si="673"/>
        <v/>
      </c>
      <c r="E1018" s="398" t="str">
        <f t="shared" si="674"/>
        <v/>
      </c>
      <c r="F1018" s="398" t="str">
        <f t="shared" si="675"/>
        <v/>
      </c>
      <c r="G1018" s="399" t="str">
        <f t="shared" si="676"/>
        <v>rumus</v>
      </c>
      <c r="H1018" s="114" t="s">
        <v>26</v>
      </c>
      <c r="I1018" s="420"/>
      <c r="J1018" s="418" t="str">
        <f t="shared" si="677"/>
        <v>rumus</v>
      </c>
      <c r="K1018" s="116"/>
      <c r="L1018" s="116"/>
    </row>
    <row r="1019" spans="1:13" ht="15" customHeight="1" x14ac:dyDescent="0.2">
      <c r="A1019" s="109">
        <v>8</v>
      </c>
      <c r="B1019" s="397" t="s">
        <v>809</v>
      </c>
      <c r="C1019" s="106" t="s">
        <v>355</v>
      </c>
      <c r="D1019" s="106" t="str">
        <f t="shared" si="673"/>
        <v/>
      </c>
      <c r="E1019" s="398" t="str">
        <f t="shared" si="674"/>
        <v/>
      </c>
      <c r="F1019" s="398" t="str">
        <f t="shared" si="675"/>
        <v/>
      </c>
      <c r="G1019" s="399" t="str">
        <f t="shared" si="676"/>
        <v>rumus</v>
      </c>
      <c r="H1019" s="114" t="s">
        <v>26</v>
      </c>
      <c r="I1019" s="420"/>
      <c r="J1019" s="418" t="str">
        <f t="shared" si="677"/>
        <v>rumus</v>
      </c>
      <c r="K1019" s="116"/>
      <c r="L1019" s="116"/>
    </row>
    <row r="1020" spans="1:13" ht="15" customHeight="1" x14ac:dyDescent="0.2">
      <c r="A1020" s="109">
        <v>9</v>
      </c>
      <c r="B1020" s="397" t="s">
        <v>809</v>
      </c>
      <c r="C1020" s="106" t="s">
        <v>312</v>
      </c>
      <c r="D1020" s="106" t="str">
        <f t="shared" si="673"/>
        <v/>
      </c>
      <c r="E1020" s="398" t="str">
        <f t="shared" si="674"/>
        <v/>
      </c>
      <c r="F1020" s="398" t="str">
        <f t="shared" si="675"/>
        <v/>
      </c>
      <c r="G1020" s="399" t="str">
        <f t="shared" si="676"/>
        <v>rumus</v>
      </c>
      <c r="H1020" s="114" t="s">
        <v>26</v>
      </c>
      <c r="I1020" s="420"/>
      <c r="J1020" s="418" t="str">
        <f t="shared" si="677"/>
        <v>rumus</v>
      </c>
      <c r="K1020" s="116"/>
      <c r="L1020" s="116"/>
    </row>
    <row r="1021" spans="1:13" ht="15" customHeight="1" x14ac:dyDescent="0.2">
      <c r="A1021" s="109">
        <v>10</v>
      </c>
      <c r="B1021" s="397" t="s">
        <v>809</v>
      </c>
      <c r="C1021" s="106" t="s">
        <v>317</v>
      </c>
      <c r="D1021" s="106" t="str">
        <f t="shared" si="673"/>
        <v/>
      </c>
      <c r="E1021" s="398" t="str">
        <f t="shared" si="674"/>
        <v/>
      </c>
      <c r="F1021" s="398" t="str">
        <f t="shared" si="675"/>
        <v/>
      </c>
      <c r="G1021" s="399" t="str">
        <f t="shared" si="676"/>
        <v>rumus</v>
      </c>
      <c r="H1021" s="114" t="s">
        <v>26</v>
      </c>
      <c r="I1021" s="420"/>
      <c r="J1021" s="418" t="str">
        <f t="shared" si="677"/>
        <v>rumus</v>
      </c>
      <c r="K1021" s="116"/>
      <c r="L1021" s="116"/>
    </row>
    <row r="1022" spans="1:13" ht="15" customHeight="1" x14ac:dyDescent="0.2">
      <c r="A1022" s="109">
        <v>11</v>
      </c>
      <c r="B1022" s="397" t="s">
        <v>809</v>
      </c>
      <c r="C1022" s="106" t="s">
        <v>319</v>
      </c>
      <c r="D1022" s="106" t="str">
        <f t="shared" si="673"/>
        <v/>
      </c>
      <c r="E1022" s="398" t="str">
        <f t="shared" si="674"/>
        <v/>
      </c>
      <c r="F1022" s="398" t="str">
        <f t="shared" si="675"/>
        <v/>
      </c>
      <c r="G1022" s="399" t="str">
        <f t="shared" si="676"/>
        <v>rumus</v>
      </c>
      <c r="H1022" s="114" t="s">
        <v>26</v>
      </c>
      <c r="I1022" s="420"/>
      <c r="J1022" s="418" t="str">
        <f t="shared" si="677"/>
        <v>rumus</v>
      </c>
      <c r="K1022" s="116"/>
      <c r="L1022" s="116"/>
    </row>
    <row r="1023" spans="1:13" ht="15" customHeight="1" x14ac:dyDescent="0.2">
      <c r="A1023" s="109">
        <v>12</v>
      </c>
      <c r="B1023" s="397" t="s">
        <v>809</v>
      </c>
      <c r="C1023" s="106" t="s">
        <v>321</v>
      </c>
      <c r="D1023" s="106" t="str">
        <f t="shared" si="673"/>
        <v/>
      </c>
      <c r="E1023" s="398" t="str">
        <f t="shared" si="674"/>
        <v/>
      </c>
      <c r="F1023" s="398" t="str">
        <f t="shared" si="675"/>
        <v/>
      </c>
      <c r="G1023" s="399" t="str">
        <f t="shared" si="676"/>
        <v>rumus</v>
      </c>
      <c r="H1023" s="114" t="s">
        <v>26</v>
      </c>
      <c r="I1023" s="420"/>
      <c r="J1023" s="418" t="str">
        <f t="shared" si="677"/>
        <v>rumus</v>
      </c>
      <c r="K1023" s="116"/>
      <c r="L1023" s="116"/>
    </row>
    <row r="1024" spans="1:13" ht="15" customHeight="1" x14ac:dyDescent="0.2">
      <c r="A1024" s="124"/>
      <c r="B1024" s="424" t="s">
        <v>810</v>
      </c>
      <c r="C1024" s="415"/>
      <c r="D1024" s="415"/>
      <c r="E1024" s="415"/>
      <c r="F1024" s="415"/>
      <c r="G1024" s="415"/>
      <c r="H1024" s="416"/>
      <c r="I1024" s="116"/>
      <c r="J1024" s="116"/>
      <c r="K1024" s="116">
        <f>SUM(J1012:J1023)</f>
        <v>0</v>
      </c>
      <c r="L1024" s="116"/>
    </row>
    <row r="1025" spans="1:26" ht="15" customHeight="1" x14ac:dyDescent="0.2">
      <c r="A1025" s="109">
        <v>1</v>
      </c>
      <c r="B1025" s="397" t="s">
        <v>809</v>
      </c>
      <c r="C1025" s="106" t="s">
        <v>705</v>
      </c>
      <c r="D1025" s="106" t="str">
        <f t="shared" ref="D1025:D1036" si="678">IF(G1025&lt;&gt;"rumus","Eksampelar","")</f>
        <v/>
      </c>
      <c r="E1025" s="398" t="str">
        <f t="shared" ref="E1025:E1036" si="679">IF(I1025&lt;&gt;"",1,"")</f>
        <v/>
      </c>
      <c r="F1025" s="398" t="str">
        <f t="shared" ref="F1025:F1036" si="680">IF(I1025&lt;&gt;"",J1025,"")</f>
        <v/>
      </c>
      <c r="G1025" s="399" t="str">
        <f t="shared" ref="G1025:G1036" si="681">IF(J1025&lt;&gt;"rumus","1 x "&amp;J1025&amp;" = "&amp;J1025,"rumus")</f>
        <v>rumus</v>
      </c>
      <c r="H1025" s="106" t="s">
        <v>764</v>
      </c>
      <c r="I1025" s="420"/>
      <c r="J1025" s="418" t="str">
        <f t="shared" ref="J1025:J1036" si="682">IF(I1025&lt;&gt;"",IF(I1025="Buku Pertahun",20,IF(I1025="Diktat/Modul Persemester",5,"")),"rumus")</f>
        <v>rumus</v>
      </c>
      <c r="K1025" s="116"/>
      <c r="L1025" s="116"/>
    </row>
    <row r="1026" spans="1:26" ht="15" customHeight="1" x14ac:dyDescent="0.2">
      <c r="A1026" s="109">
        <v>2</v>
      </c>
      <c r="B1026" s="397" t="s">
        <v>809</v>
      </c>
      <c r="C1026" s="106" t="s">
        <v>803</v>
      </c>
      <c r="D1026" s="106" t="str">
        <f t="shared" si="678"/>
        <v/>
      </c>
      <c r="E1026" s="398" t="str">
        <f t="shared" si="679"/>
        <v/>
      </c>
      <c r="F1026" s="398" t="str">
        <f t="shared" si="680"/>
        <v/>
      </c>
      <c r="G1026" s="399" t="str">
        <f t="shared" si="681"/>
        <v>rumus</v>
      </c>
      <c r="H1026" s="114" t="s">
        <v>26</v>
      </c>
      <c r="I1026" s="420"/>
      <c r="J1026" s="418" t="str">
        <f t="shared" si="682"/>
        <v>rumus</v>
      </c>
      <c r="K1026" s="116"/>
      <c r="L1026" s="116"/>
    </row>
    <row r="1027" spans="1:26" ht="15" customHeight="1" x14ac:dyDescent="0.2">
      <c r="A1027" s="109">
        <v>3</v>
      </c>
      <c r="B1027" s="397" t="s">
        <v>809</v>
      </c>
      <c r="C1027" s="106" t="s">
        <v>804</v>
      </c>
      <c r="D1027" s="106" t="str">
        <f t="shared" si="678"/>
        <v/>
      </c>
      <c r="E1027" s="398" t="str">
        <f t="shared" si="679"/>
        <v/>
      </c>
      <c r="F1027" s="398" t="str">
        <f t="shared" si="680"/>
        <v/>
      </c>
      <c r="G1027" s="399" t="str">
        <f t="shared" si="681"/>
        <v>rumus</v>
      </c>
      <c r="H1027" s="114" t="s">
        <v>26</v>
      </c>
      <c r="I1027" s="420"/>
      <c r="J1027" s="418" t="str">
        <f t="shared" si="682"/>
        <v>rumus</v>
      </c>
      <c r="K1027" s="116"/>
      <c r="L1027" s="116"/>
    </row>
    <row r="1028" spans="1:26" ht="15" customHeight="1" x14ac:dyDescent="0.2">
      <c r="A1028" s="109">
        <v>4</v>
      </c>
      <c r="B1028" s="397" t="s">
        <v>809</v>
      </c>
      <c r="C1028" s="106" t="s">
        <v>382</v>
      </c>
      <c r="D1028" s="106" t="str">
        <f t="shared" si="678"/>
        <v/>
      </c>
      <c r="E1028" s="398" t="str">
        <f t="shared" si="679"/>
        <v/>
      </c>
      <c r="F1028" s="398" t="str">
        <f t="shared" si="680"/>
        <v/>
      </c>
      <c r="G1028" s="399" t="str">
        <f t="shared" si="681"/>
        <v>rumus</v>
      </c>
      <c r="H1028" s="114" t="s">
        <v>26</v>
      </c>
      <c r="I1028" s="420"/>
      <c r="J1028" s="418" t="str">
        <f t="shared" si="682"/>
        <v>rumus</v>
      </c>
      <c r="K1028" s="116"/>
      <c r="L1028" s="116"/>
    </row>
    <row r="1029" spans="1:26" ht="15" customHeight="1" x14ac:dyDescent="0.2">
      <c r="A1029" s="109">
        <v>5</v>
      </c>
      <c r="B1029" s="397" t="s">
        <v>809</v>
      </c>
      <c r="C1029" s="106" t="s">
        <v>383</v>
      </c>
      <c r="D1029" s="106" t="str">
        <f t="shared" si="678"/>
        <v/>
      </c>
      <c r="E1029" s="398" t="str">
        <f t="shared" si="679"/>
        <v/>
      </c>
      <c r="F1029" s="398" t="str">
        <f t="shared" si="680"/>
        <v/>
      </c>
      <c r="G1029" s="399" t="str">
        <f t="shared" si="681"/>
        <v>rumus</v>
      </c>
      <c r="H1029" s="114" t="s">
        <v>26</v>
      </c>
      <c r="I1029" s="420"/>
      <c r="J1029" s="418" t="str">
        <f t="shared" si="682"/>
        <v>rumus</v>
      </c>
      <c r="K1029" s="116"/>
      <c r="L1029" s="116"/>
    </row>
    <row r="1030" spans="1:26" ht="15" customHeight="1" x14ac:dyDescent="0.2">
      <c r="A1030" s="109">
        <v>6</v>
      </c>
      <c r="B1030" s="397" t="s">
        <v>809</v>
      </c>
      <c r="C1030" s="106" t="s">
        <v>384</v>
      </c>
      <c r="D1030" s="106" t="str">
        <f t="shared" si="678"/>
        <v/>
      </c>
      <c r="E1030" s="398" t="str">
        <f t="shared" si="679"/>
        <v/>
      </c>
      <c r="F1030" s="398" t="str">
        <f t="shared" si="680"/>
        <v/>
      </c>
      <c r="G1030" s="399" t="str">
        <f t="shared" si="681"/>
        <v>rumus</v>
      </c>
      <c r="H1030" s="114" t="s">
        <v>26</v>
      </c>
      <c r="I1030" s="420"/>
      <c r="J1030" s="418" t="str">
        <f t="shared" si="682"/>
        <v>rumus</v>
      </c>
      <c r="K1030" s="116"/>
      <c r="L1030" s="116"/>
    </row>
    <row r="1031" spans="1:26" ht="15" customHeight="1" x14ac:dyDescent="0.2">
      <c r="A1031" s="109">
        <v>7</v>
      </c>
      <c r="B1031" s="397" t="s">
        <v>809</v>
      </c>
      <c r="C1031" s="106" t="s">
        <v>385</v>
      </c>
      <c r="D1031" s="106" t="str">
        <f t="shared" si="678"/>
        <v/>
      </c>
      <c r="E1031" s="398" t="str">
        <f t="shared" si="679"/>
        <v/>
      </c>
      <c r="F1031" s="398" t="str">
        <f t="shared" si="680"/>
        <v/>
      </c>
      <c r="G1031" s="399" t="str">
        <f t="shared" si="681"/>
        <v>rumus</v>
      </c>
      <c r="H1031" s="114" t="s">
        <v>26</v>
      </c>
      <c r="I1031" s="420"/>
      <c r="J1031" s="418" t="str">
        <f t="shared" si="682"/>
        <v>rumus</v>
      </c>
      <c r="K1031" s="116"/>
      <c r="L1031" s="116"/>
    </row>
    <row r="1032" spans="1:26" ht="15" customHeight="1" x14ac:dyDescent="0.2">
      <c r="A1032" s="109">
        <v>8</v>
      </c>
      <c r="B1032" s="397" t="s">
        <v>809</v>
      </c>
      <c r="C1032" s="106" t="s">
        <v>355</v>
      </c>
      <c r="D1032" s="106" t="str">
        <f t="shared" si="678"/>
        <v/>
      </c>
      <c r="E1032" s="398" t="str">
        <f t="shared" si="679"/>
        <v/>
      </c>
      <c r="F1032" s="398" t="str">
        <f t="shared" si="680"/>
        <v/>
      </c>
      <c r="G1032" s="399" t="str">
        <f t="shared" si="681"/>
        <v>rumus</v>
      </c>
      <c r="H1032" s="114" t="s">
        <v>26</v>
      </c>
      <c r="I1032" s="420"/>
      <c r="J1032" s="418" t="str">
        <f t="shared" si="682"/>
        <v>rumus</v>
      </c>
      <c r="K1032" s="116"/>
      <c r="L1032" s="116"/>
    </row>
    <row r="1033" spans="1:26" ht="15" customHeight="1" x14ac:dyDescent="0.2">
      <c r="A1033" s="109">
        <v>9</v>
      </c>
      <c r="B1033" s="397" t="s">
        <v>809</v>
      </c>
      <c r="C1033" s="106" t="s">
        <v>312</v>
      </c>
      <c r="D1033" s="106" t="str">
        <f t="shared" si="678"/>
        <v/>
      </c>
      <c r="E1033" s="398" t="str">
        <f t="shared" si="679"/>
        <v/>
      </c>
      <c r="F1033" s="398" t="str">
        <f t="shared" si="680"/>
        <v/>
      </c>
      <c r="G1033" s="399" t="str">
        <f t="shared" si="681"/>
        <v>rumus</v>
      </c>
      <c r="H1033" s="114" t="s">
        <v>26</v>
      </c>
      <c r="I1033" s="420"/>
      <c r="J1033" s="418" t="str">
        <f t="shared" si="682"/>
        <v>rumus</v>
      </c>
      <c r="K1033" s="116"/>
      <c r="L1033" s="116"/>
    </row>
    <row r="1034" spans="1:26" ht="15" customHeight="1" x14ac:dyDescent="0.2">
      <c r="A1034" s="109">
        <v>10</v>
      </c>
      <c r="B1034" s="397" t="s">
        <v>809</v>
      </c>
      <c r="C1034" s="106" t="s">
        <v>317</v>
      </c>
      <c r="D1034" s="106" t="str">
        <f t="shared" si="678"/>
        <v/>
      </c>
      <c r="E1034" s="398" t="str">
        <f t="shared" si="679"/>
        <v/>
      </c>
      <c r="F1034" s="398" t="str">
        <f t="shared" si="680"/>
        <v/>
      </c>
      <c r="G1034" s="399" t="str">
        <f t="shared" si="681"/>
        <v>rumus</v>
      </c>
      <c r="H1034" s="114" t="s">
        <v>26</v>
      </c>
      <c r="I1034" s="420"/>
      <c r="J1034" s="418" t="str">
        <f t="shared" si="682"/>
        <v>rumus</v>
      </c>
      <c r="K1034" s="116"/>
      <c r="L1034" s="116"/>
    </row>
    <row r="1035" spans="1:26" ht="15" customHeight="1" x14ac:dyDescent="0.2">
      <c r="A1035" s="109">
        <v>11</v>
      </c>
      <c r="B1035" s="397" t="s">
        <v>809</v>
      </c>
      <c r="C1035" s="106" t="s">
        <v>319</v>
      </c>
      <c r="D1035" s="106" t="str">
        <f t="shared" si="678"/>
        <v/>
      </c>
      <c r="E1035" s="398" t="str">
        <f t="shared" si="679"/>
        <v/>
      </c>
      <c r="F1035" s="398" t="str">
        <f t="shared" si="680"/>
        <v/>
      </c>
      <c r="G1035" s="399" t="str">
        <f t="shared" si="681"/>
        <v>rumus</v>
      </c>
      <c r="H1035" s="114" t="s">
        <v>26</v>
      </c>
      <c r="I1035" s="420"/>
      <c r="J1035" s="418" t="str">
        <f t="shared" si="682"/>
        <v>rumus</v>
      </c>
      <c r="K1035" s="116"/>
      <c r="L1035" s="116"/>
    </row>
    <row r="1036" spans="1:26" ht="15" customHeight="1" x14ac:dyDescent="0.2">
      <c r="A1036" s="109">
        <v>12</v>
      </c>
      <c r="B1036" s="397" t="s">
        <v>809</v>
      </c>
      <c r="C1036" s="106" t="s">
        <v>321</v>
      </c>
      <c r="D1036" s="106" t="str">
        <f t="shared" si="678"/>
        <v/>
      </c>
      <c r="E1036" s="398" t="str">
        <f t="shared" si="679"/>
        <v/>
      </c>
      <c r="F1036" s="398" t="str">
        <f t="shared" si="680"/>
        <v/>
      </c>
      <c r="G1036" s="399" t="str">
        <f t="shared" si="681"/>
        <v>rumus</v>
      </c>
      <c r="H1036" s="114" t="s">
        <v>26</v>
      </c>
      <c r="I1036" s="420"/>
      <c r="J1036" s="418" t="str">
        <f t="shared" si="682"/>
        <v>rumus</v>
      </c>
      <c r="K1036" s="116"/>
      <c r="L1036" s="116"/>
    </row>
    <row r="1037" spans="1:26" ht="15" customHeight="1" x14ac:dyDescent="0.25">
      <c r="A1037" s="124"/>
      <c r="B1037" s="614" t="s">
        <v>304</v>
      </c>
      <c r="C1037" s="615"/>
      <c r="D1037" s="616"/>
      <c r="E1037" s="403"/>
      <c r="F1037" s="403"/>
      <c r="G1037" s="113">
        <f>SUM(K1013:K1037)</f>
        <v>0</v>
      </c>
      <c r="H1037" s="99"/>
      <c r="I1037" s="116"/>
      <c r="J1037" s="1"/>
      <c r="K1037" s="116">
        <f>SUM(J1025:J1036)</f>
        <v>0</v>
      </c>
      <c r="L1037" s="116"/>
      <c r="M1037" s="116"/>
    </row>
    <row r="1038" spans="1:26" ht="15" customHeight="1" x14ac:dyDescent="0.25">
      <c r="A1038" s="128" t="s">
        <v>54</v>
      </c>
      <c r="B1038" s="426" t="s">
        <v>99</v>
      </c>
      <c r="C1038" s="421"/>
      <c r="D1038" s="421"/>
      <c r="E1038" s="421"/>
      <c r="F1038" s="421"/>
      <c r="G1038" s="421"/>
      <c r="H1038" s="422"/>
      <c r="I1038" s="116"/>
      <c r="J1038" s="116"/>
      <c r="K1038" s="116"/>
      <c r="L1038" s="116"/>
      <c r="M1038" s="116"/>
      <c r="N1038" s="2"/>
      <c r="O1038" s="2"/>
      <c r="P1038" s="2"/>
      <c r="Q1038" s="2"/>
      <c r="R1038" s="2"/>
      <c r="S1038" s="2"/>
      <c r="T1038" s="2"/>
      <c r="U1038" s="2"/>
      <c r="V1038" s="2"/>
      <c r="W1038" s="2"/>
      <c r="X1038" s="2"/>
      <c r="Y1038" s="2"/>
      <c r="Z1038" s="2"/>
    </row>
    <row r="1039" spans="1:26" ht="15" customHeight="1" x14ac:dyDescent="0.2">
      <c r="A1039" s="109"/>
      <c r="B1039" s="406" t="str">
        <f>"a. Semester Gasal "&amp;IF(C1040&lt;&gt;"",C1040,"")&amp;" :"</f>
        <v>a. Semester Gasal 2004/2005 :</v>
      </c>
      <c r="C1039" s="415"/>
      <c r="D1039" s="415"/>
      <c r="E1039" s="415"/>
      <c r="F1039" s="415"/>
      <c r="G1039" s="415"/>
      <c r="H1039" s="416"/>
      <c r="I1039" s="116"/>
      <c r="J1039" s="116"/>
      <c r="K1039" s="120"/>
      <c r="L1039" s="120"/>
      <c r="M1039" s="116"/>
    </row>
    <row r="1040" spans="1:26" ht="15.75" customHeight="1" x14ac:dyDescent="0.2">
      <c r="A1040" s="109">
        <v>1</v>
      </c>
      <c r="B1040" s="397" t="s">
        <v>811</v>
      </c>
      <c r="C1040" s="106" t="s">
        <v>705</v>
      </c>
      <c r="D1040" s="106" t="str">
        <f t="shared" ref="D1040:D1041" si="683">IF(G1040&lt;&gt;"rumus","Orasi","")</f>
        <v/>
      </c>
      <c r="E1040" s="398" t="str">
        <f t="shared" ref="E1040:E1041" si="684">IF(I1040&lt;&gt;"",1,"")</f>
        <v/>
      </c>
      <c r="F1040" s="398" t="str">
        <f t="shared" ref="F1040:F1041" si="685">IF(I1040&lt;&gt;"",J1040,"")</f>
        <v/>
      </c>
      <c r="G1040" s="399" t="str">
        <f t="shared" ref="G1040:G1041" si="686">IF(J1040&lt;&gt;"rumus","1 x "&amp;J1040&amp;" = "&amp;J1040,"rumus")</f>
        <v>rumus</v>
      </c>
      <c r="H1040" s="106" t="s">
        <v>764</v>
      </c>
      <c r="I1040" s="427"/>
      <c r="J1040" s="418" t="str">
        <f t="shared" ref="J1040:J1041" si="687">IF(I1040="Menyampaikan Orasi Ilmiah",5,"rumus")</f>
        <v>rumus</v>
      </c>
      <c r="K1040" s="120"/>
      <c r="L1040" s="120"/>
      <c r="M1040" s="116"/>
    </row>
    <row r="1041" spans="1:26" ht="15.75" customHeight="1" x14ac:dyDescent="0.2">
      <c r="A1041" s="109">
        <v>2</v>
      </c>
      <c r="B1041" s="397" t="s">
        <v>811</v>
      </c>
      <c r="C1041" s="106" t="s">
        <v>705</v>
      </c>
      <c r="D1041" s="106" t="str">
        <f t="shared" si="683"/>
        <v/>
      </c>
      <c r="E1041" s="398" t="str">
        <f t="shared" si="684"/>
        <v/>
      </c>
      <c r="F1041" s="398" t="str">
        <f t="shared" si="685"/>
        <v/>
      </c>
      <c r="G1041" s="399" t="str">
        <f t="shared" si="686"/>
        <v>rumus</v>
      </c>
      <c r="H1041" s="114" t="s">
        <v>26</v>
      </c>
      <c r="I1041" s="427"/>
      <c r="J1041" s="418" t="str">
        <f t="shared" si="687"/>
        <v>rumus</v>
      </c>
      <c r="K1041" s="120"/>
      <c r="L1041" s="120"/>
      <c r="M1041" s="116"/>
    </row>
    <row r="1042" spans="1:26" ht="15" customHeight="1" x14ac:dyDescent="0.2">
      <c r="A1042" s="109"/>
      <c r="B1042" s="406" t="str">
        <f>"a. Semester Gasal "&amp;IF(C1043&lt;&gt;"",C1043,"")&amp;" :"</f>
        <v>a. Semester Gasal 2005/2006 :</v>
      </c>
      <c r="C1042" s="415"/>
      <c r="D1042" s="415"/>
      <c r="E1042" s="415"/>
      <c r="F1042" s="415"/>
      <c r="G1042" s="415"/>
      <c r="H1042" s="416"/>
      <c r="I1042" s="116"/>
      <c r="J1042" s="116"/>
      <c r="K1042" s="120">
        <f>IF(SUM(J1040:J1041)&gt;=10,10,SUM(J1040:J1041))</f>
        <v>0</v>
      </c>
      <c r="L1042" s="120" t="s">
        <v>812</v>
      </c>
      <c r="M1042" s="116"/>
    </row>
    <row r="1043" spans="1:26" ht="15.75" customHeight="1" x14ac:dyDescent="0.2">
      <c r="A1043" s="109">
        <v>1</v>
      </c>
      <c r="B1043" s="397" t="s">
        <v>811</v>
      </c>
      <c r="C1043" s="106" t="s">
        <v>803</v>
      </c>
      <c r="D1043" s="106" t="str">
        <f t="shared" ref="D1043:D1044" si="688">IF(G1043&lt;&gt;"rumus","Orasi","")</f>
        <v/>
      </c>
      <c r="E1043" s="398" t="str">
        <f t="shared" ref="E1043:E1044" si="689">IF(I1043&lt;&gt;"",1,"")</f>
        <v/>
      </c>
      <c r="F1043" s="398" t="str">
        <f t="shared" ref="F1043:F1044" si="690">IF(I1043&lt;&gt;"",J1043,"")</f>
        <v/>
      </c>
      <c r="G1043" s="399" t="str">
        <f t="shared" ref="G1043:G1044" si="691">IF(J1043&lt;&gt;"rumus","1 x "&amp;J1043&amp;" = "&amp;J1043,"rumus")</f>
        <v>rumus</v>
      </c>
      <c r="H1043" s="106" t="s">
        <v>764</v>
      </c>
      <c r="I1043" s="427"/>
      <c r="J1043" s="418" t="str">
        <f t="shared" ref="J1043:J1044" si="692">IF(I1043="Menyampaikan Orasi Ilmiah",5,"rumus")</f>
        <v>rumus</v>
      </c>
      <c r="K1043" s="120"/>
      <c r="L1043" s="120"/>
      <c r="M1043" s="116"/>
    </row>
    <row r="1044" spans="1:26" ht="15.75" customHeight="1" x14ac:dyDescent="0.2">
      <c r="A1044" s="109">
        <v>2</v>
      </c>
      <c r="B1044" s="397" t="s">
        <v>811</v>
      </c>
      <c r="C1044" s="106" t="s">
        <v>803</v>
      </c>
      <c r="D1044" s="106" t="str">
        <f t="shared" si="688"/>
        <v/>
      </c>
      <c r="E1044" s="398" t="str">
        <f t="shared" si="689"/>
        <v/>
      </c>
      <c r="F1044" s="398" t="str">
        <f t="shared" si="690"/>
        <v/>
      </c>
      <c r="G1044" s="399" t="str">
        <f t="shared" si="691"/>
        <v>rumus</v>
      </c>
      <c r="H1044" s="114" t="s">
        <v>26</v>
      </c>
      <c r="I1044" s="427"/>
      <c r="J1044" s="418" t="str">
        <f t="shared" si="692"/>
        <v>rumus</v>
      </c>
      <c r="K1044" s="120"/>
      <c r="L1044" s="120"/>
      <c r="M1044" s="116"/>
    </row>
    <row r="1045" spans="1:26" ht="15" customHeight="1" x14ac:dyDescent="0.2">
      <c r="A1045" s="109"/>
      <c r="B1045" s="406" t="str">
        <f>"a. Semester Gasal "&amp;IF(C1046&lt;&gt;"",C1046,"")&amp;" :"</f>
        <v>a. Semester Gasal 2006/2007 :</v>
      </c>
      <c r="C1045" s="415"/>
      <c r="D1045" s="415"/>
      <c r="E1045" s="415"/>
      <c r="F1045" s="415"/>
      <c r="G1045" s="415"/>
      <c r="H1045" s="416"/>
      <c r="I1045" s="116"/>
      <c r="J1045" s="116"/>
      <c r="K1045" s="120">
        <f>IF(SUM(J1043:J1044)&gt;=10,10,SUM(J1043:J1044))</f>
        <v>0</v>
      </c>
      <c r="L1045" s="120" t="s">
        <v>812</v>
      </c>
      <c r="M1045" s="116"/>
    </row>
    <row r="1046" spans="1:26" ht="15.75" customHeight="1" x14ac:dyDescent="0.25">
      <c r="A1046" s="109">
        <v>1</v>
      </c>
      <c r="B1046" s="397" t="s">
        <v>811</v>
      </c>
      <c r="C1046" s="106" t="s">
        <v>804</v>
      </c>
      <c r="D1046" s="106" t="str">
        <f t="shared" ref="D1046:D1047" si="693">IF(G1046&lt;&gt;"rumus","Orasi","")</f>
        <v/>
      </c>
      <c r="E1046" s="398" t="str">
        <f t="shared" ref="E1046:E1047" si="694">IF(I1046&lt;&gt;"",1,"")</f>
        <v/>
      </c>
      <c r="F1046" s="398" t="str">
        <f t="shared" ref="F1046:F1047" si="695">IF(I1046&lt;&gt;"",J1046,"")</f>
        <v/>
      </c>
      <c r="G1046" s="399" t="str">
        <f t="shared" ref="G1046:G1047" si="696">IF(J1046&lt;&gt;"rumus","1 x "&amp;J1046&amp;" = "&amp;J1046,"rumus")</f>
        <v>rumus</v>
      </c>
      <c r="H1046" s="106" t="s">
        <v>764</v>
      </c>
      <c r="I1046" s="427"/>
      <c r="J1046" s="418" t="str">
        <f t="shared" ref="J1046:J1047" si="697">IF(I1046="Menyampaikan Orasi Ilmiah",5,"rumus")</f>
        <v>rumus</v>
      </c>
      <c r="K1046" s="120"/>
      <c r="L1046" s="120"/>
      <c r="M1046" s="116"/>
      <c r="N1046" s="2"/>
      <c r="O1046" s="2"/>
      <c r="P1046" s="2"/>
      <c r="Q1046" s="2"/>
      <c r="R1046" s="2"/>
      <c r="S1046" s="2"/>
      <c r="T1046" s="2"/>
      <c r="U1046" s="2"/>
      <c r="V1046" s="2"/>
      <c r="W1046" s="2"/>
      <c r="X1046" s="2"/>
      <c r="Y1046" s="2"/>
      <c r="Z1046" s="2"/>
    </row>
    <row r="1047" spans="1:26" ht="15.75" customHeight="1" x14ac:dyDescent="0.25">
      <c r="A1047" s="109">
        <v>2</v>
      </c>
      <c r="B1047" s="397" t="s">
        <v>811</v>
      </c>
      <c r="C1047" s="106" t="s">
        <v>804</v>
      </c>
      <c r="D1047" s="106" t="str">
        <f t="shared" si="693"/>
        <v/>
      </c>
      <c r="E1047" s="398" t="str">
        <f t="shared" si="694"/>
        <v/>
      </c>
      <c r="F1047" s="398" t="str">
        <f t="shared" si="695"/>
        <v/>
      </c>
      <c r="G1047" s="399" t="str">
        <f t="shared" si="696"/>
        <v>rumus</v>
      </c>
      <c r="H1047" s="114" t="s">
        <v>26</v>
      </c>
      <c r="I1047" s="427"/>
      <c r="J1047" s="418" t="str">
        <f t="shared" si="697"/>
        <v>rumus</v>
      </c>
      <c r="K1047" s="120"/>
      <c r="L1047" s="120"/>
      <c r="M1047" s="116"/>
      <c r="N1047" s="2"/>
      <c r="O1047" s="2"/>
      <c r="P1047" s="2"/>
      <c r="Q1047" s="2"/>
      <c r="R1047" s="2"/>
      <c r="S1047" s="2"/>
      <c r="T1047" s="2"/>
      <c r="U1047" s="2"/>
      <c r="V1047" s="2"/>
      <c r="W1047" s="2"/>
      <c r="X1047" s="2"/>
      <c r="Y1047" s="2"/>
      <c r="Z1047" s="2"/>
    </row>
    <row r="1048" spans="1:26" ht="15" customHeight="1" x14ac:dyDescent="0.2">
      <c r="A1048" s="109"/>
      <c r="B1048" s="406" t="str">
        <f>"a. Semester Gasal "&amp;IF(C1049&lt;&gt;"",C1049,"")&amp;" :"</f>
        <v>a. Semester Gasal 2007/2008 :</v>
      </c>
      <c r="C1048" s="415"/>
      <c r="D1048" s="415"/>
      <c r="E1048" s="415"/>
      <c r="F1048" s="415"/>
      <c r="G1048" s="415"/>
      <c r="H1048" s="416"/>
      <c r="I1048" s="116"/>
      <c r="J1048" s="116"/>
      <c r="K1048" s="120">
        <f>IF(SUM(J1046:J1047)&gt;=10,10,SUM(J1046:J1047))</f>
        <v>0</v>
      </c>
      <c r="L1048" s="120" t="s">
        <v>812</v>
      </c>
      <c r="M1048" s="116"/>
    </row>
    <row r="1049" spans="1:26" ht="15.75" customHeight="1" x14ac:dyDescent="0.2">
      <c r="A1049" s="109">
        <v>1</v>
      </c>
      <c r="B1049" s="397" t="s">
        <v>811</v>
      </c>
      <c r="C1049" s="106" t="s">
        <v>382</v>
      </c>
      <c r="D1049" s="106" t="str">
        <f t="shared" ref="D1049:D1050" si="698">IF(G1049&lt;&gt;"rumus","Orasi","")</f>
        <v/>
      </c>
      <c r="E1049" s="398" t="str">
        <f t="shared" ref="E1049:E1050" si="699">IF(I1049&lt;&gt;"",1,"")</f>
        <v/>
      </c>
      <c r="F1049" s="398" t="str">
        <f t="shared" ref="F1049:F1050" si="700">IF(I1049&lt;&gt;"",J1049,"")</f>
        <v/>
      </c>
      <c r="G1049" s="399" t="str">
        <f t="shared" ref="G1049:G1050" si="701">IF(J1049&lt;&gt;"rumus","1 x "&amp;J1049&amp;" = "&amp;J1049,"rumus")</f>
        <v>rumus</v>
      </c>
      <c r="H1049" s="106" t="s">
        <v>764</v>
      </c>
      <c r="I1049" s="427"/>
      <c r="J1049" s="418" t="str">
        <f t="shared" ref="J1049:J1050" si="702">IF(I1049="Menyampaikan Orasi Ilmiah",5,"rumus")</f>
        <v>rumus</v>
      </c>
      <c r="K1049" s="120"/>
      <c r="L1049" s="120"/>
      <c r="M1049" s="116"/>
    </row>
    <row r="1050" spans="1:26" ht="15.75" customHeight="1" x14ac:dyDescent="0.2">
      <c r="A1050" s="109">
        <v>2</v>
      </c>
      <c r="B1050" s="397" t="s">
        <v>811</v>
      </c>
      <c r="C1050" s="106" t="s">
        <v>382</v>
      </c>
      <c r="D1050" s="106" t="str">
        <f t="shared" si="698"/>
        <v/>
      </c>
      <c r="E1050" s="398" t="str">
        <f t="shared" si="699"/>
        <v/>
      </c>
      <c r="F1050" s="398" t="str">
        <f t="shared" si="700"/>
        <v/>
      </c>
      <c r="G1050" s="399" t="str">
        <f t="shared" si="701"/>
        <v>rumus</v>
      </c>
      <c r="H1050" s="114" t="s">
        <v>26</v>
      </c>
      <c r="I1050" s="427"/>
      <c r="J1050" s="418" t="str">
        <f t="shared" si="702"/>
        <v>rumus</v>
      </c>
      <c r="K1050" s="120"/>
      <c r="L1050" s="120"/>
      <c r="M1050" s="116"/>
    </row>
    <row r="1051" spans="1:26" ht="15" customHeight="1" x14ac:dyDescent="0.2">
      <c r="A1051" s="109"/>
      <c r="B1051" s="406" t="str">
        <f>"a. Semester Gasal "&amp;IF(C1052&lt;&gt;"",C1052,"")&amp;" :"</f>
        <v>a. Semester Gasal 2008/2009 :</v>
      </c>
      <c r="C1051" s="415"/>
      <c r="D1051" s="415"/>
      <c r="E1051" s="415"/>
      <c r="F1051" s="415"/>
      <c r="G1051" s="415"/>
      <c r="H1051" s="416"/>
      <c r="I1051" s="116"/>
      <c r="J1051" s="116"/>
      <c r="K1051" s="120">
        <f>IF(SUM(J1049:J1050)&gt;=10,10,SUM(J1049:J1050))</f>
        <v>0</v>
      </c>
      <c r="L1051" s="120" t="s">
        <v>812</v>
      </c>
      <c r="M1051" s="116"/>
    </row>
    <row r="1052" spans="1:26" ht="15.75" customHeight="1" x14ac:dyDescent="0.25">
      <c r="A1052" s="109">
        <v>1</v>
      </c>
      <c r="B1052" s="397" t="s">
        <v>811</v>
      </c>
      <c r="C1052" s="106" t="s">
        <v>383</v>
      </c>
      <c r="D1052" s="106" t="str">
        <f t="shared" ref="D1052:D1053" si="703">IF(G1052&lt;&gt;"rumus","Orasi","")</f>
        <v/>
      </c>
      <c r="E1052" s="398" t="str">
        <f t="shared" ref="E1052:E1053" si="704">IF(I1052&lt;&gt;"",1,"")</f>
        <v/>
      </c>
      <c r="F1052" s="398" t="str">
        <f t="shared" ref="F1052:F1053" si="705">IF(I1052&lt;&gt;"",J1052,"")</f>
        <v/>
      </c>
      <c r="G1052" s="399" t="str">
        <f t="shared" ref="G1052:G1053" si="706">IF(J1052&lt;&gt;"rumus","1 x "&amp;J1052&amp;" = "&amp;J1052,"rumus")</f>
        <v>rumus</v>
      </c>
      <c r="H1052" s="106" t="s">
        <v>764</v>
      </c>
      <c r="I1052" s="427"/>
      <c r="J1052" s="418" t="str">
        <f t="shared" ref="J1052:J1053" si="707">IF(I1052="Menyampaikan Orasi Ilmiah",5,"rumus")</f>
        <v>rumus</v>
      </c>
      <c r="K1052" s="120"/>
      <c r="L1052" s="120"/>
      <c r="M1052" s="116"/>
      <c r="N1052" s="2"/>
      <c r="O1052" s="2"/>
      <c r="P1052" s="2"/>
      <c r="Q1052" s="2"/>
      <c r="R1052" s="2"/>
      <c r="S1052" s="2"/>
      <c r="T1052" s="2"/>
      <c r="U1052" s="2"/>
      <c r="V1052" s="2"/>
      <c r="W1052" s="2"/>
      <c r="X1052" s="2"/>
      <c r="Y1052" s="2"/>
      <c r="Z1052" s="2"/>
    </row>
    <row r="1053" spans="1:26" ht="15.75" customHeight="1" x14ac:dyDescent="0.25">
      <c r="A1053" s="109">
        <v>2</v>
      </c>
      <c r="B1053" s="397" t="s">
        <v>811</v>
      </c>
      <c r="C1053" s="106" t="s">
        <v>383</v>
      </c>
      <c r="D1053" s="106" t="str">
        <f t="shared" si="703"/>
        <v/>
      </c>
      <c r="E1053" s="398" t="str">
        <f t="shared" si="704"/>
        <v/>
      </c>
      <c r="F1053" s="398" t="str">
        <f t="shared" si="705"/>
        <v/>
      </c>
      <c r="G1053" s="399" t="str">
        <f t="shared" si="706"/>
        <v>rumus</v>
      </c>
      <c r="H1053" s="114" t="s">
        <v>26</v>
      </c>
      <c r="I1053" s="427"/>
      <c r="J1053" s="418" t="str">
        <f t="shared" si="707"/>
        <v>rumus</v>
      </c>
      <c r="K1053" s="120"/>
      <c r="L1053" s="120"/>
      <c r="M1053" s="116"/>
      <c r="N1053" s="2"/>
      <c r="O1053" s="2"/>
      <c r="P1053" s="2"/>
      <c r="Q1053" s="2"/>
      <c r="R1053" s="2"/>
      <c r="S1053" s="2"/>
      <c r="T1053" s="2"/>
      <c r="U1053" s="2"/>
      <c r="V1053" s="2"/>
      <c r="W1053" s="2"/>
      <c r="X1053" s="2"/>
      <c r="Y1053" s="2"/>
      <c r="Z1053" s="2"/>
    </row>
    <row r="1054" spans="1:26" ht="15" customHeight="1" x14ac:dyDescent="0.2">
      <c r="A1054" s="109"/>
      <c r="B1054" s="406" t="str">
        <f>"a. Semester Gasal "&amp;IF(C1055&lt;&gt;"",C1055,"")&amp;" :"</f>
        <v>a. Semester Gasal 2009/2010 :</v>
      </c>
      <c r="C1054" s="415"/>
      <c r="D1054" s="415"/>
      <c r="E1054" s="415"/>
      <c r="F1054" s="415"/>
      <c r="G1054" s="415"/>
      <c r="H1054" s="416"/>
      <c r="I1054" s="116"/>
      <c r="J1054" s="116"/>
      <c r="K1054" s="120">
        <f>IF(SUM(J1052:J1053)&gt;=10,10,SUM(J1052:J1053))</f>
        <v>0</v>
      </c>
      <c r="L1054" s="120" t="s">
        <v>812</v>
      </c>
      <c r="M1054" s="116"/>
    </row>
    <row r="1055" spans="1:26" ht="15.75" customHeight="1" x14ac:dyDescent="0.25">
      <c r="A1055" s="109">
        <v>1</v>
      </c>
      <c r="B1055" s="397" t="s">
        <v>811</v>
      </c>
      <c r="C1055" s="106" t="s">
        <v>384</v>
      </c>
      <c r="D1055" s="106" t="str">
        <f t="shared" ref="D1055:D1056" si="708">IF(G1055&lt;&gt;"rumus","Orasi","")</f>
        <v/>
      </c>
      <c r="E1055" s="398" t="str">
        <f t="shared" ref="E1055:E1056" si="709">IF(I1055&lt;&gt;"",1,"")</f>
        <v/>
      </c>
      <c r="F1055" s="398" t="str">
        <f t="shared" ref="F1055:F1056" si="710">IF(I1055&lt;&gt;"",J1055,"")</f>
        <v/>
      </c>
      <c r="G1055" s="399" t="str">
        <f t="shared" ref="G1055:G1056" si="711">IF(J1055&lt;&gt;"rumus","1 x "&amp;J1055&amp;" = "&amp;J1055,"rumus")</f>
        <v>rumus</v>
      </c>
      <c r="H1055" s="106" t="s">
        <v>764</v>
      </c>
      <c r="I1055" s="427"/>
      <c r="J1055" s="418" t="str">
        <f t="shared" ref="J1055:J1056" si="712">IF(I1055="Menyampaikan Orasi Ilmiah",5,"rumus")</f>
        <v>rumus</v>
      </c>
      <c r="K1055" s="120"/>
      <c r="L1055" s="120"/>
      <c r="M1055" s="116"/>
      <c r="N1055" s="2"/>
      <c r="O1055" s="2"/>
      <c r="P1055" s="2"/>
      <c r="Q1055" s="2"/>
      <c r="R1055" s="2"/>
      <c r="S1055" s="2"/>
      <c r="T1055" s="2"/>
      <c r="U1055" s="2"/>
      <c r="V1055" s="2"/>
      <c r="W1055" s="2"/>
      <c r="X1055" s="2"/>
      <c r="Y1055" s="2"/>
      <c r="Z1055" s="2"/>
    </row>
    <row r="1056" spans="1:26" ht="15.75" customHeight="1" x14ac:dyDescent="0.25">
      <c r="A1056" s="109">
        <v>2</v>
      </c>
      <c r="B1056" s="397" t="s">
        <v>811</v>
      </c>
      <c r="C1056" s="106" t="s">
        <v>384</v>
      </c>
      <c r="D1056" s="106" t="str">
        <f t="shared" si="708"/>
        <v/>
      </c>
      <c r="E1056" s="398" t="str">
        <f t="shared" si="709"/>
        <v/>
      </c>
      <c r="F1056" s="398" t="str">
        <f t="shared" si="710"/>
        <v/>
      </c>
      <c r="G1056" s="399" t="str">
        <f t="shared" si="711"/>
        <v>rumus</v>
      </c>
      <c r="H1056" s="114" t="s">
        <v>26</v>
      </c>
      <c r="I1056" s="427"/>
      <c r="J1056" s="418" t="str">
        <f t="shared" si="712"/>
        <v>rumus</v>
      </c>
      <c r="K1056" s="120"/>
      <c r="L1056" s="120"/>
      <c r="M1056" s="116"/>
      <c r="N1056" s="2"/>
      <c r="O1056" s="2"/>
      <c r="P1056" s="2"/>
      <c r="Q1056" s="2"/>
      <c r="R1056" s="2"/>
      <c r="S1056" s="2"/>
      <c r="T1056" s="2"/>
      <c r="U1056" s="2"/>
      <c r="V1056" s="2"/>
      <c r="W1056" s="2"/>
      <c r="X1056" s="2"/>
      <c r="Y1056" s="2"/>
      <c r="Z1056" s="2"/>
    </row>
    <row r="1057" spans="1:13" ht="15" customHeight="1" x14ac:dyDescent="0.2">
      <c r="A1057" s="109"/>
      <c r="B1057" s="406" t="str">
        <f>"a. Semester Gasal "&amp;IF(C1058&lt;&gt;"",C1058,"")&amp;" :"</f>
        <v>a. Semester Gasal 2010/2011 :</v>
      </c>
      <c r="C1057" s="415"/>
      <c r="D1057" s="415"/>
      <c r="E1057" s="415"/>
      <c r="F1057" s="415"/>
      <c r="G1057" s="415"/>
      <c r="H1057" s="416"/>
      <c r="I1057" s="116"/>
      <c r="J1057" s="116"/>
      <c r="K1057" s="120">
        <f>IF(SUM(J1055:J1056)&gt;=10,10,SUM(J1055:J1056))</f>
        <v>0</v>
      </c>
      <c r="L1057" s="120" t="s">
        <v>812</v>
      </c>
      <c r="M1057" s="116"/>
    </row>
    <row r="1058" spans="1:13" ht="15.75" customHeight="1" x14ac:dyDescent="0.2">
      <c r="A1058" s="109">
        <v>1</v>
      </c>
      <c r="B1058" s="397" t="s">
        <v>811</v>
      </c>
      <c r="C1058" s="106" t="s">
        <v>385</v>
      </c>
      <c r="D1058" s="106" t="str">
        <f t="shared" ref="D1058:D1059" si="713">IF(G1058&lt;&gt;"rumus","Orasi","")</f>
        <v/>
      </c>
      <c r="E1058" s="398" t="str">
        <f t="shared" ref="E1058:E1059" si="714">IF(I1058&lt;&gt;"",1,"")</f>
        <v/>
      </c>
      <c r="F1058" s="398" t="str">
        <f t="shared" ref="F1058:F1059" si="715">IF(I1058&lt;&gt;"",J1058,"")</f>
        <v/>
      </c>
      <c r="G1058" s="399" t="str">
        <f t="shared" ref="G1058:G1059" si="716">IF(J1058&lt;&gt;"rumus","1 x "&amp;J1058&amp;" = "&amp;J1058,"rumus")</f>
        <v>rumus</v>
      </c>
      <c r="H1058" s="106" t="s">
        <v>764</v>
      </c>
      <c r="I1058" s="427"/>
      <c r="J1058" s="418" t="str">
        <f t="shared" ref="J1058:J1059" si="717">IF(I1058="Menyampaikan Orasi Ilmiah",5,"rumus")</f>
        <v>rumus</v>
      </c>
      <c r="K1058" s="120"/>
      <c r="L1058" s="120"/>
      <c r="M1058" s="116"/>
    </row>
    <row r="1059" spans="1:13" ht="15.75" customHeight="1" x14ac:dyDescent="0.2">
      <c r="A1059" s="109">
        <v>2</v>
      </c>
      <c r="B1059" s="397" t="s">
        <v>811</v>
      </c>
      <c r="C1059" s="106" t="s">
        <v>385</v>
      </c>
      <c r="D1059" s="106" t="str">
        <f t="shared" si="713"/>
        <v/>
      </c>
      <c r="E1059" s="398" t="str">
        <f t="shared" si="714"/>
        <v/>
      </c>
      <c r="F1059" s="398" t="str">
        <f t="shared" si="715"/>
        <v/>
      </c>
      <c r="G1059" s="399" t="str">
        <f t="shared" si="716"/>
        <v>rumus</v>
      </c>
      <c r="H1059" s="114" t="s">
        <v>26</v>
      </c>
      <c r="I1059" s="427"/>
      <c r="J1059" s="418" t="str">
        <f t="shared" si="717"/>
        <v>rumus</v>
      </c>
      <c r="K1059" s="120"/>
      <c r="L1059" s="120"/>
      <c r="M1059" s="116"/>
    </row>
    <row r="1060" spans="1:13" ht="15" customHeight="1" x14ac:dyDescent="0.2">
      <c r="A1060" s="109"/>
      <c r="B1060" s="406" t="str">
        <f>"a. Semester Gasal "&amp;IF(C1061&lt;&gt;"",C1061,"")&amp;" :"</f>
        <v>a. Semester Gasal 2011/2012 :</v>
      </c>
      <c r="C1060" s="415"/>
      <c r="D1060" s="415"/>
      <c r="E1060" s="415"/>
      <c r="F1060" s="415"/>
      <c r="G1060" s="415"/>
      <c r="H1060" s="416"/>
      <c r="I1060" s="116"/>
      <c r="J1060" s="116"/>
      <c r="K1060" s="120">
        <f>IF(SUM(J1058:J1059)&gt;=10,10,SUM(J1058:J1059))</f>
        <v>0</v>
      </c>
      <c r="L1060" s="120" t="s">
        <v>812</v>
      </c>
      <c r="M1060" s="116"/>
    </row>
    <row r="1061" spans="1:13" ht="15.75" customHeight="1" x14ac:dyDescent="0.2">
      <c r="A1061" s="109">
        <v>1</v>
      </c>
      <c r="B1061" s="397" t="s">
        <v>811</v>
      </c>
      <c r="C1061" s="106" t="s">
        <v>355</v>
      </c>
      <c r="D1061" s="106" t="str">
        <f t="shared" ref="D1061:D1062" si="718">IF(G1061&lt;&gt;"rumus","Orasi","")</f>
        <v/>
      </c>
      <c r="E1061" s="398" t="str">
        <f t="shared" ref="E1061:E1062" si="719">IF(I1061&lt;&gt;"",1,"")</f>
        <v/>
      </c>
      <c r="F1061" s="398" t="str">
        <f t="shared" ref="F1061:F1062" si="720">IF(I1061&lt;&gt;"",J1061,"")</f>
        <v/>
      </c>
      <c r="G1061" s="399" t="str">
        <f t="shared" ref="G1061:G1062" si="721">IF(J1061&lt;&gt;"rumus","1 x "&amp;J1061&amp;" = "&amp;J1061,"rumus")</f>
        <v>rumus</v>
      </c>
      <c r="H1061" s="106" t="s">
        <v>764</v>
      </c>
      <c r="I1061" s="427"/>
      <c r="J1061" s="418" t="str">
        <f t="shared" ref="J1061:J1062" si="722">IF(I1061="Menyampaikan Orasi Ilmiah",5,"rumus")</f>
        <v>rumus</v>
      </c>
      <c r="K1061" s="120"/>
      <c r="L1061" s="120"/>
      <c r="M1061" s="116"/>
    </row>
    <row r="1062" spans="1:13" ht="15.75" customHeight="1" x14ac:dyDescent="0.2">
      <c r="A1062" s="109">
        <v>2</v>
      </c>
      <c r="B1062" s="397" t="s">
        <v>811</v>
      </c>
      <c r="C1062" s="106" t="s">
        <v>355</v>
      </c>
      <c r="D1062" s="106" t="str">
        <f t="shared" si="718"/>
        <v/>
      </c>
      <c r="E1062" s="398" t="str">
        <f t="shared" si="719"/>
        <v/>
      </c>
      <c r="F1062" s="398" t="str">
        <f t="shared" si="720"/>
        <v/>
      </c>
      <c r="G1062" s="399" t="str">
        <f t="shared" si="721"/>
        <v>rumus</v>
      </c>
      <c r="H1062" s="114" t="s">
        <v>26</v>
      </c>
      <c r="I1062" s="427"/>
      <c r="J1062" s="418" t="str">
        <f t="shared" si="722"/>
        <v>rumus</v>
      </c>
      <c r="K1062" s="120"/>
      <c r="L1062" s="120"/>
      <c r="M1062" s="116"/>
    </row>
    <row r="1063" spans="1:13" ht="15" customHeight="1" x14ac:dyDescent="0.2">
      <c r="A1063" s="109"/>
      <c r="B1063" s="406" t="str">
        <f>"a. Semester Gasal "&amp;IF(C1064&lt;&gt;"",C1064,"")&amp;" :"</f>
        <v>a. Semester Gasal 2012/2013 :</v>
      </c>
      <c r="C1063" s="415"/>
      <c r="D1063" s="415"/>
      <c r="E1063" s="415"/>
      <c r="F1063" s="415"/>
      <c r="G1063" s="415"/>
      <c r="H1063" s="416"/>
      <c r="I1063" s="116"/>
      <c r="J1063" s="116"/>
      <c r="K1063" s="120">
        <f>IF(SUM(J1061:J1062)&gt;=10,10,SUM(J1061:J1062))</f>
        <v>0</v>
      </c>
      <c r="L1063" s="120" t="s">
        <v>812</v>
      </c>
      <c r="M1063" s="116"/>
    </row>
    <row r="1064" spans="1:13" ht="15.75" customHeight="1" x14ac:dyDescent="0.2">
      <c r="A1064" s="109">
        <v>1</v>
      </c>
      <c r="B1064" s="397" t="s">
        <v>811</v>
      </c>
      <c r="C1064" s="106" t="s">
        <v>312</v>
      </c>
      <c r="D1064" s="106" t="str">
        <f t="shared" ref="D1064:D1065" si="723">IF(G1064&lt;&gt;"rumus","Orasi","")</f>
        <v/>
      </c>
      <c r="E1064" s="398" t="str">
        <f t="shared" ref="E1064:E1065" si="724">IF(I1064&lt;&gt;"",1,"")</f>
        <v/>
      </c>
      <c r="F1064" s="398" t="str">
        <f t="shared" ref="F1064:F1065" si="725">IF(I1064&lt;&gt;"",J1064,"")</f>
        <v/>
      </c>
      <c r="G1064" s="399" t="str">
        <f t="shared" ref="G1064:G1065" si="726">IF(J1064&lt;&gt;"rumus","1 x "&amp;J1064&amp;" = "&amp;J1064,"rumus")</f>
        <v>rumus</v>
      </c>
      <c r="H1064" s="106" t="s">
        <v>764</v>
      </c>
      <c r="I1064" s="427"/>
      <c r="J1064" s="418" t="str">
        <f t="shared" ref="J1064:J1065" si="727">IF(I1064="Menyampaikan Orasi Ilmiah",5,"rumus")</f>
        <v>rumus</v>
      </c>
      <c r="K1064" s="120"/>
      <c r="L1064" s="120"/>
      <c r="M1064" s="116"/>
    </row>
    <row r="1065" spans="1:13" ht="15.75" customHeight="1" x14ac:dyDescent="0.2">
      <c r="A1065" s="109">
        <v>2</v>
      </c>
      <c r="B1065" s="397" t="s">
        <v>811</v>
      </c>
      <c r="C1065" s="106" t="s">
        <v>312</v>
      </c>
      <c r="D1065" s="106" t="str">
        <f t="shared" si="723"/>
        <v/>
      </c>
      <c r="E1065" s="398" t="str">
        <f t="shared" si="724"/>
        <v/>
      </c>
      <c r="F1065" s="398" t="str">
        <f t="shared" si="725"/>
        <v/>
      </c>
      <c r="G1065" s="399" t="str">
        <f t="shared" si="726"/>
        <v>rumus</v>
      </c>
      <c r="H1065" s="114" t="s">
        <v>26</v>
      </c>
      <c r="I1065" s="427"/>
      <c r="J1065" s="418" t="str">
        <f t="shared" si="727"/>
        <v>rumus</v>
      </c>
      <c r="K1065" s="120"/>
      <c r="L1065" s="120"/>
      <c r="M1065" s="116"/>
    </row>
    <row r="1066" spans="1:13" ht="15" customHeight="1" x14ac:dyDescent="0.2">
      <c r="A1066" s="109"/>
      <c r="B1066" s="406" t="str">
        <f>"a. Semester Gasal "&amp;IF(C1067&lt;&gt;"",C1067,"")&amp;" :"</f>
        <v>a. Semester Gasal 2013/2014 :</v>
      </c>
      <c r="C1066" s="415"/>
      <c r="D1066" s="415"/>
      <c r="E1066" s="415"/>
      <c r="F1066" s="415"/>
      <c r="G1066" s="415"/>
      <c r="H1066" s="416"/>
      <c r="I1066" s="116"/>
      <c r="J1066" s="116"/>
      <c r="K1066" s="120">
        <f>IF(SUM(J1064:J1065)&gt;=10,10,SUM(J1064:J1065))</f>
        <v>0</v>
      </c>
      <c r="L1066" s="120" t="s">
        <v>812</v>
      </c>
      <c r="M1066" s="116"/>
    </row>
    <row r="1067" spans="1:13" ht="15.75" customHeight="1" x14ac:dyDescent="0.2">
      <c r="A1067" s="109">
        <v>1</v>
      </c>
      <c r="B1067" s="397" t="s">
        <v>811</v>
      </c>
      <c r="C1067" s="106" t="s">
        <v>317</v>
      </c>
      <c r="D1067" s="106" t="str">
        <f t="shared" ref="D1067:D1068" si="728">IF(G1067&lt;&gt;"rumus","Orasi","")</f>
        <v/>
      </c>
      <c r="E1067" s="398" t="str">
        <f t="shared" ref="E1067:E1068" si="729">IF(I1067&lt;&gt;"",1,"")</f>
        <v/>
      </c>
      <c r="F1067" s="398" t="str">
        <f t="shared" ref="F1067:F1068" si="730">IF(I1067&lt;&gt;"",J1067,"")</f>
        <v/>
      </c>
      <c r="G1067" s="399" t="str">
        <f t="shared" ref="G1067:G1068" si="731">IF(J1067&lt;&gt;"rumus","1 x "&amp;J1067&amp;" = "&amp;J1067,"rumus")</f>
        <v>rumus</v>
      </c>
      <c r="H1067" s="106" t="s">
        <v>764</v>
      </c>
      <c r="I1067" s="427"/>
      <c r="J1067" s="418" t="str">
        <f t="shared" ref="J1067:J1068" si="732">IF(I1067="Menyampaikan Orasi Ilmiah",5,"rumus")</f>
        <v>rumus</v>
      </c>
      <c r="K1067" s="120"/>
      <c r="L1067" s="120"/>
      <c r="M1067" s="116"/>
    </row>
    <row r="1068" spans="1:13" ht="15.75" customHeight="1" x14ac:dyDescent="0.2">
      <c r="A1068" s="109">
        <v>2</v>
      </c>
      <c r="B1068" s="397" t="s">
        <v>811</v>
      </c>
      <c r="C1068" s="106" t="s">
        <v>317</v>
      </c>
      <c r="D1068" s="106" t="str">
        <f t="shared" si="728"/>
        <v/>
      </c>
      <c r="E1068" s="398" t="str">
        <f t="shared" si="729"/>
        <v/>
      </c>
      <c r="F1068" s="398" t="str">
        <f t="shared" si="730"/>
        <v/>
      </c>
      <c r="G1068" s="399" t="str">
        <f t="shared" si="731"/>
        <v>rumus</v>
      </c>
      <c r="H1068" s="114" t="s">
        <v>26</v>
      </c>
      <c r="I1068" s="427"/>
      <c r="J1068" s="418" t="str">
        <f t="shared" si="732"/>
        <v>rumus</v>
      </c>
      <c r="K1068" s="120"/>
      <c r="L1068" s="120"/>
      <c r="M1068" s="116"/>
    </row>
    <row r="1069" spans="1:13" ht="15" customHeight="1" x14ac:dyDescent="0.2">
      <c r="A1069" s="109"/>
      <c r="B1069" s="406" t="str">
        <f>"a. Semester Gasal "&amp;IF(C1070&lt;&gt;"",C1070,"")&amp;" :"</f>
        <v>a. Semester Gasal 2014/2015 :</v>
      </c>
      <c r="C1069" s="415"/>
      <c r="D1069" s="415"/>
      <c r="E1069" s="415"/>
      <c r="F1069" s="415"/>
      <c r="G1069" s="415"/>
      <c r="H1069" s="416"/>
      <c r="I1069" s="116"/>
      <c r="J1069" s="116"/>
      <c r="K1069" s="120">
        <f>IF(SUM(J1067:J1068)&gt;=10,10,SUM(J1067:J1068))</f>
        <v>0</v>
      </c>
      <c r="L1069" s="120" t="s">
        <v>812</v>
      </c>
      <c r="M1069" s="116"/>
    </row>
    <row r="1070" spans="1:13" ht="15.75" customHeight="1" x14ac:dyDescent="0.2">
      <c r="A1070" s="109">
        <v>1</v>
      </c>
      <c r="B1070" s="397" t="s">
        <v>811</v>
      </c>
      <c r="C1070" s="106" t="s">
        <v>319</v>
      </c>
      <c r="D1070" s="106" t="str">
        <f t="shared" ref="D1070:D1071" si="733">IF(G1070&lt;&gt;"rumus","Orasi","")</f>
        <v/>
      </c>
      <c r="E1070" s="398" t="str">
        <f t="shared" ref="E1070:E1071" si="734">IF(I1070&lt;&gt;"",1,"")</f>
        <v/>
      </c>
      <c r="F1070" s="398" t="str">
        <f t="shared" ref="F1070:F1071" si="735">IF(I1070&lt;&gt;"",J1070,"")</f>
        <v/>
      </c>
      <c r="G1070" s="399" t="str">
        <f t="shared" ref="G1070:G1071" si="736">IF(J1070&lt;&gt;"rumus","1 x "&amp;J1070&amp;" = "&amp;J1070,"rumus")</f>
        <v>rumus</v>
      </c>
      <c r="H1070" s="106" t="s">
        <v>764</v>
      </c>
      <c r="I1070" s="427"/>
      <c r="J1070" s="418" t="str">
        <f t="shared" ref="J1070:J1071" si="737">IF(I1070="Menyampaikan Orasi Ilmiah",5,"rumus")</f>
        <v>rumus</v>
      </c>
      <c r="K1070" s="120"/>
      <c r="L1070" s="120"/>
      <c r="M1070" s="116"/>
    </row>
    <row r="1071" spans="1:13" ht="15.75" customHeight="1" x14ac:dyDescent="0.2">
      <c r="A1071" s="109">
        <v>2</v>
      </c>
      <c r="B1071" s="397" t="s">
        <v>811</v>
      </c>
      <c r="C1071" s="106" t="s">
        <v>319</v>
      </c>
      <c r="D1071" s="106" t="str">
        <f t="shared" si="733"/>
        <v/>
      </c>
      <c r="E1071" s="398" t="str">
        <f t="shared" si="734"/>
        <v/>
      </c>
      <c r="F1071" s="398" t="str">
        <f t="shared" si="735"/>
        <v/>
      </c>
      <c r="G1071" s="399" t="str">
        <f t="shared" si="736"/>
        <v>rumus</v>
      </c>
      <c r="H1071" s="114" t="s">
        <v>26</v>
      </c>
      <c r="I1071" s="427"/>
      <c r="J1071" s="418" t="str">
        <f t="shared" si="737"/>
        <v>rumus</v>
      </c>
      <c r="K1071" s="120"/>
      <c r="L1071" s="120"/>
      <c r="M1071" s="116"/>
    </row>
    <row r="1072" spans="1:13" ht="15" customHeight="1" x14ac:dyDescent="0.2">
      <c r="A1072" s="109"/>
      <c r="B1072" s="406" t="str">
        <f>"a. Semester Gasal "&amp;IF(C1073&lt;&gt;"",C1073,"")&amp;" :"</f>
        <v>a. Semester Gasal 2015/2016 :</v>
      </c>
      <c r="C1072" s="415"/>
      <c r="D1072" s="415"/>
      <c r="E1072" s="415"/>
      <c r="F1072" s="415"/>
      <c r="G1072" s="415"/>
      <c r="H1072" s="416"/>
      <c r="I1072" s="116"/>
      <c r="J1072" s="116"/>
      <c r="K1072" s="120">
        <f>IF(SUM(J1070:J1071)&gt;=10,10,SUM(J1070:J1071))</f>
        <v>0</v>
      </c>
      <c r="L1072" s="120" t="s">
        <v>812</v>
      </c>
      <c r="M1072" s="116"/>
    </row>
    <row r="1073" spans="1:26" ht="15.75" customHeight="1" x14ac:dyDescent="0.2">
      <c r="A1073" s="109">
        <v>1</v>
      </c>
      <c r="B1073" s="397" t="s">
        <v>811</v>
      </c>
      <c r="C1073" s="106" t="s">
        <v>321</v>
      </c>
      <c r="D1073" s="106" t="str">
        <f t="shared" ref="D1073:D1074" si="738">IF(G1073&lt;&gt;"rumus","Orasi","")</f>
        <v/>
      </c>
      <c r="E1073" s="398" t="str">
        <f t="shared" ref="E1073:E1074" si="739">IF(I1073&lt;&gt;"",1,"")</f>
        <v/>
      </c>
      <c r="F1073" s="398" t="str">
        <f t="shared" ref="F1073:F1074" si="740">IF(I1073&lt;&gt;"",J1073,"")</f>
        <v/>
      </c>
      <c r="G1073" s="399" t="str">
        <f t="shared" ref="G1073:G1074" si="741">IF(J1073&lt;&gt;"rumus","1 x "&amp;J1073&amp;" = "&amp;J1073,"rumus")</f>
        <v>rumus</v>
      </c>
      <c r="H1073" s="106" t="s">
        <v>764</v>
      </c>
      <c r="I1073" s="427"/>
      <c r="J1073" s="418" t="str">
        <f t="shared" ref="J1073:J1074" si="742">IF(I1073="Menyampaikan Orasi Ilmiah",5,"rumus")</f>
        <v>rumus</v>
      </c>
      <c r="K1073" s="120"/>
      <c r="L1073" s="120"/>
      <c r="M1073" s="116"/>
    </row>
    <row r="1074" spans="1:26" ht="15.75" customHeight="1" x14ac:dyDescent="0.2">
      <c r="A1074" s="109">
        <v>2</v>
      </c>
      <c r="B1074" s="397" t="s">
        <v>811</v>
      </c>
      <c r="C1074" s="106" t="s">
        <v>321</v>
      </c>
      <c r="D1074" s="106" t="str">
        <f t="shared" si="738"/>
        <v/>
      </c>
      <c r="E1074" s="398" t="str">
        <f t="shared" si="739"/>
        <v/>
      </c>
      <c r="F1074" s="398" t="str">
        <f t="shared" si="740"/>
        <v/>
      </c>
      <c r="G1074" s="399" t="str">
        <f t="shared" si="741"/>
        <v>rumus</v>
      </c>
      <c r="H1074" s="114" t="s">
        <v>26</v>
      </c>
      <c r="I1074" s="427"/>
      <c r="J1074" s="418" t="str">
        <f t="shared" si="742"/>
        <v>rumus</v>
      </c>
      <c r="K1074" s="120"/>
      <c r="L1074" s="120"/>
      <c r="M1074" s="116"/>
    </row>
    <row r="1075" spans="1:26" ht="15" customHeight="1" x14ac:dyDescent="0.2">
      <c r="A1075" s="109"/>
      <c r="B1075" s="406" t="str">
        <f>"b. Semester Genap "&amp;IF(C1076&lt;&gt;"",C1076,"")&amp;" :"</f>
        <v>b. Semester Genap 2004/2005 :</v>
      </c>
      <c r="C1075" s="415"/>
      <c r="D1075" s="415"/>
      <c r="E1075" s="415"/>
      <c r="F1075" s="415"/>
      <c r="G1075" s="415"/>
      <c r="H1075" s="416"/>
      <c r="I1075" s="116"/>
      <c r="J1075" s="116"/>
      <c r="K1075" s="120">
        <f>IF(SUM(J1073:J1074)&gt;=10,10,SUM(J1073:J1074))</f>
        <v>0</v>
      </c>
      <c r="L1075" s="120" t="s">
        <v>812</v>
      </c>
      <c r="M1075" s="116"/>
    </row>
    <row r="1076" spans="1:26" ht="15.75" customHeight="1" x14ac:dyDescent="0.2">
      <c r="A1076" s="109">
        <v>1</v>
      </c>
      <c r="B1076" s="397" t="s">
        <v>811</v>
      </c>
      <c r="C1076" s="106" t="s">
        <v>705</v>
      </c>
      <c r="D1076" s="106" t="str">
        <f t="shared" ref="D1076:D1077" si="743">IF(G1076&lt;&gt;"rumus","Orasi","")</f>
        <v/>
      </c>
      <c r="E1076" s="398" t="str">
        <f t="shared" ref="E1076:E1077" si="744">IF(I1076&lt;&gt;"",1,"")</f>
        <v/>
      </c>
      <c r="F1076" s="398" t="str">
        <f t="shared" ref="F1076:F1077" si="745">IF(I1076&lt;&gt;"",J1076,"")</f>
        <v/>
      </c>
      <c r="G1076" s="399" t="str">
        <f t="shared" ref="G1076:G1077" si="746">IF(J1076&lt;&gt;"rumus","1 x "&amp;J1076&amp;" = "&amp;J1076,"rumus")</f>
        <v>rumus</v>
      </c>
      <c r="H1076" s="106" t="s">
        <v>764</v>
      </c>
      <c r="I1076" s="427"/>
      <c r="J1076" s="418" t="str">
        <f t="shared" ref="J1076:J1077" si="747">IF(I1076="Menyampaikan Orasi Ilmiah",5,"rumus")</f>
        <v>rumus</v>
      </c>
      <c r="K1076" s="120"/>
      <c r="L1076" s="120"/>
      <c r="M1076" s="116"/>
    </row>
    <row r="1077" spans="1:26" ht="15.75" customHeight="1" x14ac:dyDescent="0.2">
      <c r="A1077" s="109">
        <v>2</v>
      </c>
      <c r="B1077" s="397" t="s">
        <v>811</v>
      </c>
      <c r="C1077" s="106" t="s">
        <v>705</v>
      </c>
      <c r="D1077" s="106" t="str">
        <f t="shared" si="743"/>
        <v/>
      </c>
      <c r="E1077" s="398" t="str">
        <f t="shared" si="744"/>
        <v/>
      </c>
      <c r="F1077" s="398" t="str">
        <f t="shared" si="745"/>
        <v/>
      </c>
      <c r="G1077" s="399" t="str">
        <f t="shared" si="746"/>
        <v>rumus</v>
      </c>
      <c r="H1077" s="114" t="s">
        <v>26</v>
      </c>
      <c r="I1077" s="427"/>
      <c r="J1077" s="418" t="str">
        <f t="shared" si="747"/>
        <v>rumus</v>
      </c>
      <c r="K1077" s="120"/>
      <c r="L1077" s="120"/>
      <c r="M1077" s="116"/>
    </row>
    <row r="1078" spans="1:26" ht="15" customHeight="1" x14ac:dyDescent="0.2">
      <c r="A1078" s="109"/>
      <c r="B1078" s="406" t="str">
        <f>"b. Semester Genap "&amp;IF(C1079&lt;&gt;"",C1079,"")&amp;" :"</f>
        <v>b. Semester Genap 2005/2006 :</v>
      </c>
      <c r="C1078" s="415"/>
      <c r="D1078" s="415"/>
      <c r="E1078" s="415"/>
      <c r="F1078" s="415"/>
      <c r="G1078" s="415"/>
      <c r="H1078" s="416"/>
      <c r="I1078" s="116"/>
      <c r="J1078" s="116"/>
      <c r="K1078" s="120">
        <f>IF(SUM(J1076:J1077)&gt;=10,10,SUM(J1076:J1077))</f>
        <v>0</v>
      </c>
      <c r="L1078" s="120" t="s">
        <v>812</v>
      </c>
      <c r="M1078" s="116"/>
    </row>
    <row r="1079" spans="1:26" ht="15.75" customHeight="1" x14ac:dyDescent="0.2">
      <c r="A1079" s="109">
        <v>1</v>
      </c>
      <c r="B1079" s="397" t="s">
        <v>811</v>
      </c>
      <c r="C1079" s="106" t="s">
        <v>803</v>
      </c>
      <c r="D1079" s="106" t="str">
        <f t="shared" ref="D1079:D1080" si="748">IF(G1079&lt;&gt;"rumus","Orasi","")</f>
        <v/>
      </c>
      <c r="E1079" s="398" t="str">
        <f t="shared" ref="E1079:E1080" si="749">IF(I1079&lt;&gt;"",1,"")</f>
        <v/>
      </c>
      <c r="F1079" s="398" t="str">
        <f t="shared" ref="F1079:F1080" si="750">IF(I1079&lt;&gt;"",J1079,"")</f>
        <v/>
      </c>
      <c r="G1079" s="399" t="str">
        <f t="shared" ref="G1079:G1080" si="751">IF(J1079&lt;&gt;"rumus","1 x "&amp;J1079&amp;" = "&amp;J1079,"rumus")</f>
        <v>rumus</v>
      </c>
      <c r="H1079" s="106" t="s">
        <v>764</v>
      </c>
      <c r="I1079" s="427"/>
      <c r="J1079" s="418" t="str">
        <f t="shared" ref="J1079:J1080" si="752">IF(I1079="Menyampaikan Orasi Ilmiah",5,"rumus")</f>
        <v>rumus</v>
      </c>
      <c r="K1079" s="120"/>
      <c r="L1079" s="120"/>
      <c r="M1079" s="116"/>
    </row>
    <row r="1080" spans="1:26" ht="15.75" customHeight="1" x14ac:dyDescent="0.2">
      <c r="A1080" s="109">
        <v>2</v>
      </c>
      <c r="B1080" s="397" t="s">
        <v>811</v>
      </c>
      <c r="C1080" s="106" t="s">
        <v>803</v>
      </c>
      <c r="D1080" s="106" t="str">
        <f t="shared" si="748"/>
        <v/>
      </c>
      <c r="E1080" s="398" t="str">
        <f t="shared" si="749"/>
        <v/>
      </c>
      <c r="F1080" s="398" t="str">
        <f t="shared" si="750"/>
        <v/>
      </c>
      <c r="G1080" s="399" t="str">
        <f t="shared" si="751"/>
        <v>rumus</v>
      </c>
      <c r="H1080" s="114" t="s">
        <v>26</v>
      </c>
      <c r="I1080" s="427"/>
      <c r="J1080" s="418" t="str">
        <f t="shared" si="752"/>
        <v>rumus</v>
      </c>
      <c r="K1080" s="120"/>
      <c r="L1080" s="120"/>
      <c r="M1080" s="116"/>
    </row>
    <row r="1081" spans="1:26" ht="15" customHeight="1" x14ac:dyDescent="0.2">
      <c r="A1081" s="109"/>
      <c r="B1081" s="406" t="str">
        <f>"b. Semester Genap "&amp;IF(C1082&lt;&gt;"",C1082,"")&amp;" :"</f>
        <v>b. Semester Genap 2006/2007 :</v>
      </c>
      <c r="C1081" s="415"/>
      <c r="D1081" s="415"/>
      <c r="E1081" s="415"/>
      <c r="F1081" s="415"/>
      <c r="G1081" s="415"/>
      <c r="H1081" s="416"/>
      <c r="I1081" s="116"/>
      <c r="J1081" s="116"/>
      <c r="K1081" s="120">
        <f>IF(SUM(J1079:J1080)&gt;=10,10,SUM(J1079:J1080))</f>
        <v>0</v>
      </c>
      <c r="L1081" s="120" t="s">
        <v>812</v>
      </c>
      <c r="M1081" s="116"/>
    </row>
    <row r="1082" spans="1:26" ht="15.75" customHeight="1" x14ac:dyDescent="0.25">
      <c r="A1082" s="109">
        <v>1</v>
      </c>
      <c r="B1082" s="397" t="s">
        <v>811</v>
      </c>
      <c r="C1082" s="106" t="s">
        <v>804</v>
      </c>
      <c r="D1082" s="106" t="str">
        <f t="shared" ref="D1082:D1083" si="753">IF(G1082&lt;&gt;"rumus","Orasi","")</f>
        <v/>
      </c>
      <c r="E1082" s="398" t="str">
        <f t="shared" ref="E1082:E1083" si="754">IF(I1082&lt;&gt;"",1,"")</f>
        <v/>
      </c>
      <c r="F1082" s="398" t="str">
        <f t="shared" ref="F1082:F1083" si="755">IF(I1082&lt;&gt;"",J1082,"")</f>
        <v/>
      </c>
      <c r="G1082" s="399" t="str">
        <f t="shared" ref="G1082:G1083" si="756">IF(J1082&lt;&gt;"rumus","1 x "&amp;J1082&amp;" = "&amp;J1082,"rumus")</f>
        <v>rumus</v>
      </c>
      <c r="H1082" s="106" t="s">
        <v>764</v>
      </c>
      <c r="I1082" s="427"/>
      <c r="J1082" s="418" t="str">
        <f t="shared" ref="J1082:J1083" si="757">IF(I1082="Menyampaikan Orasi Ilmiah",5,"rumus")</f>
        <v>rumus</v>
      </c>
      <c r="K1082" s="120"/>
      <c r="L1082" s="120"/>
      <c r="M1082" s="116"/>
      <c r="N1082" s="2"/>
      <c r="O1082" s="2"/>
      <c r="P1082" s="2"/>
      <c r="Q1082" s="2"/>
      <c r="R1082" s="2"/>
      <c r="S1082" s="2"/>
      <c r="T1082" s="2"/>
      <c r="U1082" s="2"/>
      <c r="V1082" s="2"/>
      <c r="W1082" s="2"/>
      <c r="X1082" s="2"/>
      <c r="Y1082" s="2"/>
      <c r="Z1082" s="2"/>
    </row>
    <row r="1083" spans="1:26" ht="15.75" customHeight="1" x14ac:dyDescent="0.25">
      <c r="A1083" s="109">
        <v>2</v>
      </c>
      <c r="B1083" s="397" t="s">
        <v>811</v>
      </c>
      <c r="C1083" s="106" t="s">
        <v>804</v>
      </c>
      <c r="D1083" s="106" t="str">
        <f t="shared" si="753"/>
        <v/>
      </c>
      <c r="E1083" s="398" t="str">
        <f t="shared" si="754"/>
        <v/>
      </c>
      <c r="F1083" s="398" t="str">
        <f t="shared" si="755"/>
        <v/>
      </c>
      <c r="G1083" s="399" t="str">
        <f t="shared" si="756"/>
        <v>rumus</v>
      </c>
      <c r="H1083" s="114" t="s">
        <v>26</v>
      </c>
      <c r="I1083" s="427"/>
      <c r="J1083" s="418" t="str">
        <f t="shared" si="757"/>
        <v>rumus</v>
      </c>
      <c r="K1083" s="120"/>
      <c r="L1083" s="120"/>
      <c r="M1083" s="116"/>
      <c r="N1083" s="2"/>
      <c r="O1083" s="2"/>
      <c r="P1083" s="2"/>
      <c r="Q1083" s="2"/>
      <c r="R1083" s="2"/>
      <c r="S1083" s="2"/>
      <c r="T1083" s="2"/>
      <c r="U1083" s="2"/>
      <c r="V1083" s="2"/>
      <c r="W1083" s="2"/>
      <c r="X1083" s="2"/>
      <c r="Y1083" s="2"/>
      <c r="Z1083" s="2"/>
    </row>
    <row r="1084" spans="1:26" ht="15" customHeight="1" x14ac:dyDescent="0.2">
      <c r="A1084" s="109"/>
      <c r="B1084" s="406" t="str">
        <f>"b. Semester Genap "&amp;IF(C1085&lt;&gt;"",C1085,"")&amp;" :"</f>
        <v>b. Semester Genap 2007/2008 :</v>
      </c>
      <c r="C1084" s="415"/>
      <c r="D1084" s="415"/>
      <c r="E1084" s="415"/>
      <c r="F1084" s="415"/>
      <c r="G1084" s="415"/>
      <c r="H1084" s="416"/>
      <c r="I1084" s="116"/>
      <c r="J1084" s="116"/>
      <c r="K1084" s="120">
        <f>IF(SUM(J1082:J1083)&gt;=10,10,SUM(J1082:J1083))</f>
        <v>0</v>
      </c>
      <c r="L1084" s="120" t="s">
        <v>812</v>
      </c>
      <c r="M1084" s="116"/>
    </row>
    <row r="1085" spans="1:26" ht="15.75" customHeight="1" x14ac:dyDescent="0.2">
      <c r="A1085" s="109">
        <v>1</v>
      </c>
      <c r="B1085" s="397" t="s">
        <v>811</v>
      </c>
      <c r="C1085" s="106" t="s">
        <v>382</v>
      </c>
      <c r="D1085" s="106" t="str">
        <f t="shared" ref="D1085:D1086" si="758">IF(G1085&lt;&gt;"rumus","Orasi","")</f>
        <v/>
      </c>
      <c r="E1085" s="398" t="str">
        <f t="shared" ref="E1085:E1086" si="759">IF(I1085&lt;&gt;"",1,"")</f>
        <v/>
      </c>
      <c r="F1085" s="398" t="str">
        <f t="shared" ref="F1085:F1086" si="760">IF(I1085&lt;&gt;"",J1085,"")</f>
        <v/>
      </c>
      <c r="G1085" s="399" t="str">
        <f t="shared" ref="G1085:G1086" si="761">IF(J1085&lt;&gt;"rumus","1 x "&amp;J1085&amp;" = "&amp;J1085,"rumus")</f>
        <v>rumus</v>
      </c>
      <c r="H1085" s="106" t="s">
        <v>764</v>
      </c>
      <c r="I1085" s="427"/>
      <c r="J1085" s="418" t="str">
        <f t="shared" ref="J1085:J1086" si="762">IF(I1085="Menyampaikan Orasi Ilmiah",5,"rumus")</f>
        <v>rumus</v>
      </c>
      <c r="K1085" s="120"/>
      <c r="L1085" s="120"/>
      <c r="M1085" s="116"/>
    </row>
    <row r="1086" spans="1:26" ht="15.75" customHeight="1" x14ac:dyDescent="0.2">
      <c r="A1086" s="109">
        <v>2</v>
      </c>
      <c r="B1086" s="397" t="s">
        <v>811</v>
      </c>
      <c r="C1086" s="106" t="s">
        <v>382</v>
      </c>
      <c r="D1086" s="106" t="str">
        <f t="shared" si="758"/>
        <v/>
      </c>
      <c r="E1086" s="398" t="str">
        <f t="shared" si="759"/>
        <v/>
      </c>
      <c r="F1086" s="398" t="str">
        <f t="shared" si="760"/>
        <v/>
      </c>
      <c r="G1086" s="399" t="str">
        <f t="shared" si="761"/>
        <v>rumus</v>
      </c>
      <c r="H1086" s="114" t="s">
        <v>26</v>
      </c>
      <c r="I1086" s="427"/>
      <c r="J1086" s="418" t="str">
        <f t="shared" si="762"/>
        <v>rumus</v>
      </c>
      <c r="K1086" s="120"/>
      <c r="L1086" s="120"/>
      <c r="M1086" s="116"/>
    </row>
    <row r="1087" spans="1:26" ht="15" customHeight="1" x14ac:dyDescent="0.2">
      <c r="A1087" s="109"/>
      <c r="B1087" s="406" t="str">
        <f>"b. Semester Genap "&amp;IF(C1088&lt;&gt;"",C1088,"")&amp;" :"</f>
        <v>b. Semester Genap 2008/2009 :</v>
      </c>
      <c r="C1087" s="415"/>
      <c r="D1087" s="415"/>
      <c r="E1087" s="415"/>
      <c r="F1087" s="415"/>
      <c r="G1087" s="415"/>
      <c r="H1087" s="416"/>
      <c r="I1087" s="116"/>
      <c r="J1087" s="116"/>
      <c r="K1087" s="120">
        <f>IF(SUM(J1085:J1086)&gt;=10,10,SUM(J1085:J1086))</f>
        <v>0</v>
      </c>
      <c r="L1087" s="120" t="s">
        <v>812</v>
      </c>
      <c r="M1087" s="116"/>
    </row>
    <row r="1088" spans="1:26" ht="15.75" customHeight="1" x14ac:dyDescent="0.25">
      <c r="A1088" s="109">
        <v>1</v>
      </c>
      <c r="B1088" s="397" t="s">
        <v>811</v>
      </c>
      <c r="C1088" s="106" t="s">
        <v>383</v>
      </c>
      <c r="D1088" s="106" t="str">
        <f t="shared" ref="D1088:D1089" si="763">IF(G1088&lt;&gt;"rumus","Orasi","")</f>
        <v/>
      </c>
      <c r="E1088" s="398" t="str">
        <f t="shared" ref="E1088:E1089" si="764">IF(I1088&lt;&gt;"",1,"")</f>
        <v/>
      </c>
      <c r="F1088" s="398" t="str">
        <f t="shared" ref="F1088:F1089" si="765">IF(I1088&lt;&gt;"",J1088,"")</f>
        <v/>
      </c>
      <c r="G1088" s="399" t="str">
        <f t="shared" ref="G1088:G1089" si="766">IF(J1088&lt;&gt;"rumus","1 x "&amp;J1088&amp;" = "&amp;J1088,"rumus")</f>
        <v>rumus</v>
      </c>
      <c r="H1088" s="106" t="s">
        <v>764</v>
      </c>
      <c r="I1088" s="427"/>
      <c r="J1088" s="418" t="str">
        <f t="shared" ref="J1088:J1089" si="767">IF(I1088="Menyampaikan Orasi Ilmiah",5,"rumus")</f>
        <v>rumus</v>
      </c>
      <c r="K1088" s="120"/>
      <c r="L1088" s="120"/>
      <c r="M1088" s="116"/>
      <c r="N1088" s="2"/>
      <c r="O1088" s="2"/>
      <c r="P1088" s="2"/>
      <c r="Q1088" s="2"/>
      <c r="R1088" s="2"/>
      <c r="S1088" s="2"/>
      <c r="T1088" s="2"/>
      <c r="U1088" s="2"/>
      <c r="V1088" s="2"/>
      <c r="W1088" s="2"/>
      <c r="X1088" s="2"/>
      <c r="Y1088" s="2"/>
      <c r="Z1088" s="2"/>
    </row>
    <row r="1089" spans="1:26" ht="15.75" customHeight="1" x14ac:dyDescent="0.25">
      <c r="A1089" s="109">
        <v>2</v>
      </c>
      <c r="B1089" s="397" t="s">
        <v>811</v>
      </c>
      <c r="C1089" s="106" t="s">
        <v>383</v>
      </c>
      <c r="D1089" s="106" t="str">
        <f t="shared" si="763"/>
        <v/>
      </c>
      <c r="E1089" s="398" t="str">
        <f t="shared" si="764"/>
        <v/>
      </c>
      <c r="F1089" s="398" t="str">
        <f t="shared" si="765"/>
        <v/>
      </c>
      <c r="G1089" s="399" t="str">
        <f t="shared" si="766"/>
        <v>rumus</v>
      </c>
      <c r="H1089" s="114" t="s">
        <v>26</v>
      </c>
      <c r="I1089" s="427"/>
      <c r="J1089" s="418" t="str">
        <f t="shared" si="767"/>
        <v>rumus</v>
      </c>
      <c r="K1089" s="120"/>
      <c r="L1089" s="120"/>
      <c r="M1089" s="116"/>
      <c r="N1089" s="2"/>
      <c r="O1089" s="2"/>
      <c r="P1089" s="2"/>
      <c r="Q1089" s="2"/>
      <c r="R1089" s="2"/>
      <c r="S1089" s="2"/>
      <c r="T1089" s="2"/>
      <c r="U1089" s="2"/>
      <c r="V1089" s="2"/>
      <c r="W1089" s="2"/>
      <c r="X1089" s="2"/>
      <c r="Y1089" s="2"/>
      <c r="Z1089" s="2"/>
    </row>
    <row r="1090" spans="1:26" ht="15" customHeight="1" x14ac:dyDescent="0.2">
      <c r="A1090" s="109"/>
      <c r="B1090" s="406" t="str">
        <f>"b. Semester Genap "&amp;IF(C1091&lt;&gt;"",C1091,"")&amp;" :"</f>
        <v>b. Semester Genap 2009/2010 :</v>
      </c>
      <c r="C1090" s="415"/>
      <c r="D1090" s="415"/>
      <c r="E1090" s="415"/>
      <c r="F1090" s="415"/>
      <c r="G1090" s="415"/>
      <c r="H1090" s="416"/>
      <c r="I1090" s="116"/>
      <c r="J1090" s="116"/>
      <c r="K1090" s="120">
        <f>IF(SUM(J1088:J1089)&gt;=10,10,SUM(J1088:J1089))</f>
        <v>0</v>
      </c>
      <c r="L1090" s="120" t="s">
        <v>812</v>
      </c>
      <c r="M1090" s="116"/>
    </row>
    <row r="1091" spans="1:26" ht="15.75" customHeight="1" x14ac:dyDescent="0.25">
      <c r="A1091" s="109">
        <v>1</v>
      </c>
      <c r="B1091" s="397" t="s">
        <v>811</v>
      </c>
      <c r="C1091" s="106" t="s">
        <v>384</v>
      </c>
      <c r="D1091" s="106" t="str">
        <f t="shared" ref="D1091:D1092" si="768">IF(G1091&lt;&gt;"rumus","Orasi","")</f>
        <v/>
      </c>
      <c r="E1091" s="398" t="str">
        <f t="shared" ref="E1091:E1092" si="769">IF(I1091&lt;&gt;"",1,"")</f>
        <v/>
      </c>
      <c r="F1091" s="398" t="str">
        <f t="shared" ref="F1091:F1092" si="770">IF(I1091&lt;&gt;"",J1091,"")</f>
        <v/>
      </c>
      <c r="G1091" s="399" t="str">
        <f t="shared" ref="G1091:G1092" si="771">IF(J1091&lt;&gt;"rumus","1 x "&amp;J1091&amp;" = "&amp;J1091,"rumus")</f>
        <v>rumus</v>
      </c>
      <c r="H1091" s="106" t="s">
        <v>764</v>
      </c>
      <c r="I1091" s="427"/>
      <c r="J1091" s="418" t="str">
        <f t="shared" ref="J1091:J1092" si="772">IF(I1091="Menyampaikan Orasi Ilmiah",5,"rumus")</f>
        <v>rumus</v>
      </c>
      <c r="K1091" s="120"/>
      <c r="L1091" s="120"/>
      <c r="M1091" s="116"/>
      <c r="N1091" s="2"/>
      <c r="O1091" s="2"/>
      <c r="P1091" s="2"/>
      <c r="Q1091" s="2"/>
      <c r="R1091" s="2"/>
      <c r="S1091" s="2"/>
      <c r="T1091" s="2"/>
      <c r="U1091" s="2"/>
      <c r="V1091" s="2"/>
      <c r="W1091" s="2"/>
      <c r="X1091" s="2"/>
      <c r="Y1091" s="2"/>
      <c r="Z1091" s="2"/>
    </row>
    <row r="1092" spans="1:26" ht="15.75" customHeight="1" x14ac:dyDescent="0.25">
      <c r="A1092" s="109">
        <v>2</v>
      </c>
      <c r="B1092" s="397" t="s">
        <v>811</v>
      </c>
      <c r="C1092" s="106" t="s">
        <v>384</v>
      </c>
      <c r="D1092" s="106" t="str">
        <f t="shared" si="768"/>
        <v/>
      </c>
      <c r="E1092" s="398" t="str">
        <f t="shared" si="769"/>
        <v/>
      </c>
      <c r="F1092" s="398" t="str">
        <f t="shared" si="770"/>
        <v/>
      </c>
      <c r="G1092" s="399" t="str">
        <f t="shared" si="771"/>
        <v>rumus</v>
      </c>
      <c r="H1092" s="114" t="s">
        <v>26</v>
      </c>
      <c r="I1092" s="427"/>
      <c r="J1092" s="418" t="str">
        <f t="shared" si="772"/>
        <v>rumus</v>
      </c>
      <c r="K1092" s="120"/>
      <c r="L1092" s="120"/>
      <c r="M1092" s="116"/>
      <c r="N1092" s="2"/>
      <c r="O1092" s="2"/>
      <c r="P1092" s="2"/>
      <c r="Q1092" s="2"/>
      <c r="R1092" s="2"/>
      <c r="S1092" s="2"/>
      <c r="T1092" s="2"/>
      <c r="U1092" s="2"/>
      <c r="V1092" s="2"/>
      <c r="W1092" s="2"/>
      <c r="X1092" s="2"/>
      <c r="Y1092" s="2"/>
      <c r="Z1092" s="2"/>
    </row>
    <row r="1093" spans="1:26" ht="15" customHeight="1" x14ac:dyDescent="0.2">
      <c r="A1093" s="109"/>
      <c r="B1093" s="406" t="str">
        <f>"b. Semester Genap "&amp;IF(C1094&lt;&gt;"",C1094,"")&amp;" :"</f>
        <v>b. Semester Genap 2010/2011 :</v>
      </c>
      <c r="C1093" s="415"/>
      <c r="D1093" s="415"/>
      <c r="E1093" s="415"/>
      <c r="F1093" s="415"/>
      <c r="G1093" s="415"/>
      <c r="H1093" s="416"/>
      <c r="I1093" s="116"/>
      <c r="J1093" s="116"/>
      <c r="K1093" s="120">
        <f>IF(SUM(J1091:J1092)&gt;=10,10,SUM(J1091:J1092))</f>
        <v>0</v>
      </c>
      <c r="L1093" s="120" t="s">
        <v>812</v>
      </c>
      <c r="M1093" s="116"/>
    </row>
    <row r="1094" spans="1:26" ht="15.75" customHeight="1" x14ac:dyDescent="0.2">
      <c r="A1094" s="109">
        <v>1</v>
      </c>
      <c r="B1094" s="397" t="s">
        <v>811</v>
      </c>
      <c r="C1094" s="106" t="s">
        <v>385</v>
      </c>
      <c r="D1094" s="106" t="str">
        <f t="shared" ref="D1094:D1095" si="773">IF(G1094&lt;&gt;"rumus","Orasi","")</f>
        <v/>
      </c>
      <c r="E1094" s="398" t="str">
        <f t="shared" ref="E1094:E1095" si="774">IF(I1094&lt;&gt;"",1,"")</f>
        <v/>
      </c>
      <c r="F1094" s="398" t="str">
        <f t="shared" ref="F1094:F1095" si="775">IF(I1094&lt;&gt;"",J1094,"")</f>
        <v/>
      </c>
      <c r="G1094" s="399" t="str">
        <f t="shared" ref="G1094:G1095" si="776">IF(J1094&lt;&gt;"rumus","1 x "&amp;J1094&amp;" = "&amp;J1094,"rumus")</f>
        <v>rumus</v>
      </c>
      <c r="H1094" s="106" t="s">
        <v>764</v>
      </c>
      <c r="I1094" s="427"/>
      <c r="J1094" s="418" t="str">
        <f t="shared" ref="J1094:J1095" si="777">IF(I1094="Menyampaikan Orasi Ilmiah",5,"rumus")</f>
        <v>rumus</v>
      </c>
      <c r="K1094" s="120"/>
      <c r="L1094" s="120"/>
      <c r="M1094" s="116"/>
    </row>
    <row r="1095" spans="1:26" ht="15.75" customHeight="1" x14ac:dyDescent="0.2">
      <c r="A1095" s="109">
        <v>2</v>
      </c>
      <c r="B1095" s="397" t="s">
        <v>811</v>
      </c>
      <c r="C1095" s="106" t="s">
        <v>385</v>
      </c>
      <c r="D1095" s="106" t="str">
        <f t="shared" si="773"/>
        <v/>
      </c>
      <c r="E1095" s="398" t="str">
        <f t="shared" si="774"/>
        <v/>
      </c>
      <c r="F1095" s="398" t="str">
        <f t="shared" si="775"/>
        <v/>
      </c>
      <c r="G1095" s="399" t="str">
        <f t="shared" si="776"/>
        <v>rumus</v>
      </c>
      <c r="H1095" s="114" t="s">
        <v>26</v>
      </c>
      <c r="I1095" s="427"/>
      <c r="J1095" s="418" t="str">
        <f t="shared" si="777"/>
        <v>rumus</v>
      </c>
      <c r="K1095" s="120"/>
      <c r="L1095" s="120"/>
      <c r="M1095" s="116"/>
    </row>
    <row r="1096" spans="1:26" ht="15" customHeight="1" x14ac:dyDescent="0.2">
      <c r="A1096" s="109"/>
      <c r="B1096" s="406" t="str">
        <f>"b. Semester Genap "&amp;IF(C1097&lt;&gt;"",C1097,"")&amp;" :"</f>
        <v>b. Semester Genap 2011/2012 :</v>
      </c>
      <c r="C1096" s="415"/>
      <c r="D1096" s="415"/>
      <c r="E1096" s="415"/>
      <c r="F1096" s="415"/>
      <c r="G1096" s="415"/>
      <c r="H1096" s="416"/>
      <c r="I1096" s="116"/>
      <c r="J1096" s="116"/>
      <c r="K1096" s="120">
        <f>IF(SUM(J1094:J1095)&gt;=10,10,SUM(J1094:J1095))</f>
        <v>0</v>
      </c>
      <c r="L1096" s="120" t="s">
        <v>812</v>
      </c>
      <c r="M1096" s="116"/>
    </row>
    <row r="1097" spans="1:26" ht="15.75" customHeight="1" x14ac:dyDescent="0.2">
      <c r="A1097" s="109">
        <v>1</v>
      </c>
      <c r="B1097" s="397" t="s">
        <v>811</v>
      </c>
      <c r="C1097" s="106" t="s">
        <v>355</v>
      </c>
      <c r="D1097" s="106" t="str">
        <f t="shared" ref="D1097:D1098" si="778">IF(G1097&lt;&gt;"rumus","Orasi","")</f>
        <v/>
      </c>
      <c r="E1097" s="398" t="str">
        <f t="shared" ref="E1097:E1098" si="779">IF(I1097&lt;&gt;"",1,"")</f>
        <v/>
      </c>
      <c r="F1097" s="398" t="str">
        <f t="shared" ref="F1097:F1098" si="780">IF(I1097&lt;&gt;"",J1097,"")</f>
        <v/>
      </c>
      <c r="G1097" s="399" t="str">
        <f t="shared" ref="G1097:G1098" si="781">IF(J1097&lt;&gt;"rumus","1 x "&amp;J1097&amp;" = "&amp;J1097,"rumus")</f>
        <v>rumus</v>
      </c>
      <c r="H1097" s="106" t="s">
        <v>764</v>
      </c>
      <c r="I1097" s="427"/>
      <c r="J1097" s="418" t="str">
        <f t="shared" ref="J1097:J1098" si="782">IF(I1097="Menyampaikan Orasi Ilmiah",5,"rumus")</f>
        <v>rumus</v>
      </c>
      <c r="K1097" s="120"/>
      <c r="L1097" s="120"/>
      <c r="M1097" s="116"/>
    </row>
    <row r="1098" spans="1:26" ht="15.75" customHeight="1" x14ac:dyDescent="0.2">
      <c r="A1098" s="109">
        <v>2</v>
      </c>
      <c r="B1098" s="397" t="s">
        <v>811</v>
      </c>
      <c r="C1098" s="106" t="s">
        <v>355</v>
      </c>
      <c r="D1098" s="106" t="str">
        <f t="shared" si="778"/>
        <v/>
      </c>
      <c r="E1098" s="398" t="str">
        <f t="shared" si="779"/>
        <v/>
      </c>
      <c r="F1098" s="398" t="str">
        <f t="shared" si="780"/>
        <v/>
      </c>
      <c r="G1098" s="399" t="str">
        <f t="shared" si="781"/>
        <v>rumus</v>
      </c>
      <c r="H1098" s="114" t="s">
        <v>26</v>
      </c>
      <c r="I1098" s="427"/>
      <c r="J1098" s="418" t="str">
        <f t="shared" si="782"/>
        <v>rumus</v>
      </c>
      <c r="K1098" s="120"/>
      <c r="L1098" s="120"/>
      <c r="M1098" s="116"/>
    </row>
    <row r="1099" spans="1:26" ht="15" customHeight="1" x14ac:dyDescent="0.2">
      <c r="A1099" s="109"/>
      <c r="B1099" s="406" t="str">
        <f>"b. Semester Genap "&amp;IF(C1100&lt;&gt;"",C1100,"")&amp;" :"</f>
        <v>b. Semester Genap 2012/2013 :</v>
      </c>
      <c r="C1099" s="415"/>
      <c r="D1099" s="415"/>
      <c r="E1099" s="415"/>
      <c r="F1099" s="415"/>
      <c r="G1099" s="415"/>
      <c r="H1099" s="416"/>
      <c r="I1099" s="116"/>
      <c r="J1099" s="116"/>
      <c r="K1099" s="120">
        <f>IF(SUM(J1097:J1098)&gt;=10,10,SUM(J1097:J1098))</f>
        <v>0</v>
      </c>
      <c r="L1099" s="120" t="s">
        <v>812</v>
      </c>
      <c r="M1099" s="116"/>
    </row>
    <row r="1100" spans="1:26" ht="15.75" customHeight="1" x14ac:dyDescent="0.2">
      <c r="A1100" s="109">
        <v>1</v>
      </c>
      <c r="B1100" s="397" t="s">
        <v>811</v>
      </c>
      <c r="C1100" s="106" t="s">
        <v>312</v>
      </c>
      <c r="D1100" s="106" t="str">
        <f t="shared" ref="D1100:D1101" si="783">IF(G1100&lt;&gt;"rumus","Orasi","")</f>
        <v/>
      </c>
      <c r="E1100" s="398" t="str">
        <f t="shared" ref="E1100:E1101" si="784">IF(I1100&lt;&gt;"",1,"")</f>
        <v/>
      </c>
      <c r="F1100" s="398" t="str">
        <f t="shared" ref="F1100:F1101" si="785">IF(I1100&lt;&gt;"",J1100,"")</f>
        <v/>
      </c>
      <c r="G1100" s="399" t="str">
        <f t="shared" ref="G1100:G1101" si="786">IF(J1100&lt;&gt;"rumus","1 x "&amp;J1100&amp;" = "&amp;J1100,"rumus")</f>
        <v>rumus</v>
      </c>
      <c r="H1100" s="106" t="s">
        <v>764</v>
      </c>
      <c r="I1100" s="427"/>
      <c r="J1100" s="418" t="str">
        <f t="shared" ref="J1100:J1101" si="787">IF(I1100="Menyampaikan Orasi Ilmiah",5,"rumus")</f>
        <v>rumus</v>
      </c>
      <c r="K1100" s="120"/>
      <c r="L1100" s="120"/>
      <c r="M1100" s="116"/>
    </row>
    <row r="1101" spans="1:26" ht="15.75" customHeight="1" x14ac:dyDescent="0.2">
      <c r="A1101" s="109">
        <v>2</v>
      </c>
      <c r="B1101" s="397" t="s">
        <v>811</v>
      </c>
      <c r="C1101" s="106" t="s">
        <v>312</v>
      </c>
      <c r="D1101" s="106" t="str">
        <f t="shared" si="783"/>
        <v/>
      </c>
      <c r="E1101" s="398" t="str">
        <f t="shared" si="784"/>
        <v/>
      </c>
      <c r="F1101" s="398" t="str">
        <f t="shared" si="785"/>
        <v/>
      </c>
      <c r="G1101" s="399" t="str">
        <f t="shared" si="786"/>
        <v>rumus</v>
      </c>
      <c r="H1101" s="114" t="s">
        <v>26</v>
      </c>
      <c r="I1101" s="427"/>
      <c r="J1101" s="418" t="str">
        <f t="shared" si="787"/>
        <v>rumus</v>
      </c>
      <c r="K1101" s="120"/>
      <c r="L1101" s="120"/>
      <c r="M1101" s="116"/>
    </row>
    <row r="1102" spans="1:26" ht="15" customHeight="1" x14ac:dyDescent="0.2">
      <c r="A1102" s="109"/>
      <c r="B1102" s="406" t="str">
        <f>"b. Semester Genap "&amp;IF(C1103&lt;&gt;"",C1103,"")&amp;" :"</f>
        <v>b. Semester Genap 2013/2014 :</v>
      </c>
      <c r="C1102" s="415"/>
      <c r="D1102" s="415"/>
      <c r="E1102" s="415"/>
      <c r="F1102" s="415"/>
      <c r="G1102" s="415"/>
      <c r="H1102" s="416"/>
      <c r="I1102" s="116"/>
      <c r="J1102" s="116"/>
      <c r="K1102" s="120">
        <f>IF(SUM(J1100:J1101)&gt;=10,10,SUM(J1100:J1101))</f>
        <v>0</v>
      </c>
      <c r="L1102" s="120" t="s">
        <v>812</v>
      </c>
      <c r="M1102" s="116"/>
    </row>
    <row r="1103" spans="1:26" ht="15.75" customHeight="1" x14ac:dyDescent="0.2">
      <c r="A1103" s="109">
        <v>1</v>
      </c>
      <c r="B1103" s="397" t="s">
        <v>811</v>
      </c>
      <c r="C1103" s="106" t="s">
        <v>317</v>
      </c>
      <c r="D1103" s="106" t="str">
        <f t="shared" ref="D1103:D1104" si="788">IF(G1103&lt;&gt;"rumus","Orasi","")</f>
        <v/>
      </c>
      <c r="E1103" s="398" t="str">
        <f t="shared" ref="E1103:E1104" si="789">IF(I1103&lt;&gt;"",1,"")</f>
        <v/>
      </c>
      <c r="F1103" s="398" t="str">
        <f t="shared" ref="F1103:F1104" si="790">IF(I1103&lt;&gt;"",J1103,"")</f>
        <v/>
      </c>
      <c r="G1103" s="399" t="str">
        <f t="shared" ref="G1103:G1104" si="791">IF(J1103&lt;&gt;"rumus","1 x "&amp;J1103&amp;" = "&amp;J1103,"rumus")</f>
        <v>rumus</v>
      </c>
      <c r="H1103" s="106" t="s">
        <v>764</v>
      </c>
      <c r="I1103" s="427"/>
      <c r="J1103" s="418" t="str">
        <f t="shared" ref="J1103:J1104" si="792">IF(I1103="Menyampaikan Orasi Ilmiah",5,"rumus")</f>
        <v>rumus</v>
      </c>
      <c r="K1103" s="120"/>
      <c r="L1103" s="120"/>
      <c r="M1103" s="116"/>
    </row>
    <row r="1104" spans="1:26" ht="15.75" customHeight="1" x14ac:dyDescent="0.2">
      <c r="A1104" s="109">
        <v>2</v>
      </c>
      <c r="B1104" s="397" t="s">
        <v>811</v>
      </c>
      <c r="C1104" s="106" t="s">
        <v>317</v>
      </c>
      <c r="D1104" s="106" t="str">
        <f t="shared" si="788"/>
        <v/>
      </c>
      <c r="E1104" s="398" t="str">
        <f t="shared" si="789"/>
        <v/>
      </c>
      <c r="F1104" s="398" t="str">
        <f t="shared" si="790"/>
        <v/>
      </c>
      <c r="G1104" s="399" t="str">
        <f t="shared" si="791"/>
        <v>rumus</v>
      </c>
      <c r="H1104" s="114" t="s">
        <v>26</v>
      </c>
      <c r="I1104" s="427"/>
      <c r="J1104" s="418" t="str">
        <f t="shared" si="792"/>
        <v>rumus</v>
      </c>
      <c r="K1104" s="120"/>
      <c r="L1104" s="120"/>
      <c r="M1104" s="116"/>
    </row>
    <row r="1105" spans="1:26" ht="15" customHeight="1" x14ac:dyDescent="0.2">
      <c r="A1105" s="109"/>
      <c r="B1105" s="406" t="str">
        <f>"b. Semester Genap "&amp;IF(C1106&lt;&gt;"",C1106,"")&amp;" :"</f>
        <v>b. Semester Genap 2014/2015 :</v>
      </c>
      <c r="C1105" s="415"/>
      <c r="D1105" s="415"/>
      <c r="E1105" s="415"/>
      <c r="F1105" s="415"/>
      <c r="G1105" s="415"/>
      <c r="H1105" s="416"/>
      <c r="I1105" s="116"/>
      <c r="J1105" s="116"/>
      <c r="K1105" s="120">
        <f>IF(SUM(J1103:J1104)&gt;=10,10,SUM(J1103:J1104))</f>
        <v>0</v>
      </c>
      <c r="L1105" s="120" t="s">
        <v>812</v>
      </c>
      <c r="M1105" s="116"/>
    </row>
    <row r="1106" spans="1:26" ht="15.75" customHeight="1" x14ac:dyDescent="0.2">
      <c r="A1106" s="109">
        <v>1</v>
      </c>
      <c r="B1106" s="397" t="s">
        <v>811</v>
      </c>
      <c r="C1106" s="106" t="s">
        <v>319</v>
      </c>
      <c r="D1106" s="106" t="str">
        <f t="shared" ref="D1106:D1107" si="793">IF(G1106&lt;&gt;"rumus","Orasi","")</f>
        <v/>
      </c>
      <c r="E1106" s="398" t="str">
        <f t="shared" ref="E1106:E1107" si="794">IF(I1106&lt;&gt;"",1,"")</f>
        <v/>
      </c>
      <c r="F1106" s="398" t="str">
        <f t="shared" ref="F1106:F1107" si="795">IF(I1106&lt;&gt;"",J1106,"")</f>
        <v/>
      </c>
      <c r="G1106" s="399" t="str">
        <f t="shared" ref="G1106:G1107" si="796">IF(J1106&lt;&gt;"rumus","1 x "&amp;J1106&amp;" = "&amp;J1106,"rumus")</f>
        <v>rumus</v>
      </c>
      <c r="H1106" s="106" t="s">
        <v>764</v>
      </c>
      <c r="I1106" s="427"/>
      <c r="J1106" s="418" t="str">
        <f t="shared" ref="J1106:J1107" si="797">IF(I1106="Menyampaikan Orasi Ilmiah",5,"rumus")</f>
        <v>rumus</v>
      </c>
      <c r="K1106" s="120"/>
      <c r="L1106" s="120"/>
      <c r="M1106" s="116"/>
    </row>
    <row r="1107" spans="1:26" ht="15.75" customHeight="1" x14ac:dyDescent="0.2">
      <c r="A1107" s="109">
        <v>2</v>
      </c>
      <c r="B1107" s="397" t="s">
        <v>811</v>
      </c>
      <c r="C1107" s="106" t="s">
        <v>319</v>
      </c>
      <c r="D1107" s="106" t="str">
        <f t="shared" si="793"/>
        <v/>
      </c>
      <c r="E1107" s="398" t="str">
        <f t="shared" si="794"/>
        <v/>
      </c>
      <c r="F1107" s="398" t="str">
        <f t="shared" si="795"/>
        <v/>
      </c>
      <c r="G1107" s="399" t="str">
        <f t="shared" si="796"/>
        <v>rumus</v>
      </c>
      <c r="H1107" s="114" t="s">
        <v>26</v>
      </c>
      <c r="I1107" s="427"/>
      <c r="J1107" s="418" t="str">
        <f t="shared" si="797"/>
        <v>rumus</v>
      </c>
      <c r="K1107" s="120"/>
      <c r="L1107" s="120"/>
      <c r="M1107" s="116"/>
    </row>
    <row r="1108" spans="1:26" ht="15" customHeight="1" x14ac:dyDescent="0.2">
      <c r="A1108" s="109"/>
      <c r="B1108" s="406" t="str">
        <f>"b. Semester Genap "&amp;IF(C1109&lt;&gt;"",C1109,"")&amp;" :"</f>
        <v>b. Semester Genap 2015/2016 :</v>
      </c>
      <c r="C1108" s="415"/>
      <c r="D1108" s="415"/>
      <c r="E1108" s="415"/>
      <c r="F1108" s="415"/>
      <c r="G1108" s="415"/>
      <c r="H1108" s="416"/>
      <c r="I1108" s="116"/>
      <c r="J1108" s="116"/>
      <c r="K1108" s="120">
        <f>IF(SUM(J1106:J1107)&gt;=10,10,SUM(J1106:J1107))</f>
        <v>0</v>
      </c>
      <c r="L1108" s="120" t="s">
        <v>812</v>
      </c>
      <c r="M1108" s="116"/>
    </row>
    <row r="1109" spans="1:26" ht="15.75" customHeight="1" x14ac:dyDescent="0.2">
      <c r="A1109" s="109">
        <v>1</v>
      </c>
      <c r="B1109" s="397" t="s">
        <v>811</v>
      </c>
      <c r="C1109" s="106" t="s">
        <v>321</v>
      </c>
      <c r="D1109" s="106" t="str">
        <f t="shared" ref="D1109:D1110" si="798">IF(G1109&lt;&gt;"rumus","Orasi","")</f>
        <v/>
      </c>
      <c r="E1109" s="398" t="str">
        <f t="shared" ref="E1109:E1110" si="799">IF(I1109&lt;&gt;"",1,"")</f>
        <v/>
      </c>
      <c r="F1109" s="398" t="str">
        <f t="shared" ref="F1109:F1110" si="800">IF(I1109&lt;&gt;"",J1109,"")</f>
        <v/>
      </c>
      <c r="G1109" s="399" t="str">
        <f t="shared" ref="G1109:G1110" si="801">IF(J1109&lt;&gt;"rumus","1 x "&amp;J1109&amp;" = "&amp;J1109,"rumus")</f>
        <v>rumus</v>
      </c>
      <c r="H1109" s="106" t="s">
        <v>764</v>
      </c>
      <c r="I1109" s="427"/>
      <c r="J1109" s="418" t="str">
        <f t="shared" ref="J1109:J1110" si="802">IF(I1109="Menyampaikan Orasi Ilmiah",5,"rumus")</f>
        <v>rumus</v>
      </c>
      <c r="K1109" s="120"/>
      <c r="L1109" s="120"/>
      <c r="M1109" s="116"/>
    </row>
    <row r="1110" spans="1:26" ht="15.75" customHeight="1" x14ac:dyDescent="0.2">
      <c r="A1110" s="109">
        <v>2</v>
      </c>
      <c r="B1110" s="397" t="s">
        <v>811</v>
      </c>
      <c r="C1110" s="106" t="s">
        <v>321</v>
      </c>
      <c r="D1110" s="106" t="str">
        <f t="shared" si="798"/>
        <v/>
      </c>
      <c r="E1110" s="398" t="str">
        <f t="shared" si="799"/>
        <v/>
      </c>
      <c r="F1110" s="398" t="str">
        <f t="shared" si="800"/>
        <v/>
      </c>
      <c r="G1110" s="399" t="str">
        <f t="shared" si="801"/>
        <v>rumus</v>
      </c>
      <c r="H1110" s="114" t="s">
        <v>26</v>
      </c>
      <c r="I1110" s="427"/>
      <c r="J1110" s="418" t="str">
        <f t="shared" si="802"/>
        <v>rumus</v>
      </c>
      <c r="K1110" s="120"/>
      <c r="L1110" s="120"/>
      <c r="M1110" s="116"/>
    </row>
    <row r="1111" spans="1:26" ht="15" customHeight="1" x14ac:dyDescent="0.25">
      <c r="A1111" s="124"/>
      <c r="B1111" s="614" t="s">
        <v>304</v>
      </c>
      <c r="C1111" s="615"/>
      <c r="D1111" s="616"/>
      <c r="E1111" s="403"/>
      <c r="F1111" s="403"/>
      <c r="G1111" s="113">
        <f>SUM(K1042:K1111)</f>
        <v>0</v>
      </c>
      <c r="H1111" s="114"/>
      <c r="I1111" s="116"/>
      <c r="J1111" s="118"/>
      <c r="K1111" s="120">
        <f>IF(SUM(J1109:J1110)&gt;=10,10,SUM(J1109:J1110))</f>
        <v>0</v>
      </c>
      <c r="L1111" s="120" t="s">
        <v>812</v>
      </c>
      <c r="M1111" s="116"/>
      <c r="N1111" s="2"/>
      <c r="O1111" s="2"/>
      <c r="P1111" s="2"/>
      <c r="Q1111" s="2"/>
      <c r="R1111" s="2"/>
      <c r="S1111" s="2"/>
      <c r="T1111" s="2"/>
      <c r="U1111" s="2"/>
      <c r="V1111" s="2"/>
      <c r="W1111" s="2"/>
      <c r="X1111" s="2"/>
      <c r="Y1111" s="2"/>
      <c r="Z1111" s="2"/>
    </row>
    <row r="1112" spans="1:26" ht="15" customHeight="1" x14ac:dyDescent="0.25">
      <c r="A1112" s="115" t="s">
        <v>101</v>
      </c>
      <c r="B1112" s="396" t="s">
        <v>813</v>
      </c>
      <c r="C1112" s="421"/>
      <c r="D1112" s="421"/>
      <c r="E1112" s="421"/>
      <c r="F1112" s="421"/>
      <c r="G1112" s="421"/>
      <c r="H1112" s="422"/>
      <c r="I1112" s="116"/>
      <c r="J1112" s="116"/>
      <c r="K1112" s="116"/>
      <c r="L1112" s="116"/>
      <c r="M1112" s="116"/>
      <c r="N1112" s="2"/>
      <c r="O1112" s="2"/>
      <c r="P1112" s="2"/>
      <c r="Q1112" s="2"/>
      <c r="R1112" s="2"/>
      <c r="S1112" s="2"/>
      <c r="T1112" s="2"/>
      <c r="U1112" s="2"/>
      <c r="V1112" s="2"/>
      <c r="W1112" s="2"/>
      <c r="X1112" s="2"/>
      <c r="Y1112" s="2"/>
      <c r="Z1112" s="2"/>
    </row>
    <row r="1113" spans="1:26" ht="15" customHeight="1" x14ac:dyDescent="0.25">
      <c r="A1113" s="109"/>
      <c r="B1113" s="428" t="s">
        <v>380</v>
      </c>
      <c r="C1113" s="415"/>
      <c r="D1113" s="415"/>
      <c r="E1113" s="415"/>
      <c r="F1113" s="415"/>
      <c r="G1113" s="415"/>
      <c r="H1113" s="416"/>
      <c r="I1113" s="129"/>
      <c r="J1113" s="116"/>
      <c r="K1113" s="116"/>
      <c r="L1113" s="116"/>
      <c r="M1113" s="116"/>
      <c r="N1113" s="2"/>
      <c r="O1113" s="2"/>
      <c r="P1113" s="2"/>
      <c r="Q1113" s="2"/>
      <c r="R1113" s="2"/>
      <c r="S1113" s="2"/>
      <c r="T1113" s="2"/>
      <c r="U1113" s="2"/>
      <c r="V1113" s="2"/>
      <c r="W1113" s="2"/>
      <c r="X1113" s="2"/>
      <c r="Y1113" s="2"/>
      <c r="Z1113" s="2"/>
    </row>
    <row r="1114" spans="1:26" ht="26.25" x14ac:dyDescent="0.25">
      <c r="A1114" s="109">
        <v>1</v>
      </c>
      <c r="B1114" s="570" t="s">
        <v>814</v>
      </c>
      <c r="C1114" s="576" t="s">
        <v>321</v>
      </c>
      <c r="D1114" s="106" t="str">
        <f t="shared" ref="D1114:D1125" si="803">IF(G1114&lt;&gt;"rumus","Semester","")</f>
        <v>Semester</v>
      </c>
      <c r="E1114" s="398">
        <f t="shared" ref="E1114:E1125" si="804">IF(I1114&lt;&gt;"",1,"")</f>
        <v>1</v>
      </c>
      <c r="F1114" s="398">
        <f t="shared" ref="F1114:F1125" si="805">IF(I1114&lt;&gt;"",J1114,"")</f>
        <v>3</v>
      </c>
      <c r="G1114" s="399" t="str">
        <f t="shared" ref="G1114:G1125" si="806">IF(J1114&lt;&gt;"rumus","1 x "&amp;J1114&amp;" = "&amp;J1114,"rumus")</f>
        <v>1 x 3 = 3</v>
      </c>
      <c r="H1114" s="106" t="s">
        <v>764</v>
      </c>
      <c r="I1114" s="579" t="s">
        <v>277</v>
      </c>
      <c r="J1114" s="418">
        <f t="shared" ref="J1114:J1125" si="807">IF(I1114&lt;&gt;"",IF(I1114="a.Rektor",6,IF(I1114="b.Pembantu rektor/dekan/direktur program pasca sarjana",5,IF(I1114="c.Ketua sekolah tinggi/pembantu dekan/asisten direktur program pasca sarjana/direktur politeknik",4,IF(I1114="d.Pembantu ketua sekolah tinggi/pembantu direktur politeknik",4,IF(I1114="e.Direktur akademi",4,IF(I1114="f.Pembantu direktur akademi/ketua jurusan/bagian pada universitas/institut/sekolah tinggi",3,IF(I1114="g.Ketua jurusan pada politeknik/akademi/sekretaris jurusan/bagian pada universitas/institu/sekolah tinggi",3,IF(I1114="h.Sekretaris jurusan pada politeknik/akademi dan kepala laboratorium universitas/institut/sekolah tinggi/politeknik/akademi",3,"")))))))),"rumus")</f>
        <v>3</v>
      </c>
      <c r="K1114" s="116"/>
      <c r="L1114" s="116"/>
      <c r="M1114" s="116"/>
      <c r="N1114" s="2"/>
      <c r="O1114" s="2"/>
      <c r="P1114" s="2"/>
      <c r="Q1114" s="2"/>
      <c r="R1114" s="2"/>
      <c r="S1114" s="2"/>
      <c r="T1114" s="2"/>
      <c r="U1114" s="2"/>
      <c r="V1114" s="2"/>
      <c r="W1114" s="2"/>
      <c r="X1114" s="2"/>
      <c r="Y1114" s="2"/>
      <c r="Z1114" s="2"/>
    </row>
    <row r="1115" spans="1:26" ht="26.25" x14ac:dyDescent="0.25">
      <c r="A1115" s="109">
        <v>2</v>
      </c>
      <c r="B1115" s="571" t="s">
        <v>815</v>
      </c>
      <c r="C1115" s="578" t="s">
        <v>324</v>
      </c>
      <c r="D1115" s="106" t="str">
        <f t="shared" si="803"/>
        <v>Semester</v>
      </c>
      <c r="E1115" s="398">
        <f t="shared" si="804"/>
        <v>1</v>
      </c>
      <c r="F1115" s="398">
        <f t="shared" si="805"/>
        <v>3</v>
      </c>
      <c r="G1115" s="399" t="str">
        <f t="shared" si="806"/>
        <v>1 x 3 = 3</v>
      </c>
      <c r="H1115" s="114" t="s">
        <v>26</v>
      </c>
      <c r="I1115" s="579" t="s">
        <v>277</v>
      </c>
      <c r="J1115" s="418">
        <f t="shared" si="807"/>
        <v>3</v>
      </c>
      <c r="K1115" s="116"/>
      <c r="L1115" s="116"/>
      <c r="M1115" s="116"/>
      <c r="N1115" s="2"/>
      <c r="O1115" s="2"/>
      <c r="P1115" s="2"/>
      <c r="Q1115" s="2"/>
      <c r="R1115" s="2"/>
      <c r="S1115" s="2"/>
      <c r="T1115" s="2"/>
      <c r="U1115" s="2"/>
      <c r="V1115" s="2"/>
      <c r="W1115" s="2"/>
      <c r="X1115" s="2"/>
      <c r="Y1115" s="2"/>
      <c r="Z1115" s="2"/>
    </row>
    <row r="1116" spans="1:26" ht="26.25" x14ac:dyDescent="0.25">
      <c r="A1116" s="109">
        <v>3</v>
      </c>
      <c r="B1116" s="571" t="s">
        <v>815</v>
      </c>
      <c r="C1116" s="578" t="s">
        <v>327</v>
      </c>
      <c r="D1116" s="106" t="str">
        <f t="shared" si="803"/>
        <v>Semester</v>
      </c>
      <c r="E1116" s="398">
        <f t="shared" si="804"/>
        <v>1</v>
      </c>
      <c r="F1116" s="398">
        <f t="shared" si="805"/>
        <v>3</v>
      </c>
      <c r="G1116" s="399" t="str">
        <f t="shared" si="806"/>
        <v>1 x 3 = 3</v>
      </c>
      <c r="H1116" s="114" t="s">
        <v>26</v>
      </c>
      <c r="I1116" s="579" t="s">
        <v>277</v>
      </c>
      <c r="J1116" s="418">
        <f t="shared" si="807"/>
        <v>3</v>
      </c>
      <c r="K1116" s="116"/>
      <c r="L1116" s="116"/>
      <c r="M1116" s="116"/>
      <c r="N1116" s="2"/>
      <c r="O1116" s="2"/>
      <c r="P1116" s="2"/>
      <c r="Q1116" s="2"/>
      <c r="R1116" s="2"/>
      <c r="S1116" s="2"/>
      <c r="T1116" s="2"/>
      <c r="U1116" s="2"/>
      <c r="V1116" s="2"/>
      <c r="W1116" s="2"/>
      <c r="X1116" s="2"/>
      <c r="Y1116" s="2"/>
      <c r="Z1116" s="2"/>
    </row>
    <row r="1117" spans="1:26" ht="26.25" x14ac:dyDescent="0.25">
      <c r="A1117" s="109">
        <v>4</v>
      </c>
      <c r="B1117" s="571" t="s">
        <v>815</v>
      </c>
      <c r="C1117" s="578" t="s">
        <v>331</v>
      </c>
      <c r="D1117" s="106" t="str">
        <f t="shared" si="803"/>
        <v>Semester</v>
      </c>
      <c r="E1117" s="398">
        <f t="shared" si="804"/>
        <v>1</v>
      </c>
      <c r="F1117" s="398">
        <f t="shared" si="805"/>
        <v>3</v>
      </c>
      <c r="G1117" s="399" t="str">
        <f t="shared" si="806"/>
        <v>1 x 3 = 3</v>
      </c>
      <c r="H1117" s="114" t="s">
        <v>26</v>
      </c>
      <c r="I1117" s="579" t="s">
        <v>277</v>
      </c>
      <c r="J1117" s="418">
        <f t="shared" si="807"/>
        <v>3</v>
      </c>
      <c r="K1117" s="116"/>
      <c r="L1117" s="116"/>
      <c r="M1117" s="116"/>
      <c r="N1117" s="2"/>
      <c r="O1117" s="2"/>
      <c r="P1117" s="2"/>
      <c r="Q1117" s="2"/>
      <c r="R1117" s="2"/>
      <c r="S1117" s="2"/>
      <c r="T1117" s="2"/>
      <c r="U1117" s="2"/>
      <c r="V1117" s="2"/>
      <c r="W1117" s="2"/>
      <c r="X1117" s="2"/>
      <c r="Y1117" s="2"/>
      <c r="Z1117" s="2"/>
    </row>
    <row r="1118" spans="1:26" ht="26.25" x14ac:dyDescent="0.25">
      <c r="A1118" s="109">
        <v>5</v>
      </c>
      <c r="B1118" s="571" t="s">
        <v>815</v>
      </c>
      <c r="C1118" s="578" t="s">
        <v>334</v>
      </c>
      <c r="D1118" s="106" t="str">
        <f t="shared" si="803"/>
        <v>Semester</v>
      </c>
      <c r="E1118" s="398">
        <f t="shared" si="804"/>
        <v>1</v>
      </c>
      <c r="F1118" s="398">
        <f t="shared" si="805"/>
        <v>3</v>
      </c>
      <c r="G1118" s="399" t="str">
        <f t="shared" si="806"/>
        <v>1 x 3 = 3</v>
      </c>
      <c r="H1118" s="114" t="s">
        <v>26</v>
      </c>
      <c r="I1118" s="579" t="s">
        <v>277</v>
      </c>
      <c r="J1118" s="418">
        <f t="shared" si="807"/>
        <v>3</v>
      </c>
      <c r="K1118" s="116"/>
      <c r="L1118" s="116"/>
      <c r="M1118" s="116"/>
      <c r="N1118" s="2"/>
      <c r="O1118" s="2"/>
      <c r="P1118" s="2"/>
      <c r="Q1118" s="2"/>
      <c r="R1118" s="2"/>
      <c r="S1118" s="2"/>
      <c r="T1118" s="2"/>
      <c r="U1118" s="2"/>
      <c r="V1118" s="2"/>
      <c r="W1118" s="2"/>
      <c r="X1118" s="2"/>
      <c r="Y1118" s="2"/>
      <c r="Z1118" s="2"/>
    </row>
    <row r="1119" spans="1:26" ht="15" customHeight="1" x14ac:dyDescent="0.25">
      <c r="A1119" s="109">
        <v>6</v>
      </c>
      <c r="B1119" s="397" t="s">
        <v>816</v>
      </c>
      <c r="C1119" s="106" t="s">
        <v>349</v>
      </c>
      <c r="D1119" s="106" t="str">
        <f t="shared" si="803"/>
        <v>Semester</v>
      </c>
      <c r="E1119" s="398">
        <f t="shared" si="804"/>
        <v>1</v>
      </c>
      <c r="F1119" s="398">
        <f t="shared" si="805"/>
        <v>3</v>
      </c>
      <c r="G1119" s="399" t="str">
        <f t="shared" si="806"/>
        <v>1 x 3 = 3</v>
      </c>
      <c r="H1119" s="114" t="s">
        <v>26</v>
      </c>
      <c r="I1119" s="579" t="s">
        <v>277</v>
      </c>
      <c r="J1119" s="418">
        <f t="shared" si="807"/>
        <v>3</v>
      </c>
      <c r="K1119" s="116"/>
      <c r="L1119" s="116"/>
      <c r="M1119" s="116"/>
      <c r="N1119" s="2"/>
      <c r="O1119" s="2"/>
      <c r="P1119" s="2"/>
      <c r="Q1119" s="2"/>
      <c r="R1119" s="2"/>
      <c r="S1119" s="2"/>
      <c r="T1119" s="2"/>
      <c r="U1119" s="2"/>
      <c r="V1119" s="2"/>
      <c r="W1119" s="2"/>
      <c r="X1119" s="2"/>
      <c r="Y1119" s="2"/>
      <c r="Z1119" s="2"/>
    </row>
    <row r="1120" spans="1:26" ht="15" customHeight="1" x14ac:dyDescent="0.25">
      <c r="A1120" s="109">
        <v>7</v>
      </c>
      <c r="B1120" s="397" t="s">
        <v>817</v>
      </c>
      <c r="C1120" s="106" t="s">
        <v>385</v>
      </c>
      <c r="D1120" s="106" t="str">
        <f t="shared" si="803"/>
        <v/>
      </c>
      <c r="E1120" s="398" t="str">
        <f t="shared" si="804"/>
        <v/>
      </c>
      <c r="F1120" s="398" t="str">
        <f t="shared" si="805"/>
        <v/>
      </c>
      <c r="G1120" s="399" t="str">
        <f t="shared" si="806"/>
        <v>rumus</v>
      </c>
      <c r="H1120" s="114" t="s">
        <v>26</v>
      </c>
      <c r="I1120" s="429"/>
      <c r="J1120" s="418" t="str">
        <f t="shared" si="807"/>
        <v>rumus</v>
      </c>
      <c r="K1120" s="116"/>
      <c r="L1120" s="116"/>
      <c r="M1120" s="116"/>
      <c r="N1120" s="2"/>
      <c r="O1120" s="2"/>
      <c r="P1120" s="2"/>
      <c r="Q1120" s="2"/>
      <c r="R1120" s="2"/>
      <c r="S1120" s="2"/>
      <c r="T1120" s="2"/>
      <c r="U1120" s="2"/>
      <c r="V1120" s="2"/>
      <c r="W1120" s="2"/>
      <c r="X1120" s="2"/>
      <c r="Y1120" s="2"/>
      <c r="Z1120" s="2"/>
    </row>
    <row r="1121" spans="1:26" ht="15" customHeight="1" x14ac:dyDescent="0.25">
      <c r="A1121" s="109">
        <v>8</v>
      </c>
      <c r="B1121" s="397" t="s">
        <v>817</v>
      </c>
      <c r="C1121" s="106" t="s">
        <v>355</v>
      </c>
      <c r="D1121" s="106" t="str">
        <f t="shared" si="803"/>
        <v/>
      </c>
      <c r="E1121" s="398" t="str">
        <f t="shared" si="804"/>
        <v/>
      </c>
      <c r="F1121" s="398" t="str">
        <f t="shared" si="805"/>
        <v/>
      </c>
      <c r="G1121" s="399" t="str">
        <f t="shared" si="806"/>
        <v>rumus</v>
      </c>
      <c r="H1121" s="114" t="s">
        <v>26</v>
      </c>
      <c r="I1121" s="429"/>
      <c r="J1121" s="418" t="str">
        <f t="shared" si="807"/>
        <v>rumus</v>
      </c>
      <c r="K1121" s="116"/>
      <c r="L1121" s="116"/>
      <c r="M1121" s="116"/>
      <c r="N1121" s="2"/>
      <c r="O1121" s="2"/>
      <c r="P1121" s="2"/>
      <c r="Q1121" s="2"/>
      <c r="R1121" s="2"/>
      <c r="S1121" s="2"/>
      <c r="T1121" s="2"/>
      <c r="U1121" s="2"/>
      <c r="V1121" s="2"/>
      <c r="W1121" s="2"/>
      <c r="X1121" s="2"/>
      <c r="Y1121" s="2"/>
      <c r="Z1121" s="2"/>
    </row>
    <row r="1122" spans="1:26" ht="15" customHeight="1" x14ac:dyDescent="0.25">
      <c r="A1122" s="109">
        <v>9</v>
      </c>
      <c r="B1122" s="397" t="s">
        <v>817</v>
      </c>
      <c r="C1122" s="106" t="s">
        <v>312</v>
      </c>
      <c r="D1122" s="106" t="str">
        <f t="shared" si="803"/>
        <v/>
      </c>
      <c r="E1122" s="398" t="str">
        <f t="shared" si="804"/>
        <v/>
      </c>
      <c r="F1122" s="398" t="str">
        <f t="shared" si="805"/>
        <v/>
      </c>
      <c r="G1122" s="399" t="str">
        <f t="shared" si="806"/>
        <v>rumus</v>
      </c>
      <c r="H1122" s="114" t="s">
        <v>26</v>
      </c>
      <c r="I1122" s="429"/>
      <c r="J1122" s="418" t="str">
        <f t="shared" si="807"/>
        <v>rumus</v>
      </c>
      <c r="K1122" s="116"/>
      <c r="L1122" s="116"/>
      <c r="M1122" s="116"/>
      <c r="N1122" s="2"/>
      <c r="O1122" s="2"/>
      <c r="P1122" s="2"/>
      <c r="Q1122" s="2"/>
      <c r="R1122" s="2"/>
      <c r="S1122" s="2"/>
      <c r="T1122" s="2"/>
      <c r="U1122" s="2"/>
      <c r="V1122" s="2"/>
      <c r="W1122" s="2"/>
      <c r="X1122" s="2"/>
      <c r="Y1122" s="2"/>
      <c r="Z1122" s="2"/>
    </row>
    <row r="1123" spans="1:26" ht="15" customHeight="1" x14ac:dyDescent="0.25">
      <c r="A1123" s="109">
        <v>10</v>
      </c>
      <c r="B1123" s="397" t="s">
        <v>817</v>
      </c>
      <c r="C1123" s="106" t="s">
        <v>317</v>
      </c>
      <c r="D1123" s="106" t="str">
        <f t="shared" si="803"/>
        <v/>
      </c>
      <c r="E1123" s="398" t="str">
        <f t="shared" si="804"/>
        <v/>
      </c>
      <c r="F1123" s="398" t="str">
        <f t="shared" si="805"/>
        <v/>
      </c>
      <c r="G1123" s="399" t="str">
        <f t="shared" si="806"/>
        <v>rumus</v>
      </c>
      <c r="H1123" s="114" t="s">
        <v>26</v>
      </c>
      <c r="I1123" s="429"/>
      <c r="J1123" s="418" t="str">
        <f t="shared" si="807"/>
        <v>rumus</v>
      </c>
      <c r="K1123" s="116"/>
      <c r="L1123" s="116"/>
      <c r="M1123" s="116"/>
      <c r="N1123" s="2"/>
      <c r="O1123" s="2"/>
      <c r="P1123" s="2"/>
      <c r="Q1123" s="2"/>
      <c r="R1123" s="2"/>
      <c r="S1123" s="2"/>
      <c r="T1123" s="2"/>
      <c r="U1123" s="2"/>
      <c r="V1123" s="2"/>
      <c r="W1123" s="2"/>
      <c r="X1123" s="2"/>
      <c r="Y1123" s="2"/>
      <c r="Z1123" s="2"/>
    </row>
    <row r="1124" spans="1:26" ht="15" customHeight="1" x14ac:dyDescent="0.25">
      <c r="A1124" s="109">
        <v>11</v>
      </c>
      <c r="B1124" s="397" t="s">
        <v>817</v>
      </c>
      <c r="C1124" s="106" t="s">
        <v>319</v>
      </c>
      <c r="D1124" s="106" t="str">
        <f t="shared" si="803"/>
        <v/>
      </c>
      <c r="E1124" s="398" t="str">
        <f t="shared" si="804"/>
        <v/>
      </c>
      <c r="F1124" s="398" t="str">
        <f t="shared" si="805"/>
        <v/>
      </c>
      <c r="G1124" s="399" t="str">
        <f t="shared" si="806"/>
        <v>rumus</v>
      </c>
      <c r="H1124" s="114" t="s">
        <v>26</v>
      </c>
      <c r="I1124" s="429"/>
      <c r="J1124" s="418" t="str">
        <f t="shared" si="807"/>
        <v>rumus</v>
      </c>
      <c r="K1124" s="116"/>
      <c r="L1124" s="116"/>
      <c r="M1124" s="116"/>
      <c r="N1124" s="2"/>
      <c r="O1124" s="2"/>
      <c r="P1124" s="2"/>
      <c r="Q1124" s="2"/>
      <c r="R1124" s="2"/>
      <c r="S1124" s="2"/>
      <c r="T1124" s="2"/>
      <c r="U1124" s="2"/>
      <c r="V1124" s="2"/>
      <c r="W1124" s="2"/>
      <c r="X1124" s="2"/>
      <c r="Y1124" s="2"/>
      <c r="Z1124" s="2"/>
    </row>
    <row r="1125" spans="1:26" ht="15" customHeight="1" x14ac:dyDescent="0.25">
      <c r="A1125" s="109">
        <v>12</v>
      </c>
      <c r="B1125" s="397" t="s">
        <v>817</v>
      </c>
      <c r="C1125" s="106" t="s">
        <v>321</v>
      </c>
      <c r="D1125" s="106" t="str">
        <f t="shared" si="803"/>
        <v/>
      </c>
      <c r="E1125" s="398" t="str">
        <f t="shared" si="804"/>
        <v/>
      </c>
      <c r="F1125" s="398" t="str">
        <f t="shared" si="805"/>
        <v/>
      </c>
      <c r="G1125" s="399" t="str">
        <f t="shared" si="806"/>
        <v>rumus</v>
      </c>
      <c r="H1125" s="114" t="s">
        <v>26</v>
      </c>
      <c r="I1125" s="429"/>
      <c r="J1125" s="418" t="str">
        <f t="shared" si="807"/>
        <v>rumus</v>
      </c>
      <c r="K1125" s="116"/>
      <c r="L1125" s="116"/>
      <c r="M1125" s="116"/>
      <c r="N1125" s="2"/>
      <c r="O1125" s="2"/>
      <c r="P1125" s="2"/>
      <c r="Q1125" s="2"/>
      <c r="R1125" s="2"/>
      <c r="S1125" s="2"/>
      <c r="T1125" s="2"/>
      <c r="U1125" s="2"/>
      <c r="V1125" s="2"/>
      <c r="W1125" s="2"/>
      <c r="X1125" s="2"/>
      <c r="Y1125" s="2"/>
      <c r="Z1125" s="2"/>
    </row>
    <row r="1126" spans="1:26" ht="15" customHeight="1" x14ac:dyDescent="0.25">
      <c r="A1126" s="109"/>
      <c r="B1126" s="428" t="s">
        <v>810</v>
      </c>
      <c r="C1126" s="430"/>
      <c r="D1126" s="430"/>
      <c r="E1126" s="430"/>
      <c r="F1126" s="430"/>
      <c r="G1126" s="415"/>
      <c r="H1126" s="416"/>
      <c r="I1126" s="116"/>
      <c r="J1126" s="2"/>
      <c r="K1126" s="116">
        <f>SUM(J1114:J1125)</f>
        <v>18</v>
      </c>
      <c r="L1126" s="116"/>
      <c r="M1126" s="116"/>
      <c r="N1126" s="2"/>
      <c r="O1126" s="2"/>
      <c r="P1126" s="2"/>
      <c r="Q1126" s="2"/>
      <c r="R1126" s="2"/>
      <c r="S1126" s="2"/>
      <c r="T1126" s="2"/>
      <c r="U1126" s="2"/>
      <c r="V1126" s="2"/>
      <c r="W1126" s="2"/>
      <c r="X1126" s="2"/>
      <c r="Y1126" s="2"/>
      <c r="Z1126" s="2"/>
    </row>
    <row r="1127" spans="1:26" ht="26.25" x14ac:dyDescent="0.25">
      <c r="A1127" s="109">
        <v>1</v>
      </c>
      <c r="B1127" s="570" t="s">
        <v>818</v>
      </c>
      <c r="C1127" s="576" t="s">
        <v>321</v>
      </c>
      <c r="D1127" s="106" t="str">
        <f t="shared" ref="D1127:D1138" si="808">IF(G1127&lt;&gt;"rumus","Semester","")</f>
        <v>Semester</v>
      </c>
      <c r="E1127" s="398">
        <f t="shared" ref="E1127:E1138" si="809">IF(I1127&lt;&gt;"",1,"")</f>
        <v>1</v>
      </c>
      <c r="F1127" s="398">
        <f t="shared" ref="F1127:F1138" si="810">IF(I1127&lt;&gt;"",J1127,"")</f>
        <v>3</v>
      </c>
      <c r="G1127" s="399" t="str">
        <f t="shared" ref="G1127:G1138" si="811">IF(J1127&lt;&gt;"rumus","1 x "&amp;J1127&amp;" = "&amp;J1127,"rumus")</f>
        <v>1 x 3 = 3</v>
      </c>
      <c r="H1127" s="106" t="s">
        <v>764</v>
      </c>
      <c r="I1127" s="579" t="s">
        <v>277</v>
      </c>
      <c r="J1127" s="418">
        <f t="shared" ref="J1127:J1138" si="812">IF(I1127&lt;&gt;"",IF(I1127="a.Rektor",6,IF(I1127="b.Pembantu rektor/dekan/direktur program pasca sarjana",5,IF(I1127="c.Ketua sekolah tinggi/pembantu dekan/asisten direktur program pasca sarjana/direktur politeknik",4,IF(I1127="d.Pembantu ketua sekolah tinggi/pembantu direktur politeknik",4,IF(I1127="e.Direktur akademi",4,IF(I1127="f.Pembantu direktur akademi/ketua jurusan/bagian pada universitas/institut/sekolah tinggi",3,IF(I1127="g.Ketua jurusan pada politeknik/akademi/sekretaris jurusan/bagian pada universitas/institu/sekolah tinggi",3,IF(I1127="h.Sekretaris jurusan pada politeknik/akademi dan kepala laboratorium universitas/institut/sekolah tinggi/politeknik/akademi",3,"")))))))),"rumus")</f>
        <v>3</v>
      </c>
      <c r="K1127" s="116"/>
      <c r="L1127" s="116"/>
      <c r="M1127" s="116"/>
      <c r="N1127" s="2"/>
      <c r="O1127" s="2"/>
      <c r="P1127" s="2"/>
      <c r="Q1127" s="2"/>
      <c r="R1127" s="2"/>
      <c r="S1127" s="2"/>
      <c r="T1127" s="2"/>
      <c r="U1127" s="2"/>
      <c r="V1127" s="2"/>
      <c r="W1127" s="2"/>
      <c r="X1127" s="2"/>
      <c r="Y1127" s="2"/>
      <c r="Z1127" s="2"/>
    </row>
    <row r="1128" spans="1:26" ht="26.25" x14ac:dyDescent="0.25">
      <c r="A1128" s="109">
        <v>2</v>
      </c>
      <c r="B1128" s="571" t="s">
        <v>815</v>
      </c>
      <c r="C1128" s="578" t="s">
        <v>324</v>
      </c>
      <c r="D1128" s="106" t="str">
        <f t="shared" si="808"/>
        <v>Semester</v>
      </c>
      <c r="E1128" s="398">
        <f t="shared" si="809"/>
        <v>1</v>
      </c>
      <c r="F1128" s="398">
        <f t="shared" si="810"/>
        <v>3</v>
      </c>
      <c r="G1128" s="399" t="str">
        <f t="shared" si="811"/>
        <v>1 x 3 = 3</v>
      </c>
      <c r="H1128" s="114" t="s">
        <v>26</v>
      </c>
      <c r="I1128" s="579" t="s">
        <v>277</v>
      </c>
      <c r="J1128" s="418">
        <f t="shared" si="812"/>
        <v>3</v>
      </c>
      <c r="K1128" s="116"/>
      <c r="L1128" s="116"/>
      <c r="M1128" s="116"/>
      <c r="N1128" s="2"/>
      <c r="O1128" s="2"/>
      <c r="P1128" s="2"/>
      <c r="Q1128" s="2"/>
      <c r="R1128" s="2"/>
      <c r="S1128" s="2"/>
      <c r="T1128" s="2"/>
      <c r="U1128" s="2"/>
      <c r="V1128" s="2"/>
      <c r="W1128" s="2"/>
      <c r="X1128" s="2"/>
      <c r="Y1128" s="2"/>
      <c r="Z1128" s="2"/>
    </row>
    <row r="1129" spans="1:26" ht="26.25" x14ac:dyDescent="0.25">
      <c r="A1129" s="109">
        <v>3</v>
      </c>
      <c r="B1129" s="571" t="s">
        <v>815</v>
      </c>
      <c r="C1129" s="578" t="s">
        <v>327</v>
      </c>
      <c r="D1129" s="106" t="str">
        <f t="shared" si="808"/>
        <v>Semester</v>
      </c>
      <c r="E1129" s="398">
        <f t="shared" si="809"/>
        <v>1</v>
      </c>
      <c r="F1129" s="398">
        <f t="shared" si="810"/>
        <v>3</v>
      </c>
      <c r="G1129" s="399" t="str">
        <f t="shared" si="811"/>
        <v>1 x 3 = 3</v>
      </c>
      <c r="H1129" s="114" t="s">
        <v>26</v>
      </c>
      <c r="I1129" s="579" t="s">
        <v>277</v>
      </c>
      <c r="J1129" s="418">
        <f t="shared" si="812"/>
        <v>3</v>
      </c>
      <c r="K1129" s="116"/>
      <c r="L1129" s="116"/>
      <c r="M1129" s="116"/>
      <c r="N1129" s="2"/>
      <c r="O1129" s="2"/>
      <c r="P1129" s="2"/>
      <c r="Q1129" s="2"/>
      <c r="R1129" s="2"/>
      <c r="S1129" s="2"/>
      <c r="T1129" s="2"/>
      <c r="U1129" s="2"/>
      <c r="V1129" s="2"/>
      <c r="W1129" s="2"/>
      <c r="X1129" s="2"/>
      <c r="Y1129" s="2"/>
      <c r="Z1129" s="2"/>
    </row>
    <row r="1130" spans="1:26" ht="26.25" x14ac:dyDescent="0.25">
      <c r="A1130" s="109">
        <v>4</v>
      </c>
      <c r="B1130" s="571" t="s">
        <v>815</v>
      </c>
      <c r="C1130" s="578" t="s">
        <v>331</v>
      </c>
      <c r="D1130" s="106" t="str">
        <f t="shared" si="808"/>
        <v>Semester</v>
      </c>
      <c r="E1130" s="398">
        <f t="shared" si="809"/>
        <v>1</v>
      </c>
      <c r="F1130" s="398">
        <f t="shared" si="810"/>
        <v>3</v>
      </c>
      <c r="G1130" s="399" t="str">
        <f t="shared" si="811"/>
        <v>1 x 3 = 3</v>
      </c>
      <c r="H1130" s="114" t="s">
        <v>26</v>
      </c>
      <c r="I1130" s="579" t="s">
        <v>277</v>
      </c>
      <c r="J1130" s="418">
        <f t="shared" si="812"/>
        <v>3</v>
      </c>
      <c r="K1130" s="116"/>
      <c r="L1130" s="116"/>
      <c r="M1130" s="116"/>
      <c r="N1130" s="2"/>
      <c r="O1130" s="2"/>
      <c r="P1130" s="2"/>
      <c r="Q1130" s="2"/>
      <c r="R1130" s="2"/>
      <c r="S1130" s="2"/>
      <c r="T1130" s="2"/>
      <c r="U1130" s="2"/>
      <c r="V1130" s="2"/>
      <c r="W1130" s="2"/>
      <c r="X1130" s="2"/>
      <c r="Y1130" s="2"/>
      <c r="Z1130" s="2"/>
    </row>
    <row r="1131" spans="1:26" ht="26.25" x14ac:dyDescent="0.25">
      <c r="A1131" s="109">
        <v>5</v>
      </c>
      <c r="B1131" s="571" t="s">
        <v>815</v>
      </c>
      <c r="C1131" s="578" t="s">
        <v>334</v>
      </c>
      <c r="D1131" s="106" t="str">
        <f t="shared" si="808"/>
        <v>Semester</v>
      </c>
      <c r="E1131" s="398">
        <f t="shared" si="809"/>
        <v>1</v>
      </c>
      <c r="F1131" s="398">
        <f t="shared" si="810"/>
        <v>3</v>
      </c>
      <c r="G1131" s="399" t="str">
        <f t="shared" si="811"/>
        <v>1 x 3 = 3</v>
      </c>
      <c r="H1131" s="114" t="s">
        <v>26</v>
      </c>
      <c r="I1131" s="579" t="s">
        <v>277</v>
      </c>
      <c r="J1131" s="418">
        <f t="shared" si="812"/>
        <v>3</v>
      </c>
      <c r="K1131" s="116"/>
      <c r="L1131" s="116"/>
      <c r="M1131" s="116"/>
      <c r="N1131" s="2"/>
      <c r="O1131" s="2"/>
      <c r="P1131" s="2"/>
      <c r="Q1131" s="2"/>
      <c r="R1131" s="2"/>
      <c r="S1131" s="2"/>
      <c r="T1131" s="2"/>
      <c r="U1131" s="2"/>
      <c r="V1131" s="2"/>
      <c r="W1131" s="2"/>
      <c r="X1131" s="2"/>
      <c r="Y1131" s="2"/>
      <c r="Z1131" s="2"/>
    </row>
    <row r="1132" spans="1:26" ht="15" customHeight="1" x14ac:dyDescent="0.25">
      <c r="A1132" s="109">
        <v>6</v>
      </c>
      <c r="B1132" s="397" t="s">
        <v>816</v>
      </c>
      <c r="C1132" s="106" t="s">
        <v>349</v>
      </c>
      <c r="D1132" s="106" t="str">
        <f t="shared" si="808"/>
        <v>Semester</v>
      </c>
      <c r="E1132" s="398">
        <f t="shared" si="809"/>
        <v>1</v>
      </c>
      <c r="F1132" s="398">
        <f t="shared" si="810"/>
        <v>3</v>
      </c>
      <c r="G1132" s="399" t="str">
        <f t="shared" si="811"/>
        <v>1 x 3 = 3</v>
      </c>
      <c r="H1132" s="114" t="s">
        <v>26</v>
      </c>
      <c r="I1132" s="579" t="s">
        <v>277</v>
      </c>
      <c r="J1132" s="418">
        <f t="shared" si="812"/>
        <v>3</v>
      </c>
      <c r="K1132" s="116"/>
      <c r="L1132" s="116"/>
      <c r="M1132" s="116"/>
      <c r="N1132" s="2"/>
      <c r="O1132" s="2"/>
      <c r="P1132" s="2"/>
      <c r="Q1132" s="2"/>
      <c r="R1132" s="2"/>
      <c r="S1132" s="2"/>
      <c r="T1132" s="2"/>
      <c r="U1132" s="2"/>
      <c r="V1132" s="2"/>
      <c r="W1132" s="2"/>
      <c r="X1132" s="2"/>
      <c r="Y1132" s="2"/>
      <c r="Z1132" s="2"/>
    </row>
    <row r="1133" spans="1:26" ht="15" customHeight="1" x14ac:dyDescent="0.25">
      <c r="A1133" s="109">
        <v>7</v>
      </c>
      <c r="B1133" s="397" t="s">
        <v>816</v>
      </c>
      <c r="C1133" s="106" t="s">
        <v>819</v>
      </c>
      <c r="D1133" s="106" t="str">
        <f t="shared" si="808"/>
        <v>Semester</v>
      </c>
      <c r="E1133" s="398">
        <f t="shared" si="809"/>
        <v>1</v>
      </c>
      <c r="F1133" s="398">
        <f t="shared" si="810"/>
        <v>3</v>
      </c>
      <c r="G1133" s="399" t="str">
        <f t="shared" si="811"/>
        <v>1 x 3 = 3</v>
      </c>
      <c r="H1133" s="114" t="s">
        <v>26</v>
      </c>
      <c r="I1133" s="579" t="s">
        <v>277</v>
      </c>
      <c r="J1133" s="418">
        <f t="shared" si="812"/>
        <v>3</v>
      </c>
      <c r="K1133" s="116"/>
      <c r="L1133" s="116"/>
      <c r="M1133" s="116"/>
      <c r="N1133" s="2"/>
      <c r="O1133" s="2"/>
      <c r="P1133" s="2"/>
      <c r="Q1133" s="2"/>
      <c r="R1133" s="2"/>
      <c r="S1133" s="2"/>
      <c r="T1133" s="2"/>
      <c r="U1133" s="2"/>
      <c r="V1133" s="2"/>
      <c r="W1133" s="2"/>
      <c r="X1133" s="2"/>
      <c r="Y1133" s="2"/>
      <c r="Z1133" s="2"/>
    </row>
    <row r="1134" spans="1:26" ht="15" customHeight="1" x14ac:dyDescent="0.25">
      <c r="A1134" s="109">
        <v>8</v>
      </c>
      <c r="B1134" s="397" t="s">
        <v>817</v>
      </c>
      <c r="C1134" s="106" t="s">
        <v>355</v>
      </c>
      <c r="D1134" s="106" t="str">
        <f t="shared" si="808"/>
        <v/>
      </c>
      <c r="E1134" s="398" t="str">
        <f t="shared" si="809"/>
        <v/>
      </c>
      <c r="F1134" s="398" t="str">
        <f t="shared" si="810"/>
        <v/>
      </c>
      <c r="G1134" s="399" t="str">
        <f t="shared" si="811"/>
        <v>rumus</v>
      </c>
      <c r="H1134" s="114" t="s">
        <v>26</v>
      </c>
      <c r="I1134" s="429"/>
      <c r="J1134" s="418" t="str">
        <f t="shared" si="812"/>
        <v>rumus</v>
      </c>
      <c r="K1134" s="116"/>
      <c r="L1134" s="116"/>
      <c r="M1134" s="116"/>
      <c r="N1134" s="2"/>
      <c r="O1134" s="2"/>
      <c r="P1134" s="2"/>
      <c r="Q1134" s="2"/>
      <c r="R1134" s="2"/>
      <c r="S1134" s="2"/>
      <c r="T1134" s="2"/>
      <c r="U1134" s="2"/>
      <c r="V1134" s="2"/>
      <c r="W1134" s="2"/>
      <c r="X1134" s="2"/>
      <c r="Y1134" s="2"/>
      <c r="Z1134" s="2"/>
    </row>
    <row r="1135" spans="1:26" ht="15" customHeight="1" x14ac:dyDescent="0.25">
      <c r="A1135" s="109">
        <v>9</v>
      </c>
      <c r="B1135" s="397" t="s">
        <v>817</v>
      </c>
      <c r="C1135" s="106" t="s">
        <v>312</v>
      </c>
      <c r="D1135" s="106" t="str">
        <f t="shared" si="808"/>
        <v/>
      </c>
      <c r="E1135" s="398" t="str">
        <f t="shared" si="809"/>
        <v/>
      </c>
      <c r="F1135" s="398" t="str">
        <f t="shared" si="810"/>
        <v/>
      </c>
      <c r="G1135" s="399" t="str">
        <f t="shared" si="811"/>
        <v>rumus</v>
      </c>
      <c r="H1135" s="114" t="s">
        <v>26</v>
      </c>
      <c r="I1135" s="429"/>
      <c r="J1135" s="418" t="str">
        <f t="shared" si="812"/>
        <v>rumus</v>
      </c>
      <c r="K1135" s="116"/>
      <c r="L1135" s="116"/>
      <c r="M1135" s="116"/>
      <c r="N1135" s="2"/>
      <c r="O1135" s="2"/>
      <c r="P1135" s="2"/>
      <c r="Q1135" s="2"/>
      <c r="R1135" s="2"/>
      <c r="S1135" s="2"/>
      <c r="T1135" s="2"/>
      <c r="U1135" s="2"/>
      <c r="V1135" s="2"/>
      <c r="W1135" s="2"/>
      <c r="X1135" s="2"/>
      <c r="Y1135" s="2"/>
      <c r="Z1135" s="2"/>
    </row>
    <row r="1136" spans="1:26" ht="15" customHeight="1" x14ac:dyDescent="0.25">
      <c r="A1136" s="109">
        <v>10</v>
      </c>
      <c r="B1136" s="397" t="s">
        <v>817</v>
      </c>
      <c r="C1136" s="106" t="s">
        <v>317</v>
      </c>
      <c r="D1136" s="106" t="str">
        <f t="shared" si="808"/>
        <v/>
      </c>
      <c r="E1136" s="398" t="str">
        <f t="shared" si="809"/>
        <v/>
      </c>
      <c r="F1136" s="398" t="str">
        <f t="shared" si="810"/>
        <v/>
      </c>
      <c r="G1136" s="399" t="str">
        <f t="shared" si="811"/>
        <v>rumus</v>
      </c>
      <c r="H1136" s="114" t="s">
        <v>26</v>
      </c>
      <c r="I1136" s="429"/>
      <c r="J1136" s="418" t="str">
        <f t="shared" si="812"/>
        <v>rumus</v>
      </c>
      <c r="K1136" s="116"/>
      <c r="L1136" s="116"/>
      <c r="M1136" s="116"/>
      <c r="N1136" s="2"/>
      <c r="O1136" s="2"/>
      <c r="P1136" s="2"/>
      <c r="Q1136" s="2"/>
      <c r="R1136" s="2"/>
      <c r="S1136" s="2"/>
      <c r="T1136" s="2"/>
      <c r="U1136" s="2"/>
      <c r="V1136" s="2"/>
      <c r="W1136" s="2"/>
      <c r="X1136" s="2"/>
      <c r="Y1136" s="2"/>
      <c r="Z1136" s="2"/>
    </row>
    <row r="1137" spans="1:26" ht="15" customHeight="1" x14ac:dyDescent="0.25">
      <c r="A1137" s="109">
        <v>11</v>
      </c>
      <c r="B1137" s="397" t="s">
        <v>817</v>
      </c>
      <c r="C1137" s="106" t="s">
        <v>319</v>
      </c>
      <c r="D1137" s="106" t="str">
        <f t="shared" si="808"/>
        <v/>
      </c>
      <c r="E1137" s="398" t="str">
        <f t="shared" si="809"/>
        <v/>
      </c>
      <c r="F1137" s="398" t="str">
        <f t="shared" si="810"/>
        <v/>
      </c>
      <c r="G1137" s="399" t="str">
        <f t="shared" si="811"/>
        <v>rumus</v>
      </c>
      <c r="H1137" s="114" t="s">
        <v>26</v>
      </c>
      <c r="I1137" s="429"/>
      <c r="J1137" s="418" t="str">
        <f t="shared" si="812"/>
        <v>rumus</v>
      </c>
      <c r="K1137" s="116"/>
      <c r="L1137" s="116"/>
      <c r="M1137" s="116"/>
      <c r="N1137" s="2"/>
      <c r="O1137" s="2"/>
      <c r="P1137" s="2"/>
      <c r="Q1137" s="2"/>
      <c r="R1137" s="2"/>
      <c r="S1137" s="2"/>
      <c r="T1137" s="2"/>
      <c r="U1137" s="2"/>
      <c r="V1137" s="2"/>
      <c r="W1137" s="2"/>
      <c r="X1137" s="2"/>
      <c r="Y1137" s="2"/>
      <c r="Z1137" s="2"/>
    </row>
    <row r="1138" spans="1:26" ht="15" customHeight="1" x14ac:dyDescent="0.25">
      <c r="A1138" s="109">
        <v>12</v>
      </c>
      <c r="B1138" s="397" t="s">
        <v>817</v>
      </c>
      <c r="C1138" s="106" t="s">
        <v>321</v>
      </c>
      <c r="D1138" s="106" t="str">
        <f t="shared" si="808"/>
        <v/>
      </c>
      <c r="E1138" s="398" t="str">
        <f t="shared" si="809"/>
        <v/>
      </c>
      <c r="F1138" s="398" t="str">
        <f t="shared" si="810"/>
        <v/>
      </c>
      <c r="G1138" s="399" t="str">
        <f t="shared" si="811"/>
        <v>rumus</v>
      </c>
      <c r="H1138" s="114" t="s">
        <v>26</v>
      </c>
      <c r="I1138" s="429"/>
      <c r="J1138" s="418" t="str">
        <f t="shared" si="812"/>
        <v>rumus</v>
      </c>
      <c r="K1138" s="116"/>
      <c r="L1138" s="116"/>
      <c r="M1138" s="116"/>
      <c r="N1138" s="2"/>
      <c r="O1138" s="2"/>
      <c r="P1138" s="2"/>
      <c r="Q1138" s="2"/>
      <c r="R1138" s="2"/>
      <c r="S1138" s="2"/>
      <c r="T1138" s="2"/>
      <c r="U1138" s="2"/>
      <c r="V1138" s="2"/>
      <c r="W1138" s="2"/>
      <c r="X1138" s="2"/>
      <c r="Y1138" s="2"/>
      <c r="Z1138" s="2"/>
    </row>
    <row r="1139" spans="1:26" ht="15" customHeight="1" x14ac:dyDescent="0.25">
      <c r="A1139" s="124"/>
      <c r="B1139" s="614" t="s">
        <v>304</v>
      </c>
      <c r="C1139" s="615"/>
      <c r="D1139" s="616"/>
      <c r="E1139" s="403"/>
      <c r="F1139" s="403"/>
      <c r="G1139" s="113">
        <f>SUM(K1115:K1139)</f>
        <v>39</v>
      </c>
      <c r="H1139" s="114"/>
      <c r="I1139" s="116"/>
      <c r="J1139" s="116"/>
      <c r="K1139" s="116">
        <f>SUM(J1127:J1138)</f>
        <v>21</v>
      </c>
      <c r="L1139" s="116"/>
      <c r="M1139" s="116"/>
      <c r="N1139" s="2"/>
      <c r="O1139" s="2"/>
      <c r="P1139" s="2"/>
      <c r="Q1139" s="2"/>
      <c r="R1139" s="2"/>
      <c r="S1139" s="2"/>
      <c r="T1139" s="2"/>
      <c r="U1139" s="2"/>
      <c r="V1139" s="2"/>
      <c r="W1139" s="2"/>
      <c r="X1139" s="2"/>
      <c r="Y1139" s="2"/>
      <c r="Z1139" s="2"/>
    </row>
    <row r="1140" spans="1:26" ht="15" customHeight="1" x14ac:dyDescent="0.25">
      <c r="A1140" s="115" t="s">
        <v>111</v>
      </c>
      <c r="B1140" s="396" t="s">
        <v>820</v>
      </c>
      <c r="C1140" s="421"/>
      <c r="D1140" s="421"/>
      <c r="E1140" s="421"/>
      <c r="F1140" s="421"/>
      <c r="G1140" s="421"/>
      <c r="H1140" s="422"/>
      <c r="I1140" s="116"/>
      <c r="J1140" s="116"/>
      <c r="K1140" s="116"/>
      <c r="L1140" s="116"/>
      <c r="M1140" s="116"/>
      <c r="N1140" s="2"/>
      <c r="O1140" s="2"/>
      <c r="P1140" s="2"/>
      <c r="Q1140" s="2"/>
      <c r="R1140" s="2"/>
      <c r="S1140" s="2"/>
      <c r="T1140" s="2"/>
      <c r="U1140" s="2"/>
      <c r="V1140" s="2"/>
      <c r="W1140" s="2"/>
      <c r="X1140" s="2"/>
      <c r="Y1140" s="2"/>
      <c r="Z1140" s="2"/>
    </row>
    <row r="1141" spans="1:26" ht="15" customHeight="1" x14ac:dyDescent="0.25">
      <c r="A1141" s="109"/>
      <c r="B1141" s="428" t="s">
        <v>380</v>
      </c>
      <c r="C1141" s="415"/>
      <c r="D1141" s="415"/>
      <c r="E1141" s="415"/>
      <c r="F1141" s="415"/>
      <c r="G1141" s="415"/>
      <c r="H1141" s="416"/>
      <c r="I1141" s="116"/>
      <c r="J1141" s="116"/>
      <c r="K1141" s="116"/>
      <c r="L1141" s="116"/>
      <c r="M1141" s="116"/>
      <c r="N1141" s="2"/>
      <c r="O1141" s="2"/>
      <c r="P1141" s="2"/>
      <c r="Q1141" s="2"/>
      <c r="R1141" s="2"/>
      <c r="S1141" s="2"/>
      <c r="T1141" s="2"/>
      <c r="U1141" s="2"/>
      <c r="V1141" s="2"/>
      <c r="W1141" s="2"/>
      <c r="X1141" s="2"/>
      <c r="Y1141" s="2"/>
      <c r="Z1141" s="2"/>
    </row>
    <row r="1142" spans="1:26" ht="15" customHeight="1" x14ac:dyDescent="0.25">
      <c r="A1142" s="109">
        <v>1</v>
      </c>
      <c r="B1142" s="397" t="s">
        <v>821</v>
      </c>
      <c r="C1142" s="106" t="s">
        <v>705</v>
      </c>
      <c r="D1142" s="106" t="str">
        <f t="shared" ref="D1142:D1153" si="813">IF(G1142&lt;&gt;"rumus","Kegiatan","")</f>
        <v/>
      </c>
      <c r="E1142" s="398" t="str">
        <f t="shared" ref="E1142:E1153" si="814">IF(I1142&lt;&gt;"",1,"")</f>
        <v/>
      </c>
      <c r="F1142" s="398" t="str">
        <f t="shared" ref="F1142:F1153" si="815">IF(I1142&lt;&gt;"",J1142,"")</f>
        <v/>
      </c>
      <c r="G1142" s="399" t="str">
        <f t="shared" ref="G1142:G1153" si="816">IF(J1142&lt;&gt;"rumus","1 x "&amp;J1142&amp;" = "&amp;J1142,"rumus")</f>
        <v>rumus</v>
      </c>
      <c r="H1142" s="106" t="s">
        <v>764</v>
      </c>
      <c r="I1142" s="429"/>
      <c r="J1142" s="418" t="str">
        <f t="shared" ref="J1142:J1153" si="817">IF(I1142&lt;&gt;"",IF(I1142="a.Pembimbing pencangkokan persemester",2,IF(I1142="b.Reguler persemester",1,"")),"rumus")</f>
        <v>rumus</v>
      </c>
      <c r="K1142" s="116"/>
      <c r="L1142" s="116"/>
      <c r="M1142" s="2"/>
      <c r="N1142" s="2"/>
      <c r="O1142" s="2"/>
      <c r="P1142" s="2"/>
      <c r="Q1142" s="2"/>
      <c r="R1142" s="2"/>
      <c r="S1142" s="2"/>
      <c r="T1142" s="2"/>
      <c r="U1142" s="2"/>
      <c r="V1142" s="2"/>
      <c r="W1142" s="2"/>
      <c r="X1142" s="2"/>
      <c r="Y1142" s="2"/>
      <c r="Z1142" s="2"/>
    </row>
    <row r="1143" spans="1:26" ht="15" customHeight="1" x14ac:dyDescent="0.25">
      <c r="A1143" s="109">
        <v>2</v>
      </c>
      <c r="B1143" s="397" t="s">
        <v>821</v>
      </c>
      <c r="C1143" s="106" t="s">
        <v>803</v>
      </c>
      <c r="D1143" s="106" t="str">
        <f t="shared" si="813"/>
        <v/>
      </c>
      <c r="E1143" s="398" t="str">
        <f t="shared" si="814"/>
        <v/>
      </c>
      <c r="F1143" s="398" t="str">
        <f t="shared" si="815"/>
        <v/>
      </c>
      <c r="G1143" s="399" t="str">
        <f t="shared" si="816"/>
        <v>rumus</v>
      </c>
      <c r="H1143" s="114" t="s">
        <v>26</v>
      </c>
      <c r="I1143" s="429"/>
      <c r="J1143" s="418" t="str">
        <f t="shared" si="817"/>
        <v>rumus</v>
      </c>
      <c r="K1143" s="116"/>
      <c r="L1143" s="116"/>
      <c r="M1143" s="2"/>
      <c r="N1143" s="2"/>
      <c r="O1143" s="2"/>
      <c r="P1143" s="2"/>
      <c r="Q1143" s="2"/>
      <c r="R1143" s="2"/>
      <c r="S1143" s="2"/>
      <c r="T1143" s="2"/>
      <c r="U1143" s="2"/>
      <c r="V1143" s="2"/>
      <c r="W1143" s="2"/>
      <c r="X1143" s="2"/>
      <c r="Y1143" s="2"/>
      <c r="Z1143" s="2"/>
    </row>
    <row r="1144" spans="1:26" ht="15" customHeight="1" x14ac:dyDescent="0.25">
      <c r="A1144" s="109">
        <v>3</v>
      </c>
      <c r="B1144" s="397" t="s">
        <v>821</v>
      </c>
      <c r="C1144" s="106" t="s">
        <v>804</v>
      </c>
      <c r="D1144" s="106" t="str">
        <f t="shared" si="813"/>
        <v/>
      </c>
      <c r="E1144" s="398" t="str">
        <f t="shared" si="814"/>
        <v/>
      </c>
      <c r="F1144" s="398" t="str">
        <f t="shared" si="815"/>
        <v/>
      </c>
      <c r="G1144" s="399" t="str">
        <f t="shared" si="816"/>
        <v>rumus</v>
      </c>
      <c r="H1144" s="114" t="s">
        <v>26</v>
      </c>
      <c r="I1144" s="429"/>
      <c r="J1144" s="418" t="str">
        <f t="shared" si="817"/>
        <v>rumus</v>
      </c>
      <c r="K1144" s="116"/>
      <c r="L1144" s="116"/>
      <c r="M1144" s="2"/>
      <c r="N1144" s="2"/>
      <c r="O1144" s="2"/>
      <c r="P1144" s="2"/>
      <c r="Q1144" s="2"/>
      <c r="R1144" s="2"/>
      <c r="S1144" s="2"/>
      <c r="T1144" s="2"/>
      <c r="U1144" s="2"/>
      <c r="V1144" s="2"/>
      <c r="W1144" s="2"/>
      <c r="X1144" s="2"/>
      <c r="Y1144" s="2"/>
      <c r="Z1144" s="2"/>
    </row>
    <row r="1145" spans="1:26" ht="15" customHeight="1" x14ac:dyDescent="0.25">
      <c r="A1145" s="109">
        <v>4</v>
      </c>
      <c r="B1145" s="397" t="s">
        <v>821</v>
      </c>
      <c r="C1145" s="106" t="s">
        <v>382</v>
      </c>
      <c r="D1145" s="106" t="str">
        <f t="shared" si="813"/>
        <v/>
      </c>
      <c r="E1145" s="398" t="str">
        <f t="shared" si="814"/>
        <v/>
      </c>
      <c r="F1145" s="398" t="str">
        <f t="shared" si="815"/>
        <v/>
      </c>
      <c r="G1145" s="399" t="str">
        <f t="shared" si="816"/>
        <v>rumus</v>
      </c>
      <c r="H1145" s="114" t="s">
        <v>26</v>
      </c>
      <c r="I1145" s="429"/>
      <c r="J1145" s="418" t="str">
        <f t="shared" si="817"/>
        <v>rumus</v>
      </c>
      <c r="K1145" s="116"/>
      <c r="L1145" s="116"/>
      <c r="M1145" s="2"/>
      <c r="N1145" s="2"/>
      <c r="O1145" s="2"/>
      <c r="P1145" s="2"/>
      <c r="Q1145" s="2"/>
      <c r="R1145" s="2"/>
      <c r="S1145" s="2"/>
      <c r="T1145" s="2"/>
      <c r="U1145" s="2"/>
      <c r="V1145" s="2"/>
      <c r="W1145" s="2"/>
      <c r="X1145" s="2"/>
      <c r="Y1145" s="2"/>
      <c r="Z1145" s="2"/>
    </row>
    <row r="1146" spans="1:26" ht="15" customHeight="1" x14ac:dyDescent="0.25">
      <c r="A1146" s="109">
        <v>5</v>
      </c>
      <c r="B1146" s="397" t="s">
        <v>821</v>
      </c>
      <c r="C1146" s="106" t="s">
        <v>383</v>
      </c>
      <c r="D1146" s="106" t="str">
        <f t="shared" si="813"/>
        <v/>
      </c>
      <c r="E1146" s="398" t="str">
        <f t="shared" si="814"/>
        <v/>
      </c>
      <c r="F1146" s="398" t="str">
        <f t="shared" si="815"/>
        <v/>
      </c>
      <c r="G1146" s="399" t="str">
        <f t="shared" si="816"/>
        <v>rumus</v>
      </c>
      <c r="H1146" s="114" t="s">
        <v>26</v>
      </c>
      <c r="I1146" s="429"/>
      <c r="J1146" s="418" t="str">
        <f t="shared" si="817"/>
        <v>rumus</v>
      </c>
      <c r="K1146" s="116"/>
      <c r="L1146" s="116"/>
      <c r="M1146" s="2"/>
      <c r="N1146" s="2"/>
      <c r="O1146" s="2"/>
      <c r="P1146" s="2"/>
      <c r="Q1146" s="2"/>
      <c r="R1146" s="2"/>
      <c r="S1146" s="2"/>
      <c r="T1146" s="2"/>
      <c r="U1146" s="2"/>
      <c r="V1146" s="2"/>
      <c r="W1146" s="2"/>
      <c r="X1146" s="2"/>
      <c r="Y1146" s="2"/>
      <c r="Z1146" s="2"/>
    </row>
    <row r="1147" spans="1:26" ht="15" customHeight="1" x14ac:dyDescent="0.25">
      <c r="A1147" s="109">
        <v>6</v>
      </c>
      <c r="B1147" s="397" t="s">
        <v>821</v>
      </c>
      <c r="C1147" s="106" t="s">
        <v>384</v>
      </c>
      <c r="D1147" s="106" t="str">
        <f t="shared" si="813"/>
        <v/>
      </c>
      <c r="E1147" s="398" t="str">
        <f t="shared" si="814"/>
        <v/>
      </c>
      <c r="F1147" s="398" t="str">
        <f t="shared" si="815"/>
        <v/>
      </c>
      <c r="G1147" s="399" t="str">
        <f t="shared" si="816"/>
        <v>rumus</v>
      </c>
      <c r="H1147" s="114" t="s">
        <v>26</v>
      </c>
      <c r="I1147" s="429"/>
      <c r="J1147" s="418" t="str">
        <f t="shared" si="817"/>
        <v>rumus</v>
      </c>
      <c r="K1147" s="116"/>
      <c r="L1147" s="116"/>
      <c r="M1147" s="2"/>
      <c r="N1147" s="2"/>
      <c r="O1147" s="2"/>
      <c r="P1147" s="2"/>
      <c r="Q1147" s="2"/>
      <c r="R1147" s="2"/>
      <c r="S1147" s="2"/>
      <c r="T1147" s="2"/>
      <c r="U1147" s="2"/>
      <c r="V1147" s="2"/>
      <c r="W1147" s="2"/>
      <c r="X1147" s="2"/>
      <c r="Y1147" s="2"/>
      <c r="Z1147" s="2"/>
    </row>
    <row r="1148" spans="1:26" ht="15" customHeight="1" x14ac:dyDescent="0.25">
      <c r="A1148" s="109">
        <v>7</v>
      </c>
      <c r="B1148" s="397" t="s">
        <v>821</v>
      </c>
      <c r="C1148" s="106" t="s">
        <v>385</v>
      </c>
      <c r="D1148" s="106" t="str">
        <f t="shared" si="813"/>
        <v/>
      </c>
      <c r="E1148" s="398" t="str">
        <f t="shared" si="814"/>
        <v/>
      </c>
      <c r="F1148" s="398" t="str">
        <f t="shared" si="815"/>
        <v/>
      </c>
      <c r="G1148" s="399" t="str">
        <f t="shared" si="816"/>
        <v>rumus</v>
      </c>
      <c r="H1148" s="114" t="s">
        <v>26</v>
      </c>
      <c r="I1148" s="429"/>
      <c r="J1148" s="418" t="str">
        <f t="shared" si="817"/>
        <v>rumus</v>
      </c>
      <c r="K1148" s="116"/>
      <c r="L1148" s="116"/>
      <c r="M1148" s="2"/>
      <c r="N1148" s="2"/>
      <c r="O1148" s="2"/>
      <c r="P1148" s="2"/>
      <c r="Q1148" s="2"/>
      <c r="R1148" s="2"/>
      <c r="S1148" s="2"/>
      <c r="T1148" s="2"/>
      <c r="U1148" s="2"/>
      <c r="V1148" s="2"/>
      <c r="W1148" s="2"/>
      <c r="X1148" s="2"/>
      <c r="Y1148" s="2"/>
      <c r="Z1148" s="2"/>
    </row>
    <row r="1149" spans="1:26" ht="15" customHeight="1" x14ac:dyDescent="0.25">
      <c r="A1149" s="109">
        <v>8</v>
      </c>
      <c r="B1149" s="397" t="s">
        <v>821</v>
      </c>
      <c r="C1149" s="106" t="s">
        <v>355</v>
      </c>
      <c r="D1149" s="106" t="str">
        <f t="shared" si="813"/>
        <v/>
      </c>
      <c r="E1149" s="398" t="str">
        <f t="shared" si="814"/>
        <v/>
      </c>
      <c r="F1149" s="398" t="str">
        <f t="shared" si="815"/>
        <v/>
      </c>
      <c r="G1149" s="399" t="str">
        <f t="shared" si="816"/>
        <v>rumus</v>
      </c>
      <c r="H1149" s="114" t="s">
        <v>26</v>
      </c>
      <c r="I1149" s="429"/>
      <c r="J1149" s="418" t="str">
        <f t="shared" si="817"/>
        <v>rumus</v>
      </c>
      <c r="K1149" s="116"/>
      <c r="L1149" s="116"/>
      <c r="M1149" s="2"/>
      <c r="N1149" s="2"/>
      <c r="O1149" s="2"/>
      <c r="P1149" s="2"/>
      <c r="Q1149" s="2"/>
      <c r="R1149" s="2"/>
      <c r="S1149" s="2"/>
      <c r="T1149" s="2"/>
      <c r="U1149" s="2"/>
      <c r="V1149" s="2"/>
      <c r="W1149" s="2"/>
      <c r="X1149" s="2"/>
      <c r="Y1149" s="2"/>
      <c r="Z1149" s="2"/>
    </row>
    <row r="1150" spans="1:26" ht="15" customHeight="1" x14ac:dyDescent="0.25">
      <c r="A1150" s="109">
        <v>9</v>
      </c>
      <c r="B1150" s="397" t="s">
        <v>821</v>
      </c>
      <c r="C1150" s="106" t="s">
        <v>312</v>
      </c>
      <c r="D1150" s="106" t="str">
        <f t="shared" si="813"/>
        <v/>
      </c>
      <c r="E1150" s="398" t="str">
        <f t="shared" si="814"/>
        <v/>
      </c>
      <c r="F1150" s="398" t="str">
        <f t="shared" si="815"/>
        <v/>
      </c>
      <c r="G1150" s="399" t="str">
        <f t="shared" si="816"/>
        <v>rumus</v>
      </c>
      <c r="H1150" s="114" t="s">
        <v>26</v>
      </c>
      <c r="I1150" s="429"/>
      <c r="J1150" s="418" t="str">
        <f t="shared" si="817"/>
        <v>rumus</v>
      </c>
      <c r="K1150" s="116"/>
      <c r="L1150" s="116"/>
      <c r="M1150" s="2"/>
      <c r="N1150" s="2"/>
      <c r="O1150" s="2"/>
      <c r="P1150" s="2"/>
      <c r="Q1150" s="2"/>
      <c r="R1150" s="2"/>
      <c r="S1150" s="2"/>
      <c r="T1150" s="2"/>
      <c r="U1150" s="2"/>
      <c r="V1150" s="2"/>
      <c r="W1150" s="2"/>
      <c r="X1150" s="2"/>
      <c r="Y1150" s="2"/>
      <c r="Z1150" s="2"/>
    </row>
    <row r="1151" spans="1:26" ht="15" customHeight="1" x14ac:dyDescent="0.25">
      <c r="A1151" s="109">
        <v>10</v>
      </c>
      <c r="B1151" s="397" t="s">
        <v>821</v>
      </c>
      <c r="C1151" s="106" t="s">
        <v>317</v>
      </c>
      <c r="D1151" s="106" t="str">
        <f t="shared" si="813"/>
        <v/>
      </c>
      <c r="E1151" s="398" t="str">
        <f t="shared" si="814"/>
        <v/>
      </c>
      <c r="F1151" s="398" t="str">
        <f t="shared" si="815"/>
        <v/>
      </c>
      <c r="G1151" s="399" t="str">
        <f t="shared" si="816"/>
        <v>rumus</v>
      </c>
      <c r="H1151" s="114" t="s">
        <v>26</v>
      </c>
      <c r="I1151" s="429"/>
      <c r="J1151" s="418" t="str">
        <f t="shared" si="817"/>
        <v>rumus</v>
      </c>
      <c r="K1151" s="116"/>
      <c r="L1151" s="116"/>
      <c r="M1151" s="2"/>
      <c r="N1151" s="2"/>
      <c r="O1151" s="2"/>
      <c r="P1151" s="2"/>
      <c r="Q1151" s="2"/>
      <c r="R1151" s="2"/>
      <c r="S1151" s="2"/>
      <c r="T1151" s="2"/>
      <c r="U1151" s="2"/>
      <c r="V1151" s="2"/>
      <c r="W1151" s="2"/>
      <c r="X1151" s="2"/>
      <c r="Y1151" s="2"/>
      <c r="Z1151" s="2"/>
    </row>
    <row r="1152" spans="1:26" ht="15" customHeight="1" x14ac:dyDescent="0.25">
      <c r="A1152" s="109">
        <v>11</v>
      </c>
      <c r="B1152" s="397" t="s">
        <v>821</v>
      </c>
      <c r="C1152" s="106" t="s">
        <v>319</v>
      </c>
      <c r="D1152" s="106" t="str">
        <f t="shared" si="813"/>
        <v/>
      </c>
      <c r="E1152" s="398" t="str">
        <f t="shared" si="814"/>
        <v/>
      </c>
      <c r="F1152" s="398" t="str">
        <f t="shared" si="815"/>
        <v/>
      </c>
      <c r="G1152" s="399" t="str">
        <f t="shared" si="816"/>
        <v>rumus</v>
      </c>
      <c r="H1152" s="114" t="s">
        <v>26</v>
      </c>
      <c r="I1152" s="429"/>
      <c r="J1152" s="418" t="str">
        <f t="shared" si="817"/>
        <v>rumus</v>
      </c>
      <c r="K1152" s="116"/>
      <c r="L1152" s="116"/>
      <c r="M1152" s="2"/>
      <c r="N1152" s="2"/>
      <c r="O1152" s="2"/>
      <c r="P1152" s="2"/>
      <c r="Q1152" s="2"/>
      <c r="R1152" s="2"/>
      <c r="S1152" s="2"/>
      <c r="T1152" s="2"/>
      <c r="U1152" s="2"/>
      <c r="V1152" s="2"/>
      <c r="W1152" s="2"/>
      <c r="X1152" s="2"/>
      <c r="Y1152" s="2"/>
      <c r="Z1152" s="2"/>
    </row>
    <row r="1153" spans="1:26" ht="15" customHeight="1" x14ac:dyDescent="0.25">
      <c r="A1153" s="109">
        <v>12</v>
      </c>
      <c r="B1153" s="397" t="s">
        <v>821</v>
      </c>
      <c r="C1153" s="106" t="s">
        <v>321</v>
      </c>
      <c r="D1153" s="106" t="str">
        <f t="shared" si="813"/>
        <v/>
      </c>
      <c r="E1153" s="398" t="str">
        <f t="shared" si="814"/>
        <v/>
      </c>
      <c r="F1153" s="398" t="str">
        <f t="shared" si="815"/>
        <v/>
      </c>
      <c r="G1153" s="399" t="str">
        <f t="shared" si="816"/>
        <v>rumus</v>
      </c>
      <c r="H1153" s="114" t="s">
        <v>26</v>
      </c>
      <c r="I1153" s="429"/>
      <c r="J1153" s="418" t="str">
        <f t="shared" si="817"/>
        <v>rumus</v>
      </c>
      <c r="K1153" s="116"/>
      <c r="L1153" s="116"/>
      <c r="M1153" s="2"/>
      <c r="N1153" s="2"/>
      <c r="O1153" s="2"/>
      <c r="P1153" s="2"/>
      <c r="Q1153" s="2"/>
      <c r="R1153" s="2"/>
      <c r="S1153" s="2"/>
      <c r="T1153" s="2"/>
      <c r="U1153" s="2"/>
      <c r="V1153" s="2"/>
      <c r="W1153" s="2"/>
      <c r="X1153" s="2"/>
      <c r="Y1153" s="2"/>
      <c r="Z1153" s="2"/>
    </row>
    <row r="1154" spans="1:26" ht="15" customHeight="1" x14ac:dyDescent="0.25">
      <c r="A1154" s="124"/>
      <c r="B1154" s="428" t="s">
        <v>810</v>
      </c>
      <c r="C1154" s="430"/>
      <c r="D1154" s="430"/>
      <c r="E1154" s="430"/>
      <c r="F1154" s="430"/>
      <c r="G1154" s="415"/>
      <c r="H1154" s="416"/>
      <c r="I1154" s="116"/>
      <c r="J1154" s="116"/>
      <c r="K1154" s="116">
        <f>SUM(J1142:J1153)</f>
        <v>0</v>
      </c>
      <c r="L1154" s="116"/>
      <c r="M1154" s="2"/>
      <c r="N1154" s="2"/>
      <c r="O1154" s="2"/>
      <c r="P1154" s="2"/>
      <c r="Q1154" s="2"/>
      <c r="R1154" s="2"/>
      <c r="S1154" s="2"/>
      <c r="T1154" s="2"/>
      <c r="U1154" s="2"/>
      <c r="V1154" s="2"/>
      <c r="W1154" s="2"/>
      <c r="X1154" s="2"/>
      <c r="Y1154" s="2"/>
      <c r="Z1154" s="2"/>
    </row>
    <row r="1155" spans="1:26" ht="15" customHeight="1" x14ac:dyDescent="0.25">
      <c r="A1155" s="109">
        <v>1</v>
      </c>
      <c r="B1155" s="397" t="s">
        <v>821</v>
      </c>
      <c r="C1155" s="106" t="s">
        <v>705</v>
      </c>
      <c r="D1155" s="106" t="str">
        <f t="shared" ref="D1155:D1166" si="818">IF(G1155&lt;&gt;"rumus","Kegiatan","")</f>
        <v/>
      </c>
      <c r="E1155" s="398" t="str">
        <f t="shared" ref="E1155:E1166" si="819">IF(I1155&lt;&gt;"",1,"")</f>
        <v/>
      </c>
      <c r="F1155" s="398" t="str">
        <f t="shared" ref="F1155:F1166" si="820">IF(I1155&lt;&gt;"",J1155,"")</f>
        <v/>
      </c>
      <c r="G1155" s="399" t="str">
        <f t="shared" ref="G1155:G1166" si="821">IF(J1155&lt;&gt;"rumus","1 x "&amp;J1155&amp;" = "&amp;J1155,"rumus")</f>
        <v>rumus</v>
      </c>
      <c r="H1155" s="106" t="s">
        <v>764</v>
      </c>
      <c r="I1155" s="429"/>
      <c r="J1155" s="418" t="str">
        <f t="shared" ref="J1155:J1166" si="822">IF(I1155&lt;&gt;"",IF(I1155="a.Pembimbing pencangkokan persemester",2,IF(I1155="b.Reguler persemester",1,"")),"rumus")</f>
        <v>rumus</v>
      </c>
      <c r="K1155" s="116"/>
      <c r="L1155" s="116"/>
      <c r="M1155" s="2"/>
      <c r="N1155" s="2"/>
      <c r="O1155" s="2"/>
      <c r="P1155" s="2"/>
      <c r="Q1155" s="2"/>
      <c r="R1155" s="2"/>
      <c r="S1155" s="2"/>
      <c r="T1155" s="2"/>
      <c r="U1155" s="2"/>
      <c r="V1155" s="2"/>
      <c r="W1155" s="2"/>
      <c r="X1155" s="2"/>
      <c r="Y1155" s="2"/>
      <c r="Z1155" s="2"/>
    </row>
    <row r="1156" spans="1:26" ht="15" customHeight="1" x14ac:dyDescent="0.25">
      <c r="A1156" s="109">
        <v>2</v>
      </c>
      <c r="B1156" s="397" t="s">
        <v>821</v>
      </c>
      <c r="C1156" s="106" t="s">
        <v>803</v>
      </c>
      <c r="D1156" s="106" t="str">
        <f t="shared" si="818"/>
        <v/>
      </c>
      <c r="E1156" s="398" t="str">
        <f t="shared" si="819"/>
        <v/>
      </c>
      <c r="F1156" s="398" t="str">
        <f t="shared" si="820"/>
        <v/>
      </c>
      <c r="G1156" s="399" t="str">
        <f t="shared" si="821"/>
        <v>rumus</v>
      </c>
      <c r="H1156" s="114" t="s">
        <v>26</v>
      </c>
      <c r="I1156" s="429"/>
      <c r="J1156" s="418" t="str">
        <f t="shared" si="822"/>
        <v>rumus</v>
      </c>
      <c r="K1156" s="116"/>
      <c r="L1156" s="116"/>
      <c r="M1156" s="2"/>
      <c r="N1156" s="2"/>
      <c r="O1156" s="2"/>
      <c r="P1156" s="2"/>
      <c r="Q1156" s="2"/>
      <c r="R1156" s="2"/>
      <c r="S1156" s="2"/>
      <c r="T1156" s="2"/>
      <c r="U1156" s="2"/>
      <c r="V1156" s="2"/>
      <c r="W1156" s="2"/>
      <c r="X1156" s="2"/>
      <c r="Y1156" s="2"/>
      <c r="Z1156" s="2"/>
    </row>
    <row r="1157" spans="1:26" ht="15" customHeight="1" x14ac:dyDescent="0.25">
      <c r="A1157" s="109">
        <v>3</v>
      </c>
      <c r="B1157" s="397" t="s">
        <v>821</v>
      </c>
      <c r="C1157" s="106" t="s">
        <v>804</v>
      </c>
      <c r="D1157" s="106" t="str">
        <f t="shared" si="818"/>
        <v/>
      </c>
      <c r="E1157" s="398" t="str">
        <f t="shared" si="819"/>
        <v/>
      </c>
      <c r="F1157" s="398" t="str">
        <f t="shared" si="820"/>
        <v/>
      </c>
      <c r="G1157" s="399" t="str">
        <f t="shared" si="821"/>
        <v>rumus</v>
      </c>
      <c r="H1157" s="114" t="s">
        <v>26</v>
      </c>
      <c r="I1157" s="429"/>
      <c r="J1157" s="418" t="str">
        <f t="shared" si="822"/>
        <v>rumus</v>
      </c>
      <c r="K1157" s="116"/>
      <c r="L1157" s="116"/>
      <c r="M1157" s="2"/>
      <c r="N1157" s="2"/>
      <c r="O1157" s="2"/>
      <c r="P1157" s="2"/>
      <c r="Q1157" s="2"/>
      <c r="R1157" s="2"/>
      <c r="S1157" s="2"/>
      <c r="T1157" s="2"/>
      <c r="U1157" s="2"/>
      <c r="V1157" s="2"/>
      <c r="W1157" s="2"/>
      <c r="X1157" s="2"/>
      <c r="Y1157" s="2"/>
      <c r="Z1157" s="2"/>
    </row>
    <row r="1158" spans="1:26" ht="15" customHeight="1" x14ac:dyDescent="0.25">
      <c r="A1158" s="109">
        <v>4</v>
      </c>
      <c r="B1158" s="397" t="s">
        <v>821</v>
      </c>
      <c r="C1158" s="106" t="s">
        <v>382</v>
      </c>
      <c r="D1158" s="106" t="str">
        <f t="shared" si="818"/>
        <v/>
      </c>
      <c r="E1158" s="398" t="str">
        <f t="shared" si="819"/>
        <v/>
      </c>
      <c r="F1158" s="398" t="str">
        <f t="shared" si="820"/>
        <v/>
      </c>
      <c r="G1158" s="399" t="str">
        <f t="shared" si="821"/>
        <v>rumus</v>
      </c>
      <c r="H1158" s="114" t="s">
        <v>26</v>
      </c>
      <c r="I1158" s="429"/>
      <c r="J1158" s="418" t="str">
        <f t="shared" si="822"/>
        <v>rumus</v>
      </c>
      <c r="K1158" s="116"/>
      <c r="L1158" s="116"/>
      <c r="M1158" s="2"/>
      <c r="N1158" s="2"/>
      <c r="O1158" s="2"/>
      <c r="P1158" s="2"/>
      <c r="Q1158" s="2"/>
      <c r="R1158" s="2"/>
      <c r="S1158" s="2"/>
      <c r="T1158" s="2"/>
      <c r="U1158" s="2"/>
      <c r="V1158" s="2"/>
      <c r="W1158" s="2"/>
      <c r="X1158" s="2"/>
      <c r="Y1158" s="2"/>
      <c r="Z1158" s="2"/>
    </row>
    <row r="1159" spans="1:26" ht="15" customHeight="1" x14ac:dyDescent="0.25">
      <c r="A1159" s="109">
        <v>5</v>
      </c>
      <c r="B1159" s="397" t="s">
        <v>821</v>
      </c>
      <c r="C1159" s="106" t="s">
        <v>383</v>
      </c>
      <c r="D1159" s="106" t="str">
        <f t="shared" si="818"/>
        <v/>
      </c>
      <c r="E1159" s="398" t="str">
        <f t="shared" si="819"/>
        <v/>
      </c>
      <c r="F1159" s="398" t="str">
        <f t="shared" si="820"/>
        <v/>
      </c>
      <c r="G1159" s="399" t="str">
        <f t="shared" si="821"/>
        <v>rumus</v>
      </c>
      <c r="H1159" s="114" t="s">
        <v>26</v>
      </c>
      <c r="I1159" s="429"/>
      <c r="J1159" s="418" t="str">
        <f t="shared" si="822"/>
        <v>rumus</v>
      </c>
      <c r="K1159" s="116"/>
      <c r="L1159" s="116"/>
      <c r="M1159" s="2"/>
      <c r="N1159" s="2"/>
      <c r="O1159" s="2"/>
      <c r="P1159" s="2"/>
      <c r="Q1159" s="2"/>
      <c r="R1159" s="2"/>
      <c r="S1159" s="2"/>
      <c r="T1159" s="2"/>
      <c r="U1159" s="2"/>
      <c r="V1159" s="2"/>
      <c r="W1159" s="2"/>
      <c r="X1159" s="2"/>
      <c r="Y1159" s="2"/>
      <c r="Z1159" s="2"/>
    </row>
    <row r="1160" spans="1:26" ht="15" customHeight="1" x14ac:dyDescent="0.25">
      <c r="A1160" s="109">
        <v>6</v>
      </c>
      <c r="B1160" s="397" t="s">
        <v>821</v>
      </c>
      <c r="C1160" s="106" t="s">
        <v>384</v>
      </c>
      <c r="D1160" s="106" t="str">
        <f t="shared" si="818"/>
        <v/>
      </c>
      <c r="E1160" s="398" t="str">
        <f t="shared" si="819"/>
        <v/>
      </c>
      <c r="F1160" s="398" t="str">
        <f t="shared" si="820"/>
        <v/>
      </c>
      <c r="G1160" s="399" t="str">
        <f t="shared" si="821"/>
        <v>rumus</v>
      </c>
      <c r="H1160" s="114" t="s">
        <v>26</v>
      </c>
      <c r="I1160" s="429"/>
      <c r="J1160" s="418" t="str">
        <f t="shared" si="822"/>
        <v>rumus</v>
      </c>
      <c r="K1160" s="116"/>
      <c r="L1160" s="116"/>
      <c r="M1160" s="2"/>
      <c r="N1160" s="2"/>
      <c r="O1160" s="2"/>
      <c r="P1160" s="2"/>
      <c r="Q1160" s="2"/>
      <c r="R1160" s="2"/>
      <c r="S1160" s="2"/>
      <c r="T1160" s="2"/>
      <c r="U1160" s="2"/>
      <c r="V1160" s="2"/>
      <c r="W1160" s="2"/>
      <c r="X1160" s="2"/>
      <c r="Y1160" s="2"/>
      <c r="Z1160" s="2"/>
    </row>
    <row r="1161" spans="1:26" ht="15" customHeight="1" x14ac:dyDescent="0.25">
      <c r="A1161" s="109">
        <v>7</v>
      </c>
      <c r="B1161" s="397" t="s">
        <v>821</v>
      </c>
      <c r="C1161" s="106" t="s">
        <v>385</v>
      </c>
      <c r="D1161" s="106" t="str">
        <f t="shared" si="818"/>
        <v/>
      </c>
      <c r="E1161" s="398" t="str">
        <f t="shared" si="819"/>
        <v/>
      </c>
      <c r="F1161" s="398" t="str">
        <f t="shared" si="820"/>
        <v/>
      </c>
      <c r="G1161" s="399" t="str">
        <f t="shared" si="821"/>
        <v>rumus</v>
      </c>
      <c r="H1161" s="114" t="s">
        <v>26</v>
      </c>
      <c r="I1161" s="429"/>
      <c r="J1161" s="418" t="str">
        <f t="shared" si="822"/>
        <v>rumus</v>
      </c>
      <c r="K1161" s="116"/>
      <c r="L1161" s="116"/>
      <c r="M1161" s="2"/>
      <c r="N1161" s="2"/>
      <c r="O1161" s="2"/>
      <c r="P1161" s="2"/>
      <c r="Q1161" s="2"/>
      <c r="R1161" s="2"/>
      <c r="S1161" s="2"/>
      <c r="T1161" s="2"/>
      <c r="U1161" s="2"/>
      <c r="V1161" s="2"/>
      <c r="W1161" s="2"/>
      <c r="X1161" s="2"/>
      <c r="Y1161" s="2"/>
      <c r="Z1161" s="2"/>
    </row>
    <row r="1162" spans="1:26" ht="15" customHeight="1" x14ac:dyDescent="0.25">
      <c r="A1162" s="109">
        <v>8</v>
      </c>
      <c r="B1162" s="397" t="s">
        <v>821</v>
      </c>
      <c r="C1162" s="106" t="s">
        <v>355</v>
      </c>
      <c r="D1162" s="106" t="str">
        <f t="shared" si="818"/>
        <v/>
      </c>
      <c r="E1162" s="398" t="str">
        <f t="shared" si="819"/>
        <v/>
      </c>
      <c r="F1162" s="398" t="str">
        <f t="shared" si="820"/>
        <v/>
      </c>
      <c r="G1162" s="399" t="str">
        <f t="shared" si="821"/>
        <v>rumus</v>
      </c>
      <c r="H1162" s="114" t="s">
        <v>26</v>
      </c>
      <c r="I1162" s="429"/>
      <c r="J1162" s="418" t="str">
        <f t="shared" si="822"/>
        <v>rumus</v>
      </c>
      <c r="K1162" s="116"/>
      <c r="L1162" s="116"/>
      <c r="M1162" s="2"/>
      <c r="N1162" s="2"/>
      <c r="O1162" s="2"/>
      <c r="P1162" s="2"/>
      <c r="Q1162" s="2"/>
      <c r="R1162" s="2"/>
      <c r="S1162" s="2"/>
      <c r="T1162" s="2"/>
      <c r="U1162" s="2"/>
      <c r="V1162" s="2"/>
      <c r="W1162" s="2"/>
      <c r="X1162" s="2"/>
      <c r="Y1162" s="2"/>
      <c r="Z1162" s="2"/>
    </row>
    <row r="1163" spans="1:26" ht="15" customHeight="1" x14ac:dyDescent="0.25">
      <c r="A1163" s="109">
        <v>9</v>
      </c>
      <c r="B1163" s="397" t="s">
        <v>821</v>
      </c>
      <c r="C1163" s="106" t="s">
        <v>312</v>
      </c>
      <c r="D1163" s="106" t="str">
        <f t="shared" si="818"/>
        <v/>
      </c>
      <c r="E1163" s="398" t="str">
        <f t="shared" si="819"/>
        <v/>
      </c>
      <c r="F1163" s="398" t="str">
        <f t="shared" si="820"/>
        <v/>
      </c>
      <c r="G1163" s="399" t="str">
        <f t="shared" si="821"/>
        <v>rumus</v>
      </c>
      <c r="H1163" s="114" t="s">
        <v>26</v>
      </c>
      <c r="I1163" s="429"/>
      <c r="J1163" s="418" t="str">
        <f t="shared" si="822"/>
        <v>rumus</v>
      </c>
      <c r="K1163" s="116"/>
      <c r="L1163" s="116"/>
      <c r="M1163" s="2"/>
      <c r="N1163" s="2"/>
      <c r="O1163" s="2"/>
      <c r="P1163" s="2"/>
      <c r="Q1163" s="2"/>
      <c r="R1163" s="2"/>
      <c r="S1163" s="2"/>
      <c r="T1163" s="2"/>
      <c r="U1163" s="2"/>
      <c r="V1163" s="2"/>
      <c r="W1163" s="2"/>
      <c r="X1163" s="2"/>
      <c r="Y1163" s="2"/>
      <c r="Z1163" s="2"/>
    </row>
    <row r="1164" spans="1:26" ht="15" customHeight="1" x14ac:dyDescent="0.25">
      <c r="A1164" s="109">
        <v>10</v>
      </c>
      <c r="B1164" s="397" t="s">
        <v>821</v>
      </c>
      <c r="C1164" s="106" t="s">
        <v>317</v>
      </c>
      <c r="D1164" s="106" t="str">
        <f t="shared" si="818"/>
        <v/>
      </c>
      <c r="E1164" s="398" t="str">
        <f t="shared" si="819"/>
        <v/>
      </c>
      <c r="F1164" s="398" t="str">
        <f t="shared" si="820"/>
        <v/>
      </c>
      <c r="G1164" s="399" t="str">
        <f t="shared" si="821"/>
        <v>rumus</v>
      </c>
      <c r="H1164" s="114" t="s">
        <v>26</v>
      </c>
      <c r="I1164" s="429"/>
      <c r="J1164" s="418" t="str">
        <f t="shared" si="822"/>
        <v>rumus</v>
      </c>
      <c r="K1164" s="116"/>
      <c r="L1164" s="116"/>
      <c r="M1164" s="2"/>
      <c r="N1164" s="2"/>
      <c r="O1164" s="2"/>
      <c r="P1164" s="2"/>
      <c r="Q1164" s="2"/>
      <c r="R1164" s="2"/>
      <c r="S1164" s="2"/>
      <c r="T1164" s="2"/>
      <c r="U1164" s="2"/>
      <c r="V1164" s="2"/>
      <c r="W1164" s="2"/>
      <c r="X1164" s="2"/>
      <c r="Y1164" s="2"/>
      <c r="Z1164" s="2"/>
    </row>
    <row r="1165" spans="1:26" ht="15" customHeight="1" x14ac:dyDescent="0.25">
      <c r="A1165" s="109">
        <v>11</v>
      </c>
      <c r="B1165" s="397" t="s">
        <v>821</v>
      </c>
      <c r="C1165" s="106" t="s">
        <v>319</v>
      </c>
      <c r="D1165" s="106" t="str">
        <f t="shared" si="818"/>
        <v/>
      </c>
      <c r="E1165" s="398" t="str">
        <f t="shared" si="819"/>
        <v/>
      </c>
      <c r="F1165" s="398" t="str">
        <f t="shared" si="820"/>
        <v/>
      </c>
      <c r="G1165" s="399" t="str">
        <f t="shared" si="821"/>
        <v>rumus</v>
      </c>
      <c r="H1165" s="114" t="s">
        <v>26</v>
      </c>
      <c r="I1165" s="429"/>
      <c r="J1165" s="418" t="str">
        <f t="shared" si="822"/>
        <v>rumus</v>
      </c>
      <c r="K1165" s="116"/>
      <c r="L1165" s="116"/>
      <c r="M1165" s="2"/>
      <c r="N1165" s="2"/>
      <c r="O1165" s="2"/>
      <c r="P1165" s="2"/>
      <c r="Q1165" s="2"/>
      <c r="R1165" s="2"/>
      <c r="S1165" s="2"/>
      <c r="T1165" s="2"/>
      <c r="U1165" s="2"/>
      <c r="V1165" s="2"/>
      <c r="W1165" s="2"/>
      <c r="X1165" s="2"/>
      <c r="Y1165" s="2"/>
      <c r="Z1165" s="2"/>
    </row>
    <row r="1166" spans="1:26" ht="15" customHeight="1" x14ac:dyDescent="0.25">
      <c r="A1166" s="109">
        <v>12</v>
      </c>
      <c r="B1166" s="397" t="s">
        <v>821</v>
      </c>
      <c r="C1166" s="106" t="s">
        <v>321</v>
      </c>
      <c r="D1166" s="106" t="str">
        <f t="shared" si="818"/>
        <v/>
      </c>
      <c r="E1166" s="398" t="str">
        <f t="shared" si="819"/>
        <v/>
      </c>
      <c r="F1166" s="398" t="str">
        <f t="shared" si="820"/>
        <v/>
      </c>
      <c r="G1166" s="399" t="str">
        <f t="shared" si="821"/>
        <v>rumus</v>
      </c>
      <c r="H1166" s="114" t="s">
        <v>26</v>
      </c>
      <c r="I1166" s="429"/>
      <c r="J1166" s="418" t="str">
        <f t="shared" si="822"/>
        <v>rumus</v>
      </c>
      <c r="K1166" s="116"/>
      <c r="L1166" s="116"/>
      <c r="M1166" s="2"/>
      <c r="N1166" s="2"/>
      <c r="O1166" s="2"/>
      <c r="P1166" s="2"/>
      <c r="Q1166" s="2"/>
      <c r="R1166" s="2"/>
      <c r="S1166" s="2"/>
      <c r="T1166" s="2"/>
      <c r="U1166" s="2"/>
      <c r="V1166" s="2"/>
      <c r="W1166" s="2"/>
      <c r="X1166" s="2"/>
      <c r="Y1166" s="2"/>
      <c r="Z1166" s="2"/>
    </row>
    <row r="1167" spans="1:26" ht="15" customHeight="1" x14ac:dyDescent="0.25">
      <c r="A1167" s="124"/>
      <c r="B1167" s="614" t="s">
        <v>304</v>
      </c>
      <c r="C1167" s="615"/>
      <c r="D1167" s="616"/>
      <c r="E1167" s="403"/>
      <c r="F1167" s="403"/>
      <c r="G1167" s="113">
        <f>SUM(K1143:K1167)</f>
        <v>0</v>
      </c>
      <c r="H1167" s="114"/>
      <c r="I1167" s="116"/>
      <c r="J1167" s="116"/>
      <c r="K1167" s="116">
        <f>SUM(J1155:J1166)</f>
        <v>0</v>
      </c>
      <c r="L1167" s="116"/>
      <c r="M1167" s="2"/>
      <c r="N1167" s="2"/>
      <c r="O1167" s="2"/>
      <c r="P1167" s="2"/>
      <c r="Q1167" s="2"/>
      <c r="R1167" s="2"/>
      <c r="S1167" s="2"/>
      <c r="T1167" s="2"/>
      <c r="U1167" s="2"/>
      <c r="V1167" s="2"/>
      <c r="W1167" s="2"/>
      <c r="X1167" s="2"/>
      <c r="Y1167" s="2"/>
      <c r="Z1167" s="2"/>
    </row>
    <row r="1168" spans="1:26" ht="15" customHeight="1" x14ac:dyDescent="0.25">
      <c r="A1168" s="115" t="s">
        <v>115</v>
      </c>
      <c r="B1168" s="396" t="s">
        <v>822</v>
      </c>
      <c r="C1168" s="421"/>
      <c r="D1168" s="421"/>
      <c r="E1168" s="421"/>
      <c r="F1168" s="421"/>
      <c r="G1168" s="421"/>
      <c r="H1168" s="422"/>
      <c r="I1168" s="116"/>
      <c r="J1168" s="116"/>
      <c r="K1168" s="116"/>
      <c r="L1168" s="116"/>
      <c r="M1168" s="116"/>
      <c r="N1168" s="2"/>
      <c r="O1168" s="2"/>
      <c r="P1168" s="2"/>
      <c r="Q1168" s="2"/>
      <c r="R1168" s="2"/>
      <c r="S1168" s="2"/>
      <c r="T1168" s="2"/>
      <c r="U1168" s="2"/>
      <c r="V1168" s="2"/>
      <c r="W1168" s="2"/>
      <c r="X1168" s="2"/>
      <c r="Y1168" s="2"/>
      <c r="Z1168" s="2"/>
    </row>
    <row r="1169" spans="1:26" ht="15" customHeight="1" x14ac:dyDescent="0.25">
      <c r="A1169" s="109"/>
      <c r="B1169" s="428" t="s">
        <v>380</v>
      </c>
      <c r="C1169" s="415"/>
      <c r="D1169" s="415"/>
      <c r="E1169" s="415"/>
      <c r="F1169" s="415"/>
      <c r="G1169" s="415"/>
      <c r="H1169" s="416"/>
      <c r="I1169" s="116"/>
      <c r="J1169" s="116"/>
      <c r="K1169" s="116"/>
      <c r="L1169" s="116"/>
      <c r="M1169" s="116"/>
      <c r="N1169" s="2"/>
      <c r="O1169" s="2"/>
      <c r="P1169" s="2"/>
      <c r="Q1169" s="2"/>
      <c r="R1169" s="2"/>
      <c r="S1169" s="2"/>
      <c r="T1169" s="2"/>
      <c r="U1169" s="2"/>
      <c r="V1169" s="2"/>
      <c r="W1169" s="2"/>
      <c r="X1169" s="2"/>
      <c r="Y1169" s="2"/>
      <c r="Z1169" s="2"/>
    </row>
    <row r="1170" spans="1:26" ht="15" customHeight="1" x14ac:dyDescent="0.25">
      <c r="A1170" s="109">
        <v>1</v>
      </c>
      <c r="B1170" s="397" t="s">
        <v>821</v>
      </c>
      <c r="C1170" s="106" t="s">
        <v>705</v>
      </c>
      <c r="D1170" s="106" t="str">
        <f t="shared" ref="D1170:D1181" si="823">IF(G1170&lt;&gt;"rumus","Kegiatan","")</f>
        <v/>
      </c>
      <c r="E1170" s="398" t="str">
        <f t="shared" ref="E1170:E1181" si="824">IF(I1170&lt;&gt;"",1,"")</f>
        <v/>
      </c>
      <c r="F1170" s="398" t="str">
        <f t="shared" ref="F1170:F1181" si="825">IF(I1170&lt;&gt;"",J1170,"")</f>
        <v/>
      </c>
      <c r="G1170" s="399" t="str">
        <f t="shared" ref="G1170:G1181" si="826">IF(J1170&lt;&gt;"rumus","1 x "&amp;J1170&amp;" = "&amp;J1170,"rumus")</f>
        <v>rumus</v>
      </c>
      <c r="H1170" s="106" t="s">
        <v>764</v>
      </c>
      <c r="I1170" s="429"/>
      <c r="J1170" s="418" t="str">
        <f t="shared" ref="J1170:J1181" si="827">IF(I1170="a.Detasering persemester",5,IF(I1170="b.Pencangkokan persemester",4,"rumus"))</f>
        <v>rumus</v>
      </c>
      <c r="K1170" s="116"/>
      <c r="L1170" s="116"/>
      <c r="M1170" s="2"/>
      <c r="N1170" s="2"/>
      <c r="O1170" s="2"/>
      <c r="P1170" s="2"/>
      <c r="Q1170" s="2"/>
      <c r="R1170" s="2"/>
      <c r="S1170" s="2"/>
      <c r="T1170" s="2"/>
      <c r="U1170" s="2"/>
      <c r="V1170" s="2"/>
      <c r="W1170" s="2"/>
      <c r="X1170" s="2"/>
      <c r="Y1170" s="2"/>
      <c r="Z1170" s="2"/>
    </row>
    <row r="1171" spans="1:26" ht="15" customHeight="1" x14ac:dyDescent="0.25">
      <c r="A1171" s="109">
        <v>2</v>
      </c>
      <c r="B1171" s="397" t="s">
        <v>821</v>
      </c>
      <c r="C1171" s="106" t="s">
        <v>803</v>
      </c>
      <c r="D1171" s="106" t="str">
        <f t="shared" si="823"/>
        <v/>
      </c>
      <c r="E1171" s="398" t="str">
        <f t="shared" si="824"/>
        <v/>
      </c>
      <c r="F1171" s="398" t="str">
        <f t="shared" si="825"/>
        <v/>
      </c>
      <c r="G1171" s="399" t="str">
        <f t="shared" si="826"/>
        <v>rumus</v>
      </c>
      <c r="H1171" s="114" t="s">
        <v>26</v>
      </c>
      <c r="I1171" s="429"/>
      <c r="J1171" s="418" t="str">
        <f t="shared" si="827"/>
        <v>rumus</v>
      </c>
      <c r="K1171" s="116"/>
      <c r="L1171" s="116"/>
      <c r="M1171" s="2"/>
      <c r="N1171" s="2"/>
      <c r="O1171" s="2"/>
      <c r="P1171" s="2"/>
      <c r="Q1171" s="2"/>
      <c r="R1171" s="2"/>
      <c r="S1171" s="2"/>
      <c r="T1171" s="2"/>
      <c r="U1171" s="2"/>
      <c r="V1171" s="2"/>
      <c r="W1171" s="2"/>
      <c r="X1171" s="2"/>
      <c r="Y1171" s="2"/>
      <c r="Z1171" s="2"/>
    </row>
    <row r="1172" spans="1:26" ht="15" customHeight="1" x14ac:dyDescent="0.25">
      <c r="A1172" s="109">
        <v>3</v>
      </c>
      <c r="B1172" s="397" t="s">
        <v>821</v>
      </c>
      <c r="C1172" s="106" t="s">
        <v>804</v>
      </c>
      <c r="D1172" s="106" t="str">
        <f t="shared" si="823"/>
        <v/>
      </c>
      <c r="E1172" s="398" t="str">
        <f t="shared" si="824"/>
        <v/>
      </c>
      <c r="F1172" s="398" t="str">
        <f t="shared" si="825"/>
        <v/>
      </c>
      <c r="G1172" s="399" t="str">
        <f t="shared" si="826"/>
        <v>rumus</v>
      </c>
      <c r="H1172" s="114" t="s">
        <v>26</v>
      </c>
      <c r="I1172" s="429"/>
      <c r="J1172" s="418" t="str">
        <f t="shared" si="827"/>
        <v>rumus</v>
      </c>
      <c r="K1172" s="116"/>
      <c r="L1172" s="116"/>
      <c r="M1172" s="2"/>
      <c r="N1172" s="2"/>
      <c r="O1172" s="2"/>
      <c r="P1172" s="2"/>
      <c r="Q1172" s="2"/>
      <c r="R1172" s="2"/>
      <c r="S1172" s="2"/>
      <c r="T1172" s="2"/>
      <c r="U1172" s="2"/>
      <c r="V1172" s="2"/>
      <c r="W1172" s="2"/>
      <c r="X1172" s="2"/>
      <c r="Y1172" s="2"/>
      <c r="Z1172" s="2"/>
    </row>
    <row r="1173" spans="1:26" ht="15" customHeight="1" x14ac:dyDescent="0.25">
      <c r="A1173" s="109">
        <v>4</v>
      </c>
      <c r="B1173" s="397" t="s">
        <v>821</v>
      </c>
      <c r="C1173" s="106" t="s">
        <v>382</v>
      </c>
      <c r="D1173" s="106" t="str">
        <f t="shared" si="823"/>
        <v/>
      </c>
      <c r="E1173" s="398" t="str">
        <f t="shared" si="824"/>
        <v/>
      </c>
      <c r="F1173" s="398" t="str">
        <f t="shared" si="825"/>
        <v/>
      </c>
      <c r="G1173" s="399" t="str">
        <f t="shared" si="826"/>
        <v>rumus</v>
      </c>
      <c r="H1173" s="114" t="s">
        <v>26</v>
      </c>
      <c r="I1173" s="429"/>
      <c r="J1173" s="418" t="str">
        <f t="shared" si="827"/>
        <v>rumus</v>
      </c>
      <c r="K1173" s="116"/>
      <c r="L1173" s="116"/>
      <c r="M1173" s="2"/>
      <c r="N1173" s="2"/>
      <c r="O1173" s="2"/>
      <c r="P1173" s="2"/>
      <c r="Q1173" s="2"/>
      <c r="R1173" s="2"/>
      <c r="S1173" s="2"/>
      <c r="T1173" s="2"/>
      <c r="U1173" s="2"/>
      <c r="V1173" s="2"/>
      <c r="W1173" s="2"/>
      <c r="X1173" s="2"/>
      <c r="Y1173" s="2"/>
      <c r="Z1173" s="2"/>
    </row>
    <row r="1174" spans="1:26" ht="15" customHeight="1" x14ac:dyDescent="0.25">
      <c r="A1174" s="109">
        <v>5</v>
      </c>
      <c r="B1174" s="397" t="s">
        <v>821</v>
      </c>
      <c r="C1174" s="106" t="s">
        <v>383</v>
      </c>
      <c r="D1174" s="106" t="str">
        <f t="shared" si="823"/>
        <v/>
      </c>
      <c r="E1174" s="398" t="str">
        <f t="shared" si="824"/>
        <v/>
      </c>
      <c r="F1174" s="398" t="str">
        <f t="shared" si="825"/>
        <v/>
      </c>
      <c r="G1174" s="399" t="str">
        <f t="shared" si="826"/>
        <v>rumus</v>
      </c>
      <c r="H1174" s="114" t="s">
        <v>26</v>
      </c>
      <c r="I1174" s="429"/>
      <c r="J1174" s="418" t="str">
        <f t="shared" si="827"/>
        <v>rumus</v>
      </c>
      <c r="K1174" s="116"/>
      <c r="L1174" s="116"/>
      <c r="M1174" s="2"/>
      <c r="N1174" s="2"/>
      <c r="O1174" s="2"/>
      <c r="P1174" s="2"/>
      <c r="Q1174" s="2"/>
      <c r="R1174" s="2"/>
      <c r="S1174" s="2"/>
      <c r="T1174" s="2"/>
      <c r="U1174" s="2"/>
      <c r="V1174" s="2"/>
      <c r="W1174" s="2"/>
      <c r="X1174" s="2"/>
      <c r="Y1174" s="2"/>
      <c r="Z1174" s="2"/>
    </row>
    <row r="1175" spans="1:26" ht="15" customHeight="1" x14ac:dyDescent="0.25">
      <c r="A1175" s="109">
        <v>6</v>
      </c>
      <c r="B1175" s="397" t="s">
        <v>821</v>
      </c>
      <c r="C1175" s="106" t="s">
        <v>384</v>
      </c>
      <c r="D1175" s="106" t="str">
        <f t="shared" si="823"/>
        <v/>
      </c>
      <c r="E1175" s="398" t="str">
        <f t="shared" si="824"/>
        <v/>
      </c>
      <c r="F1175" s="398" t="str">
        <f t="shared" si="825"/>
        <v/>
      </c>
      <c r="G1175" s="399" t="str">
        <f t="shared" si="826"/>
        <v>rumus</v>
      </c>
      <c r="H1175" s="114" t="s">
        <v>26</v>
      </c>
      <c r="I1175" s="429"/>
      <c r="J1175" s="418" t="str">
        <f t="shared" si="827"/>
        <v>rumus</v>
      </c>
      <c r="K1175" s="116"/>
      <c r="L1175" s="116"/>
      <c r="M1175" s="2"/>
      <c r="N1175" s="2"/>
      <c r="O1175" s="2"/>
      <c r="P1175" s="2"/>
      <c r="Q1175" s="2"/>
      <c r="R1175" s="2"/>
      <c r="S1175" s="2"/>
      <c r="T1175" s="2"/>
      <c r="U1175" s="2"/>
      <c r="V1175" s="2"/>
      <c r="W1175" s="2"/>
      <c r="X1175" s="2"/>
      <c r="Y1175" s="2"/>
      <c r="Z1175" s="2"/>
    </row>
    <row r="1176" spans="1:26" ht="15" customHeight="1" x14ac:dyDescent="0.25">
      <c r="A1176" s="109">
        <v>7</v>
      </c>
      <c r="B1176" s="397" t="s">
        <v>821</v>
      </c>
      <c r="C1176" s="106" t="s">
        <v>385</v>
      </c>
      <c r="D1176" s="106" t="str">
        <f t="shared" si="823"/>
        <v/>
      </c>
      <c r="E1176" s="398" t="str">
        <f t="shared" si="824"/>
        <v/>
      </c>
      <c r="F1176" s="398" t="str">
        <f t="shared" si="825"/>
        <v/>
      </c>
      <c r="G1176" s="399" t="str">
        <f t="shared" si="826"/>
        <v>rumus</v>
      </c>
      <c r="H1176" s="114" t="s">
        <v>26</v>
      </c>
      <c r="I1176" s="429"/>
      <c r="J1176" s="418" t="str">
        <f t="shared" si="827"/>
        <v>rumus</v>
      </c>
      <c r="K1176" s="116"/>
      <c r="L1176" s="116"/>
      <c r="M1176" s="2"/>
      <c r="N1176" s="2"/>
      <c r="O1176" s="2"/>
      <c r="P1176" s="2"/>
      <c r="Q1176" s="2"/>
      <c r="R1176" s="2"/>
      <c r="S1176" s="2"/>
      <c r="T1176" s="2"/>
      <c r="U1176" s="2"/>
      <c r="V1176" s="2"/>
      <c r="W1176" s="2"/>
      <c r="X1176" s="2"/>
      <c r="Y1176" s="2"/>
      <c r="Z1176" s="2"/>
    </row>
    <row r="1177" spans="1:26" ht="15" customHeight="1" x14ac:dyDescent="0.25">
      <c r="A1177" s="109">
        <v>8</v>
      </c>
      <c r="B1177" s="397" t="s">
        <v>821</v>
      </c>
      <c r="C1177" s="106" t="s">
        <v>355</v>
      </c>
      <c r="D1177" s="106" t="str">
        <f t="shared" si="823"/>
        <v/>
      </c>
      <c r="E1177" s="398" t="str">
        <f t="shared" si="824"/>
        <v/>
      </c>
      <c r="F1177" s="398" t="str">
        <f t="shared" si="825"/>
        <v/>
      </c>
      <c r="G1177" s="399" t="str">
        <f t="shared" si="826"/>
        <v>rumus</v>
      </c>
      <c r="H1177" s="114" t="s">
        <v>26</v>
      </c>
      <c r="I1177" s="429"/>
      <c r="J1177" s="418" t="str">
        <f t="shared" si="827"/>
        <v>rumus</v>
      </c>
      <c r="K1177" s="116"/>
      <c r="L1177" s="116"/>
      <c r="M1177" s="2"/>
      <c r="N1177" s="2"/>
      <c r="O1177" s="2"/>
      <c r="P1177" s="2"/>
      <c r="Q1177" s="2"/>
      <c r="R1177" s="2"/>
      <c r="S1177" s="2"/>
      <c r="T1177" s="2"/>
      <c r="U1177" s="2"/>
      <c r="V1177" s="2"/>
      <c r="W1177" s="2"/>
      <c r="X1177" s="2"/>
      <c r="Y1177" s="2"/>
      <c r="Z1177" s="2"/>
    </row>
    <row r="1178" spans="1:26" ht="15" customHeight="1" x14ac:dyDescent="0.25">
      <c r="A1178" s="109">
        <v>9</v>
      </c>
      <c r="B1178" s="397" t="s">
        <v>821</v>
      </c>
      <c r="C1178" s="106" t="s">
        <v>312</v>
      </c>
      <c r="D1178" s="106" t="str">
        <f t="shared" si="823"/>
        <v/>
      </c>
      <c r="E1178" s="398" t="str">
        <f t="shared" si="824"/>
        <v/>
      </c>
      <c r="F1178" s="398" t="str">
        <f t="shared" si="825"/>
        <v/>
      </c>
      <c r="G1178" s="399" t="str">
        <f t="shared" si="826"/>
        <v>rumus</v>
      </c>
      <c r="H1178" s="114" t="s">
        <v>26</v>
      </c>
      <c r="I1178" s="429"/>
      <c r="J1178" s="418" t="str">
        <f t="shared" si="827"/>
        <v>rumus</v>
      </c>
      <c r="K1178" s="116"/>
      <c r="L1178" s="116"/>
      <c r="M1178" s="2"/>
      <c r="N1178" s="2"/>
      <c r="O1178" s="2"/>
      <c r="P1178" s="2"/>
      <c r="Q1178" s="2"/>
      <c r="R1178" s="2"/>
      <c r="S1178" s="2"/>
      <c r="T1178" s="2"/>
      <c r="U1178" s="2"/>
      <c r="V1178" s="2"/>
      <c r="W1178" s="2"/>
      <c r="X1178" s="2"/>
      <c r="Y1178" s="2"/>
      <c r="Z1178" s="2"/>
    </row>
    <row r="1179" spans="1:26" ht="15" customHeight="1" x14ac:dyDescent="0.25">
      <c r="A1179" s="109">
        <v>10</v>
      </c>
      <c r="B1179" s="397" t="s">
        <v>821</v>
      </c>
      <c r="C1179" s="106" t="s">
        <v>317</v>
      </c>
      <c r="D1179" s="106" t="str">
        <f t="shared" si="823"/>
        <v/>
      </c>
      <c r="E1179" s="398" t="str">
        <f t="shared" si="824"/>
        <v/>
      </c>
      <c r="F1179" s="398" t="str">
        <f t="shared" si="825"/>
        <v/>
      </c>
      <c r="G1179" s="399" t="str">
        <f t="shared" si="826"/>
        <v>rumus</v>
      </c>
      <c r="H1179" s="114" t="s">
        <v>26</v>
      </c>
      <c r="I1179" s="429"/>
      <c r="J1179" s="418" t="str">
        <f t="shared" si="827"/>
        <v>rumus</v>
      </c>
      <c r="K1179" s="116"/>
      <c r="L1179" s="116"/>
      <c r="M1179" s="2"/>
      <c r="N1179" s="2"/>
      <c r="O1179" s="2"/>
      <c r="P1179" s="2"/>
      <c r="Q1179" s="2"/>
      <c r="R1179" s="2"/>
      <c r="S1179" s="2"/>
      <c r="T1179" s="2"/>
      <c r="U1179" s="2"/>
      <c r="V1179" s="2"/>
      <c r="W1179" s="2"/>
      <c r="X1179" s="2"/>
      <c r="Y1179" s="2"/>
      <c r="Z1179" s="2"/>
    </row>
    <row r="1180" spans="1:26" ht="15" customHeight="1" x14ac:dyDescent="0.25">
      <c r="A1180" s="109">
        <v>11</v>
      </c>
      <c r="B1180" s="397" t="s">
        <v>821</v>
      </c>
      <c r="C1180" s="106" t="s">
        <v>319</v>
      </c>
      <c r="D1180" s="106" t="str">
        <f t="shared" si="823"/>
        <v/>
      </c>
      <c r="E1180" s="398" t="str">
        <f t="shared" si="824"/>
        <v/>
      </c>
      <c r="F1180" s="398" t="str">
        <f t="shared" si="825"/>
        <v/>
      </c>
      <c r="G1180" s="399" t="str">
        <f t="shared" si="826"/>
        <v>rumus</v>
      </c>
      <c r="H1180" s="114" t="s">
        <v>26</v>
      </c>
      <c r="I1180" s="429"/>
      <c r="J1180" s="418" t="str">
        <f t="shared" si="827"/>
        <v>rumus</v>
      </c>
      <c r="K1180" s="116"/>
      <c r="L1180" s="116"/>
      <c r="M1180" s="2"/>
      <c r="N1180" s="2"/>
      <c r="O1180" s="2"/>
      <c r="P1180" s="2"/>
      <c r="Q1180" s="2"/>
      <c r="R1180" s="2"/>
      <c r="S1180" s="2"/>
      <c r="T1180" s="2"/>
      <c r="U1180" s="2"/>
      <c r="V1180" s="2"/>
      <c r="W1180" s="2"/>
      <c r="X1180" s="2"/>
      <c r="Y1180" s="2"/>
      <c r="Z1180" s="2"/>
    </row>
    <row r="1181" spans="1:26" ht="15" customHeight="1" x14ac:dyDescent="0.25">
      <c r="A1181" s="109">
        <v>12</v>
      </c>
      <c r="B1181" s="397" t="s">
        <v>821</v>
      </c>
      <c r="C1181" s="106" t="s">
        <v>321</v>
      </c>
      <c r="D1181" s="106" t="str">
        <f t="shared" si="823"/>
        <v/>
      </c>
      <c r="E1181" s="398" t="str">
        <f t="shared" si="824"/>
        <v/>
      </c>
      <c r="F1181" s="398" t="str">
        <f t="shared" si="825"/>
        <v/>
      </c>
      <c r="G1181" s="399" t="str">
        <f t="shared" si="826"/>
        <v>rumus</v>
      </c>
      <c r="H1181" s="114" t="s">
        <v>26</v>
      </c>
      <c r="I1181" s="429"/>
      <c r="J1181" s="418" t="str">
        <f t="shared" si="827"/>
        <v>rumus</v>
      </c>
      <c r="K1181" s="116"/>
      <c r="L1181" s="116"/>
      <c r="M1181" s="2"/>
      <c r="N1181" s="2"/>
      <c r="O1181" s="2"/>
      <c r="P1181" s="2"/>
      <c r="Q1181" s="2"/>
      <c r="R1181" s="2"/>
      <c r="S1181" s="2"/>
      <c r="T1181" s="2"/>
      <c r="U1181" s="2"/>
      <c r="V1181" s="2"/>
      <c r="W1181" s="2"/>
      <c r="X1181" s="2"/>
      <c r="Y1181" s="2"/>
      <c r="Z1181" s="2"/>
    </row>
    <row r="1182" spans="1:26" ht="15" customHeight="1" x14ac:dyDescent="0.25">
      <c r="A1182" s="124"/>
      <c r="B1182" s="428" t="s">
        <v>810</v>
      </c>
      <c r="C1182" s="430"/>
      <c r="D1182" s="430"/>
      <c r="E1182" s="430"/>
      <c r="F1182" s="430"/>
      <c r="G1182" s="415"/>
      <c r="H1182" s="416"/>
      <c r="I1182" s="116"/>
      <c r="J1182" s="2"/>
      <c r="K1182" s="116">
        <f>SUM(J1170:J1181)</f>
        <v>0</v>
      </c>
      <c r="L1182" s="2"/>
      <c r="M1182" s="2"/>
      <c r="N1182" s="2"/>
      <c r="O1182" s="2"/>
      <c r="P1182" s="2"/>
      <c r="Q1182" s="2"/>
      <c r="R1182" s="2"/>
      <c r="S1182" s="2"/>
      <c r="T1182" s="2"/>
      <c r="U1182" s="2"/>
      <c r="V1182" s="2"/>
      <c r="W1182" s="2"/>
      <c r="X1182" s="2"/>
      <c r="Y1182" s="2"/>
      <c r="Z1182" s="2"/>
    </row>
    <row r="1183" spans="1:26" ht="15" customHeight="1" x14ac:dyDescent="0.25">
      <c r="A1183" s="109">
        <v>1</v>
      </c>
      <c r="B1183" s="397" t="s">
        <v>821</v>
      </c>
      <c r="C1183" s="106" t="s">
        <v>705</v>
      </c>
      <c r="D1183" s="106" t="str">
        <f t="shared" ref="D1183:D1194" si="828">IF(G1183&lt;&gt;"rumus","Kegiatan","")</f>
        <v/>
      </c>
      <c r="E1183" s="398" t="str">
        <f t="shared" ref="E1183:E1194" si="829">IF(I1183&lt;&gt;"",1,"")</f>
        <v/>
      </c>
      <c r="F1183" s="398" t="str">
        <f t="shared" ref="F1183:F1194" si="830">IF(I1183&lt;&gt;"",J1183,"")</f>
        <v/>
      </c>
      <c r="G1183" s="399" t="str">
        <f t="shared" ref="G1183:G1194" si="831">IF(J1183&lt;&gt;"rumus","1 x "&amp;J1183&amp;" = "&amp;J1183,"rumus")</f>
        <v>rumus</v>
      </c>
      <c r="H1183" s="106" t="s">
        <v>764</v>
      </c>
      <c r="I1183" s="429"/>
      <c r="J1183" s="418" t="str">
        <f t="shared" ref="J1183:J1194" si="832">IF(I1183="a.Detasering persemester",5,IF(I1183="b.Pencangkokan persemester",4,"rumus"))</f>
        <v>rumus</v>
      </c>
      <c r="K1183" s="116"/>
      <c r="L1183" s="116"/>
      <c r="M1183" s="2"/>
      <c r="N1183" s="2"/>
      <c r="O1183" s="2"/>
      <c r="P1183" s="2"/>
      <c r="Q1183" s="2"/>
      <c r="R1183" s="2"/>
      <c r="S1183" s="2"/>
      <c r="T1183" s="2"/>
      <c r="U1183" s="2"/>
      <c r="V1183" s="2"/>
      <c r="W1183" s="2"/>
      <c r="X1183" s="2"/>
      <c r="Y1183" s="2"/>
      <c r="Z1183" s="2"/>
    </row>
    <row r="1184" spans="1:26" ht="15" customHeight="1" x14ac:dyDescent="0.25">
      <c r="A1184" s="109">
        <v>2</v>
      </c>
      <c r="B1184" s="397" t="s">
        <v>821</v>
      </c>
      <c r="C1184" s="106" t="s">
        <v>803</v>
      </c>
      <c r="D1184" s="106" t="str">
        <f t="shared" si="828"/>
        <v/>
      </c>
      <c r="E1184" s="398" t="str">
        <f t="shared" si="829"/>
        <v/>
      </c>
      <c r="F1184" s="398" t="str">
        <f t="shared" si="830"/>
        <v/>
      </c>
      <c r="G1184" s="399" t="str">
        <f t="shared" si="831"/>
        <v>rumus</v>
      </c>
      <c r="H1184" s="114" t="s">
        <v>26</v>
      </c>
      <c r="I1184" s="429"/>
      <c r="J1184" s="418" t="str">
        <f t="shared" si="832"/>
        <v>rumus</v>
      </c>
      <c r="K1184" s="116"/>
      <c r="L1184" s="116"/>
      <c r="M1184" s="2"/>
      <c r="N1184" s="2"/>
      <c r="O1184" s="2"/>
      <c r="P1184" s="2"/>
      <c r="Q1184" s="2"/>
      <c r="R1184" s="2"/>
      <c r="S1184" s="2"/>
      <c r="T1184" s="2"/>
      <c r="U1184" s="2"/>
      <c r="V1184" s="2"/>
      <c r="W1184" s="2"/>
      <c r="X1184" s="2"/>
      <c r="Y1184" s="2"/>
      <c r="Z1184" s="2"/>
    </row>
    <row r="1185" spans="1:26" ht="15" customHeight="1" x14ac:dyDescent="0.25">
      <c r="A1185" s="109">
        <v>3</v>
      </c>
      <c r="B1185" s="397" t="s">
        <v>821</v>
      </c>
      <c r="C1185" s="106" t="s">
        <v>804</v>
      </c>
      <c r="D1185" s="106" t="str">
        <f t="shared" si="828"/>
        <v/>
      </c>
      <c r="E1185" s="398" t="str">
        <f t="shared" si="829"/>
        <v/>
      </c>
      <c r="F1185" s="398" t="str">
        <f t="shared" si="830"/>
        <v/>
      </c>
      <c r="G1185" s="399" t="str">
        <f t="shared" si="831"/>
        <v>rumus</v>
      </c>
      <c r="H1185" s="114" t="s">
        <v>26</v>
      </c>
      <c r="I1185" s="429"/>
      <c r="J1185" s="418" t="str">
        <f t="shared" si="832"/>
        <v>rumus</v>
      </c>
      <c r="K1185" s="116"/>
      <c r="L1185" s="116"/>
      <c r="M1185" s="2"/>
      <c r="N1185" s="2"/>
      <c r="O1185" s="2"/>
      <c r="P1185" s="2"/>
      <c r="Q1185" s="2"/>
      <c r="R1185" s="2"/>
      <c r="S1185" s="2"/>
      <c r="T1185" s="2"/>
      <c r="U1185" s="2"/>
      <c r="V1185" s="2"/>
      <c r="W1185" s="2"/>
      <c r="X1185" s="2"/>
      <c r="Y1185" s="2"/>
      <c r="Z1185" s="2"/>
    </row>
    <row r="1186" spans="1:26" ht="15" customHeight="1" x14ac:dyDescent="0.25">
      <c r="A1186" s="109">
        <v>4</v>
      </c>
      <c r="B1186" s="397" t="s">
        <v>821</v>
      </c>
      <c r="C1186" s="106" t="s">
        <v>382</v>
      </c>
      <c r="D1186" s="106" t="str">
        <f t="shared" si="828"/>
        <v/>
      </c>
      <c r="E1186" s="398" t="str">
        <f t="shared" si="829"/>
        <v/>
      </c>
      <c r="F1186" s="398" t="str">
        <f t="shared" si="830"/>
        <v/>
      </c>
      <c r="G1186" s="399" t="str">
        <f t="shared" si="831"/>
        <v>rumus</v>
      </c>
      <c r="H1186" s="114" t="s">
        <v>26</v>
      </c>
      <c r="I1186" s="429"/>
      <c r="J1186" s="418" t="str">
        <f t="shared" si="832"/>
        <v>rumus</v>
      </c>
      <c r="K1186" s="116"/>
      <c r="L1186" s="116"/>
      <c r="M1186" s="2"/>
      <c r="N1186" s="2"/>
      <c r="O1186" s="2"/>
      <c r="P1186" s="2"/>
      <c r="Q1186" s="2"/>
      <c r="R1186" s="2"/>
      <c r="S1186" s="2"/>
      <c r="T1186" s="2"/>
      <c r="U1186" s="2"/>
      <c r="V1186" s="2"/>
      <c r="W1186" s="2"/>
      <c r="X1186" s="2"/>
      <c r="Y1186" s="2"/>
      <c r="Z1186" s="2"/>
    </row>
    <row r="1187" spans="1:26" ht="15" customHeight="1" x14ac:dyDescent="0.25">
      <c r="A1187" s="109">
        <v>5</v>
      </c>
      <c r="B1187" s="397" t="s">
        <v>821</v>
      </c>
      <c r="C1187" s="106" t="s">
        <v>383</v>
      </c>
      <c r="D1187" s="106" t="str">
        <f t="shared" si="828"/>
        <v/>
      </c>
      <c r="E1187" s="398" t="str">
        <f t="shared" si="829"/>
        <v/>
      </c>
      <c r="F1187" s="398" t="str">
        <f t="shared" si="830"/>
        <v/>
      </c>
      <c r="G1187" s="399" t="str">
        <f t="shared" si="831"/>
        <v>rumus</v>
      </c>
      <c r="H1187" s="114" t="s">
        <v>26</v>
      </c>
      <c r="I1187" s="429"/>
      <c r="J1187" s="418" t="str">
        <f t="shared" si="832"/>
        <v>rumus</v>
      </c>
      <c r="K1187" s="116"/>
      <c r="L1187" s="116"/>
      <c r="M1187" s="2"/>
      <c r="N1187" s="2"/>
      <c r="O1187" s="2"/>
      <c r="P1187" s="2"/>
      <c r="Q1187" s="2"/>
      <c r="R1187" s="2"/>
      <c r="S1187" s="2"/>
      <c r="T1187" s="2"/>
      <c r="U1187" s="2"/>
      <c r="V1187" s="2"/>
      <c r="W1187" s="2"/>
      <c r="X1187" s="2"/>
      <c r="Y1187" s="2"/>
      <c r="Z1187" s="2"/>
    </row>
    <row r="1188" spans="1:26" ht="15" customHeight="1" x14ac:dyDescent="0.25">
      <c r="A1188" s="109">
        <v>6</v>
      </c>
      <c r="B1188" s="397" t="s">
        <v>821</v>
      </c>
      <c r="C1188" s="106" t="s">
        <v>384</v>
      </c>
      <c r="D1188" s="106" t="str">
        <f t="shared" si="828"/>
        <v/>
      </c>
      <c r="E1188" s="398" t="str">
        <f t="shared" si="829"/>
        <v/>
      </c>
      <c r="F1188" s="398" t="str">
        <f t="shared" si="830"/>
        <v/>
      </c>
      <c r="G1188" s="399" t="str">
        <f t="shared" si="831"/>
        <v>rumus</v>
      </c>
      <c r="H1188" s="114" t="s">
        <v>26</v>
      </c>
      <c r="I1188" s="429"/>
      <c r="J1188" s="418" t="str">
        <f t="shared" si="832"/>
        <v>rumus</v>
      </c>
      <c r="K1188" s="116"/>
      <c r="L1188" s="116"/>
      <c r="M1188" s="2"/>
      <c r="N1188" s="2"/>
      <c r="O1188" s="2"/>
      <c r="P1188" s="2"/>
      <c r="Q1188" s="2"/>
      <c r="R1188" s="2"/>
      <c r="S1188" s="2"/>
      <c r="T1188" s="2"/>
      <c r="U1188" s="2"/>
      <c r="V1188" s="2"/>
      <c r="W1188" s="2"/>
      <c r="X1188" s="2"/>
      <c r="Y1188" s="2"/>
      <c r="Z1188" s="2"/>
    </row>
    <row r="1189" spans="1:26" ht="15" customHeight="1" x14ac:dyDescent="0.25">
      <c r="A1189" s="109">
        <v>7</v>
      </c>
      <c r="B1189" s="397" t="s">
        <v>821</v>
      </c>
      <c r="C1189" s="106" t="s">
        <v>385</v>
      </c>
      <c r="D1189" s="106" t="str">
        <f t="shared" si="828"/>
        <v/>
      </c>
      <c r="E1189" s="398" t="str">
        <f t="shared" si="829"/>
        <v/>
      </c>
      <c r="F1189" s="398" t="str">
        <f t="shared" si="830"/>
        <v/>
      </c>
      <c r="G1189" s="399" t="str">
        <f t="shared" si="831"/>
        <v>rumus</v>
      </c>
      <c r="H1189" s="114" t="s">
        <v>26</v>
      </c>
      <c r="I1189" s="429"/>
      <c r="J1189" s="418" t="str">
        <f t="shared" si="832"/>
        <v>rumus</v>
      </c>
      <c r="K1189" s="116"/>
      <c r="L1189" s="116"/>
      <c r="M1189" s="2"/>
      <c r="N1189" s="2"/>
      <c r="O1189" s="2"/>
      <c r="P1189" s="2"/>
      <c r="Q1189" s="2"/>
      <c r="R1189" s="2"/>
      <c r="S1189" s="2"/>
      <c r="T1189" s="2"/>
      <c r="U1189" s="2"/>
      <c r="V1189" s="2"/>
      <c r="W1189" s="2"/>
      <c r="X1189" s="2"/>
      <c r="Y1189" s="2"/>
      <c r="Z1189" s="2"/>
    </row>
    <row r="1190" spans="1:26" ht="15" customHeight="1" x14ac:dyDescent="0.25">
      <c r="A1190" s="109">
        <v>8</v>
      </c>
      <c r="B1190" s="397" t="s">
        <v>821</v>
      </c>
      <c r="C1190" s="106" t="s">
        <v>355</v>
      </c>
      <c r="D1190" s="106" t="str">
        <f t="shared" si="828"/>
        <v/>
      </c>
      <c r="E1190" s="398" t="str">
        <f t="shared" si="829"/>
        <v/>
      </c>
      <c r="F1190" s="398" t="str">
        <f t="shared" si="830"/>
        <v/>
      </c>
      <c r="G1190" s="399" t="str">
        <f t="shared" si="831"/>
        <v>rumus</v>
      </c>
      <c r="H1190" s="114" t="s">
        <v>26</v>
      </c>
      <c r="I1190" s="429"/>
      <c r="J1190" s="418" t="str">
        <f t="shared" si="832"/>
        <v>rumus</v>
      </c>
      <c r="K1190" s="116"/>
      <c r="L1190" s="116"/>
      <c r="M1190" s="2"/>
      <c r="N1190" s="2"/>
      <c r="O1190" s="2"/>
      <c r="P1190" s="2"/>
      <c r="Q1190" s="2"/>
      <c r="R1190" s="2"/>
      <c r="S1190" s="2"/>
      <c r="T1190" s="2"/>
      <c r="U1190" s="2"/>
      <c r="V1190" s="2"/>
      <c r="W1190" s="2"/>
      <c r="X1190" s="2"/>
      <c r="Y1190" s="2"/>
      <c r="Z1190" s="2"/>
    </row>
    <row r="1191" spans="1:26" ht="15" customHeight="1" x14ac:dyDescent="0.25">
      <c r="A1191" s="109">
        <v>9</v>
      </c>
      <c r="B1191" s="397" t="s">
        <v>821</v>
      </c>
      <c r="C1191" s="106" t="s">
        <v>312</v>
      </c>
      <c r="D1191" s="106" t="str">
        <f t="shared" si="828"/>
        <v/>
      </c>
      <c r="E1191" s="398" t="str">
        <f t="shared" si="829"/>
        <v/>
      </c>
      <c r="F1191" s="398" t="str">
        <f t="shared" si="830"/>
        <v/>
      </c>
      <c r="G1191" s="399" t="str">
        <f t="shared" si="831"/>
        <v>rumus</v>
      </c>
      <c r="H1191" s="114" t="s">
        <v>26</v>
      </c>
      <c r="I1191" s="429"/>
      <c r="J1191" s="418" t="str">
        <f t="shared" si="832"/>
        <v>rumus</v>
      </c>
      <c r="K1191" s="116"/>
      <c r="L1191" s="116"/>
      <c r="M1191" s="2"/>
      <c r="N1191" s="2"/>
      <c r="O1191" s="2"/>
      <c r="P1191" s="2"/>
      <c r="Q1191" s="2"/>
      <c r="R1191" s="2"/>
      <c r="S1191" s="2"/>
      <c r="T1191" s="2"/>
      <c r="U1191" s="2"/>
      <c r="V1191" s="2"/>
      <c r="W1191" s="2"/>
      <c r="X1191" s="2"/>
      <c r="Y1191" s="2"/>
      <c r="Z1191" s="2"/>
    </row>
    <row r="1192" spans="1:26" ht="15" customHeight="1" x14ac:dyDescent="0.25">
      <c r="A1192" s="109">
        <v>10</v>
      </c>
      <c r="B1192" s="397" t="s">
        <v>821</v>
      </c>
      <c r="C1192" s="106" t="s">
        <v>317</v>
      </c>
      <c r="D1192" s="106" t="str">
        <f t="shared" si="828"/>
        <v/>
      </c>
      <c r="E1192" s="398" t="str">
        <f t="shared" si="829"/>
        <v/>
      </c>
      <c r="F1192" s="398" t="str">
        <f t="shared" si="830"/>
        <v/>
      </c>
      <c r="G1192" s="399" t="str">
        <f t="shared" si="831"/>
        <v>rumus</v>
      </c>
      <c r="H1192" s="114" t="s">
        <v>26</v>
      </c>
      <c r="I1192" s="429"/>
      <c r="J1192" s="418" t="str">
        <f t="shared" si="832"/>
        <v>rumus</v>
      </c>
      <c r="K1192" s="116"/>
      <c r="L1192" s="116"/>
      <c r="M1192" s="2"/>
      <c r="N1192" s="2"/>
      <c r="O1192" s="2"/>
      <c r="P1192" s="2"/>
      <c r="Q1192" s="2"/>
      <c r="R1192" s="2"/>
      <c r="S1192" s="2"/>
      <c r="T1192" s="2"/>
      <c r="U1192" s="2"/>
      <c r="V1192" s="2"/>
      <c r="W1192" s="2"/>
      <c r="X1192" s="2"/>
      <c r="Y1192" s="2"/>
      <c r="Z1192" s="2"/>
    </row>
    <row r="1193" spans="1:26" ht="15" customHeight="1" x14ac:dyDescent="0.25">
      <c r="A1193" s="109">
        <v>11</v>
      </c>
      <c r="B1193" s="397" t="s">
        <v>821</v>
      </c>
      <c r="C1193" s="106" t="s">
        <v>319</v>
      </c>
      <c r="D1193" s="106" t="str">
        <f t="shared" si="828"/>
        <v/>
      </c>
      <c r="E1193" s="398" t="str">
        <f t="shared" si="829"/>
        <v/>
      </c>
      <c r="F1193" s="398" t="str">
        <f t="shared" si="830"/>
        <v/>
      </c>
      <c r="G1193" s="399" t="str">
        <f t="shared" si="831"/>
        <v>rumus</v>
      </c>
      <c r="H1193" s="114" t="s">
        <v>26</v>
      </c>
      <c r="I1193" s="429"/>
      <c r="J1193" s="418" t="str">
        <f t="shared" si="832"/>
        <v>rumus</v>
      </c>
      <c r="K1193" s="116"/>
      <c r="L1193" s="116"/>
      <c r="M1193" s="2"/>
      <c r="N1193" s="2"/>
      <c r="O1193" s="2"/>
      <c r="P1193" s="2"/>
      <c r="Q1193" s="2"/>
      <c r="R1193" s="2"/>
      <c r="S1193" s="2"/>
      <c r="T1193" s="2"/>
      <c r="U1193" s="2"/>
      <c r="V1193" s="2"/>
      <c r="W1193" s="2"/>
      <c r="X1193" s="2"/>
      <c r="Y1193" s="2"/>
      <c r="Z1193" s="2"/>
    </row>
    <row r="1194" spans="1:26" ht="15" customHeight="1" x14ac:dyDescent="0.25">
      <c r="A1194" s="109">
        <v>12</v>
      </c>
      <c r="B1194" s="397" t="s">
        <v>821</v>
      </c>
      <c r="C1194" s="106" t="s">
        <v>321</v>
      </c>
      <c r="D1194" s="106" t="str">
        <f t="shared" si="828"/>
        <v/>
      </c>
      <c r="E1194" s="398" t="str">
        <f t="shared" si="829"/>
        <v/>
      </c>
      <c r="F1194" s="398" t="str">
        <f t="shared" si="830"/>
        <v/>
      </c>
      <c r="G1194" s="399" t="str">
        <f t="shared" si="831"/>
        <v>rumus</v>
      </c>
      <c r="H1194" s="114" t="s">
        <v>26</v>
      </c>
      <c r="I1194" s="429"/>
      <c r="J1194" s="418" t="str">
        <f t="shared" si="832"/>
        <v>rumus</v>
      </c>
      <c r="K1194" s="116"/>
      <c r="L1194" s="116"/>
      <c r="M1194" s="2"/>
      <c r="N1194" s="2"/>
      <c r="O1194" s="2"/>
      <c r="P1194" s="2"/>
      <c r="Q1194" s="2"/>
      <c r="R1194" s="2"/>
      <c r="S1194" s="2"/>
      <c r="T1194" s="2"/>
      <c r="U1194" s="2"/>
      <c r="V1194" s="2"/>
      <c r="W1194" s="2"/>
      <c r="X1194" s="2"/>
      <c r="Y1194" s="2"/>
      <c r="Z1194" s="2"/>
    </row>
    <row r="1195" spans="1:26" ht="15" customHeight="1" x14ac:dyDescent="0.25">
      <c r="A1195" s="109"/>
      <c r="B1195" s="614" t="s">
        <v>304</v>
      </c>
      <c r="C1195" s="615"/>
      <c r="D1195" s="616"/>
      <c r="E1195" s="403"/>
      <c r="F1195" s="403"/>
      <c r="G1195" s="113">
        <f>SUM(K1171:K1195)</f>
        <v>0</v>
      </c>
      <c r="H1195" s="114"/>
      <c r="I1195" s="116"/>
      <c r="J1195" s="116"/>
      <c r="K1195" s="116">
        <f>SUM(J1183:J1194)</f>
        <v>0</v>
      </c>
      <c r="L1195" s="2"/>
      <c r="M1195" s="2"/>
      <c r="N1195" s="2"/>
      <c r="O1195" s="2"/>
      <c r="P1195" s="2"/>
      <c r="Q1195" s="2"/>
      <c r="R1195" s="2"/>
      <c r="S1195" s="2"/>
      <c r="T1195" s="2"/>
      <c r="U1195" s="2"/>
      <c r="V1195" s="2"/>
      <c r="W1195" s="2"/>
      <c r="X1195" s="2"/>
      <c r="Y1195" s="2"/>
      <c r="Z1195" s="2"/>
    </row>
    <row r="1196" spans="1:26" ht="15" customHeight="1" x14ac:dyDescent="0.25">
      <c r="A1196" s="115" t="s">
        <v>119</v>
      </c>
      <c r="B1196" s="396" t="s">
        <v>823</v>
      </c>
      <c r="C1196" s="421"/>
      <c r="D1196" s="421"/>
      <c r="E1196" s="421"/>
      <c r="F1196" s="421"/>
      <c r="G1196" s="421"/>
      <c r="H1196" s="422"/>
      <c r="I1196" s="116"/>
      <c r="J1196" s="116"/>
      <c r="K1196" s="116"/>
      <c r="L1196" s="2"/>
      <c r="M1196" s="2"/>
      <c r="N1196" s="2"/>
      <c r="O1196" s="2"/>
      <c r="P1196" s="2"/>
      <c r="Q1196" s="2"/>
      <c r="R1196" s="2"/>
      <c r="S1196" s="2"/>
      <c r="T1196" s="2"/>
      <c r="U1196" s="2"/>
      <c r="V1196" s="2"/>
      <c r="W1196" s="2"/>
      <c r="X1196" s="2"/>
      <c r="Y1196" s="2"/>
      <c r="Z1196" s="2"/>
    </row>
    <row r="1197" spans="1:26" ht="15" customHeight="1" x14ac:dyDescent="0.25">
      <c r="A1197" s="109"/>
      <c r="B1197" s="428" t="s">
        <v>380</v>
      </c>
      <c r="C1197" s="415"/>
      <c r="D1197" s="415"/>
      <c r="E1197" s="415"/>
      <c r="F1197" s="415"/>
      <c r="G1197" s="415"/>
      <c r="H1197" s="416"/>
      <c r="I1197" s="116"/>
      <c r="J1197" s="116"/>
      <c r="K1197" s="116"/>
      <c r="L1197" s="116"/>
      <c r="M1197" s="116"/>
      <c r="N1197" s="2"/>
      <c r="O1197" s="2"/>
      <c r="P1197" s="2"/>
      <c r="Q1197" s="2"/>
      <c r="R1197" s="2"/>
      <c r="S1197" s="2"/>
      <c r="T1197" s="2"/>
      <c r="U1197" s="2"/>
      <c r="V1197" s="2"/>
      <c r="W1197" s="2"/>
      <c r="X1197" s="2"/>
      <c r="Y1197" s="2"/>
      <c r="Z1197" s="2"/>
    </row>
    <row r="1198" spans="1:26" ht="15" customHeight="1" x14ac:dyDescent="0.25">
      <c r="A1198" s="109">
        <v>1</v>
      </c>
      <c r="B1198" s="397" t="s">
        <v>821</v>
      </c>
      <c r="C1198" s="106" t="s">
        <v>705</v>
      </c>
      <c r="D1198" s="106" t="str">
        <f t="shared" ref="D1198:D1209" si="833">IF(G1198&lt;&gt;"rumus","Sertifikat","")</f>
        <v/>
      </c>
      <c r="E1198" s="398" t="str">
        <f t="shared" ref="E1198:E1209" si="834">IF(I1198&lt;&gt;"",1,"")</f>
        <v/>
      </c>
      <c r="F1198" s="398" t="str">
        <f t="shared" ref="F1198:F1209" si="835">IF(I1198&lt;&gt;"",J1198,"")</f>
        <v/>
      </c>
      <c r="G1198" s="399" t="str">
        <f t="shared" ref="G1198:G1209" si="836">IF(J1198&lt;&gt;"rumus","1 x "&amp;J1198&amp;" = "&amp;J1198,"rumus")</f>
        <v>rumus</v>
      </c>
      <c r="H1198" s="106" t="s">
        <v>764</v>
      </c>
      <c r="I1198" s="400"/>
      <c r="J1198" s="418" t="str">
        <f t="shared" ref="J1198:J1209" si="837">IF(I1198&lt;&gt;"",IF(I1198="Lamanya &gt; 960 jam",15,IF(I1198="Lamanya 641-960 jam",9,IF(I1198="Lamanya 481-640 jam",6,IF(I1198="Lamanya 161-480 jam",3,IF(I1198="Lamanya 81-160 jam",2,IF(I1198="Lamanya 31-80 jam",1,IF(I1198="Lamanya 10-30 jam",0.5,""))))))),"rumus")</f>
        <v>rumus</v>
      </c>
      <c r="K1198" s="116"/>
      <c r="L1198" s="116"/>
      <c r="M1198" s="2"/>
      <c r="N1198" s="2"/>
      <c r="O1198" s="2"/>
      <c r="P1198" s="2"/>
      <c r="Q1198" s="2"/>
      <c r="R1198" s="2"/>
      <c r="S1198" s="2"/>
      <c r="T1198" s="2"/>
      <c r="U1198" s="2"/>
      <c r="V1198" s="2"/>
      <c r="W1198" s="2"/>
      <c r="X1198" s="2"/>
      <c r="Y1198" s="2"/>
      <c r="Z1198" s="2"/>
    </row>
    <row r="1199" spans="1:26" ht="15" customHeight="1" x14ac:dyDescent="0.25">
      <c r="A1199" s="109">
        <v>2</v>
      </c>
      <c r="B1199" s="397" t="s">
        <v>821</v>
      </c>
      <c r="C1199" s="106" t="s">
        <v>803</v>
      </c>
      <c r="D1199" s="106" t="str">
        <f t="shared" si="833"/>
        <v/>
      </c>
      <c r="E1199" s="398" t="str">
        <f t="shared" si="834"/>
        <v/>
      </c>
      <c r="F1199" s="398" t="str">
        <f t="shared" si="835"/>
        <v/>
      </c>
      <c r="G1199" s="399" t="str">
        <f t="shared" si="836"/>
        <v>rumus</v>
      </c>
      <c r="H1199" s="114" t="s">
        <v>26</v>
      </c>
      <c r="I1199" s="400"/>
      <c r="J1199" s="418" t="str">
        <f t="shared" si="837"/>
        <v>rumus</v>
      </c>
      <c r="K1199" s="116"/>
      <c r="L1199" s="116"/>
      <c r="M1199" s="2"/>
      <c r="N1199" s="2"/>
      <c r="O1199" s="2"/>
      <c r="P1199" s="2"/>
      <c r="Q1199" s="2"/>
      <c r="R1199" s="2"/>
      <c r="S1199" s="2"/>
      <c r="T1199" s="2"/>
      <c r="U1199" s="2"/>
      <c r="V1199" s="2"/>
      <c r="W1199" s="2"/>
      <c r="X1199" s="2"/>
      <c r="Y1199" s="2"/>
      <c r="Z1199" s="2"/>
    </row>
    <row r="1200" spans="1:26" ht="15" customHeight="1" x14ac:dyDescent="0.25">
      <c r="A1200" s="109">
        <v>3</v>
      </c>
      <c r="B1200" s="397" t="s">
        <v>821</v>
      </c>
      <c r="C1200" s="106" t="s">
        <v>804</v>
      </c>
      <c r="D1200" s="106" t="str">
        <f t="shared" si="833"/>
        <v/>
      </c>
      <c r="E1200" s="398" t="str">
        <f t="shared" si="834"/>
        <v/>
      </c>
      <c r="F1200" s="398" t="str">
        <f t="shared" si="835"/>
        <v/>
      </c>
      <c r="G1200" s="399" t="str">
        <f t="shared" si="836"/>
        <v>rumus</v>
      </c>
      <c r="H1200" s="114" t="s">
        <v>26</v>
      </c>
      <c r="I1200" s="400"/>
      <c r="J1200" s="418" t="str">
        <f t="shared" si="837"/>
        <v>rumus</v>
      </c>
      <c r="K1200" s="116"/>
      <c r="L1200" s="116"/>
      <c r="M1200" s="2"/>
      <c r="N1200" s="2"/>
      <c r="O1200" s="2"/>
      <c r="P1200" s="2"/>
      <c r="Q1200" s="2"/>
      <c r="R1200" s="2"/>
      <c r="S1200" s="2"/>
      <c r="T1200" s="2"/>
      <c r="U1200" s="2"/>
      <c r="V1200" s="2"/>
      <c r="W1200" s="2"/>
      <c r="X1200" s="2"/>
      <c r="Y1200" s="2"/>
      <c r="Z1200" s="2"/>
    </row>
    <row r="1201" spans="1:26" ht="15" customHeight="1" x14ac:dyDescent="0.25">
      <c r="A1201" s="109">
        <v>4</v>
      </c>
      <c r="B1201" s="397" t="s">
        <v>821</v>
      </c>
      <c r="C1201" s="106" t="s">
        <v>382</v>
      </c>
      <c r="D1201" s="106" t="str">
        <f t="shared" si="833"/>
        <v/>
      </c>
      <c r="E1201" s="398" t="str">
        <f t="shared" si="834"/>
        <v/>
      </c>
      <c r="F1201" s="398" t="str">
        <f t="shared" si="835"/>
        <v/>
      </c>
      <c r="G1201" s="399" t="str">
        <f t="shared" si="836"/>
        <v>rumus</v>
      </c>
      <c r="H1201" s="114" t="s">
        <v>26</v>
      </c>
      <c r="I1201" s="400"/>
      <c r="J1201" s="418" t="str">
        <f t="shared" si="837"/>
        <v>rumus</v>
      </c>
      <c r="K1201" s="116"/>
      <c r="L1201" s="116"/>
      <c r="M1201" s="2"/>
      <c r="N1201" s="2"/>
      <c r="O1201" s="2"/>
      <c r="P1201" s="2"/>
      <c r="Q1201" s="2"/>
      <c r="R1201" s="2"/>
      <c r="S1201" s="2"/>
      <c r="T1201" s="2"/>
      <c r="U1201" s="2"/>
      <c r="V1201" s="2"/>
      <c r="W1201" s="2"/>
      <c r="X1201" s="2"/>
      <c r="Y1201" s="2"/>
      <c r="Z1201" s="2"/>
    </row>
    <row r="1202" spans="1:26" ht="15" customHeight="1" x14ac:dyDescent="0.25">
      <c r="A1202" s="109">
        <v>5</v>
      </c>
      <c r="B1202" s="397" t="s">
        <v>821</v>
      </c>
      <c r="C1202" s="106" t="s">
        <v>383</v>
      </c>
      <c r="D1202" s="106" t="str">
        <f t="shared" si="833"/>
        <v/>
      </c>
      <c r="E1202" s="398" t="str">
        <f t="shared" si="834"/>
        <v/>
      </c>
      <c r="F1202" s="398" t="str">
        <f t="shared" si="835"/>
        <v/>
      </c>
      <c r="G1202" s="399" t="str">
        <f t="shared" si="836"/>
        <v>rumus</v>
      </c>
      <c r="H1202" s="114" t="s">
        <v>26</v>
      </c>
      <c r="I1202" s="400"/>
      <c r="J1202" s="418" t="str">
        <f t="shared" si="837"/>
        <v>rumus</v>
      </c>
      <c r="K1202" s="116"/>
      <c r="L1202" s="116"/>
      <c r="M1202" s="2"/>
      <c r="N1202" s="2"/>
      <c r="O1202" s="2"/>
      <c r="P1202" s="2"/>
      <c r="Q1202" s="2"/>
      <c r="R1202" s="2"/>
      <c r="S1202" s="2"/>
      <c r="T1202" s="2"/>
      <c r="U1202" s="2"/>
      <c r="V1202" s="2"/>
      <c r="W1202" s="2"/>
      <c r="X1202" s="2"/>
      <c r="Y1202" s="2"/>
      <c r="Z1202" s="2"/>
    </row>
    <row r="1203" spans="1:26" ht="15" customHeight="1" x14ac:dyDescent="0.25">
      <c r="A1203" s="109">
        <v>6</v>
      </c>
      <c r="B1203" s="397" t="s">
        <v>821</v>
      </c>
      <c r="C1203" s="106" t="s">
        <v>384</v>
      </c>
      <c r="D1203" s="106" t="str">
        <f t="shared" si="833"/>
        <v/>
      </c>
      <c r="E1203" s="398" t="str">
        <f t="shared" si="834"/>
        <v/>
      </c>
      <c r="F1203" s="398" t="str">
        <f t="shared" si="835"/>
        <v/>
      </c>
      <c r="G1203" s="399" t="str">
        <f t="shared" si="836"/>
        <v>rumus</v>
      </c>
      <c r="H1203" s="114" t="s">
        <v>26</v>
      </c>
      <c r="I1203" s="400"/>
      <c r="J1203" s="418" t="str">
        <f t="shared" si="837"/>
        <v>rumus</v>
      </c>
      <c r="K1203" s="116"/>
      <c r="L1203" s="116"/>
      <c r="M1203" s="2"/>
      <c r="N1203" s="2"/>
      <c r="O1203" s="2"/>
      <c r="P1203" s="2"/>
      <c r="Q1203" s="2"/>
      <c r="R1203" s="2"/>
      <c r="S1203" s="2"/>
      <c r="T1203" s="2"/>
      <c r="U1203" s="2"/>
      <c r="V1203" s="2"/>
      <c r="W1203" s="2"/>
      <c r="X1203" s="2"/>
      <c r="Y1203" s="2"/>
      <c r="Z1203" s="2"/>
    </row>
    <row r="1204" spans="1:26" ht="15" customHeight="1" x14ac:dyDescent="0.25">
      <c r="A1204" s="109">
        <v>7</v>
      </c>
      <c r="B1204" s="397" t="s">
        <v>821</v>
      </c>
      <c r="C1204" s="106" t="s">
        <v>385</v>
      </c>
      <c r="D1204" s="106" t="str">
        <f t="shared" si="833"/>
        <v/>
      </c>
      <c r="E1204" s="398" t="str">
        <f t="shared" si="834"/>
        <v/>
      </c>
      <c r="F1204" s="398" t="str">
        <f t="shared" si="835"/>
        <v/>
      </c>
      <c r="G1204" s="399" t="str">
        <f t="shared" si="836"/>
        <v>rumus</v>
      </c>
      <c r="H1204" s="114" t="s">
        <v>26</v>
      </c>
      <c r="I1204" s="400"/>
      <c r="J1204" s="418" t="str">
        <f t="shared" si="837"/>
        <v>rumus</v>
      </c>
      <c r="K1204" s="116"/>
      <c r="L1204" s="116"/>
      <c r="M1204" s="2"/>
      <c r="N1204" s="2"/>
      <c r="O1204" s="2"/>
      <c r="P1204" s="2"/>
      <c r="Q1204" s="2"/>
      <c r="R1204" s="2"/>
      <c r="S1204" s="2"/>
      <c r="T1204" s="2"/>
      <c r="U1204" s="2"/>
      <c r="V1204" s="2"/>
      <c r="W1204" s="2"/>
      <c r="X1204" s="2"/>
      <c r="Y1204" s="2"/>
      <c r="Z1204" s="2"/>
    </row>
    <row r="1205" spans="1:26" ht="15" customHeight="1" x14ac:dyDescent="0.25">
      <c r="A1205" s="109">
        <v>8</v>
      </c>
      <c r="B1205" s="397" t="s">
        <v>821</v>
      </c>
      <c r="C1205" s="106" t="s">
        <v>355</v>
      </c>
      <c r="D1205" s="106" t="str">
        <f t="shared" si="833"/>
        <v/>
      </c>
      <c r="E1205" s="398" t="str">
        <f t="shared" si="834"/>
        <v/>
      </c>
      <c r="F1205" s="398" t="str">
        <f t="shared" si="835"/>
        <v/>
      </c>
      <c r="G1205" s="399" t="str">
        <f t="shared" si="836"/>
        <v>rumus</v>
      </c>
      <c r="H1205" s="114" t="s">
        <v>26</v>
      </c>
      <c r="I1205" s="400"/>
      <c r="J1205" s="418" t="str">
        <f t="shared" si="837"/>
        <v>rumus</v>
      </c>
      <c r="K1205" s="116"/>
      <c r="L1205" s="116"/>
      <c r="M1205" s="2"/>
      <c r="N1205" s="2"/>
      <c r="O1205" s="2"/>
      <c r="P1205" s="2"/>
      <c r="Q1205" s="2"/>
      <c r="R1205" s="2"/>
      <c r="S1205" s="2"/>
      <c r="T1205" s="2"/>
      <c r="U1205" s="2"/>
      <c r="V1205" s="2"/>
      <c r="W1205" s="2"/>
      <c r="X1205" s="2"/>
      <c r="Y1205" s="2"/>
      <c r="Z1205" s="2"/>
    </row>
    <row r="1206" spans="1:26" ht="15" customHeight="1" x14ac:dyDescent="0.25">
      <c r="A1206" s="109">
        <v>9</v>
      </c>
      <c r="B1206" s="397" t="s">
        <v>821</v>
      </c>
      <c r="C1206" s="106" t="s">
        <v>312</v>
      </c>
      <c r="D1206" s="106" t="str">
        <f t="shared" si="833"/>
        <v/>
      </c>
      <c r="E1206" s="398" t="str">
        <f t="shared" si="834"/>
        <v/>
      </c>
      <c r="F1206" s="398" t="str">
        <f t="shared" si="835"/>
        <v/>
      </c>
      <c r="G1206" s="399" t="str">
        <f t="shared" si="836"/>
        <v>rumus</v>
      </c>
      <c r="H1206" s="114" t="s">
        <v>26</v>
      </c>
      <c r="I1206" s="400"/>
      <c r="J1206" s="418" t="str">
        <f t="shared" si="837"/>
        <v>rumus</v>
      </c>
      <c r="K1206" s="116"/>
      <c r="L1206" s="116"/>
      <c r="M1206" s="2"/>
      <c r="N1206" s="2"/>
      <c r="O1206" s="2"/>
      <c r="P1206" s="2"/>
      <c r="Q1206" s="2"/>
      <c r="R1206" s="2"/>
      <c r="S1206" s="2"/>
      <c r="T1206" s="2"/>
      <c r="U1206" s="2"/>
      <c r="V1206" s="2"/>
      <c r="W1206" s="2"/>
      <c r="X1206" s="2"/>
      <c r="Y1206" s="2"/>
      <c r="Z1206" s="2"/>
    </row>
    <row r="1207" spans="1:26" ht="15" customHeight="1" x14ac:dyDescent="0.25">
      <c r="A1207" s="109">
        <v>10</v>
      </c>
      <c r="B1207" s="397" t="s">
        <v>821</v>
      </c>
      <c r="C1207" s="106" t="s">
        <v>317</v>
      </c>
      <c r="D1207" s="106" t="str">
        <f t="shared" si="833"/>
        <v/>
      </c>
      <c r="E1207" s="398" t="str">
        <f t="shared" si="834"/>
        <v/>
      </c>
      <c r="F1207" s="398" t="str">
        <f t="shared" si="835"/>
        <v/>
      </c>
      <c r="G1207" s="399" t="str">
        <f t="shared" si="836"/>
        <v>rumus</v>
      </c>
      <c r="H1207" s="114" t="s">
        <v>26</v>
      </c>
      <c r="I1207" s="400"/>
      <c r="J1207" s="418" t="str">
        <f t="shared" si="837"/>
        <v>rumus</v>
      </c>
      <c r="K1207" s="116"/>
      <c r="L1207" s="116"/>
      <c r="M1207" s="2"/>
      <c r="N1207" s="2"/>
      <c r="O1207" s="2"/>
      <c r="P1207" s="2"/>
      <c r="Q1207" s="2"/>
      <c r="R1207" s="2"/>
      <c r="S1207" s="2"/>
      <c r="T1207" s="2"/>
      <c r="U1207" s="2"/>
      <c r="V1207" s="2"/>
      <c r="W1207" s="2"/>
      <c r="X1207" s="2"/>
      <c r="Y1207" s="2"/>
      <c r="Z1207" s="2"/>
    </row>
    <row r="1208" spans="1:26" ht="15.75" customHeight="1" x14ac:dyDescent="0.25">
      <c r="A1208" s="109">
        <v>11</v>
      </c>
      <c r="B1208" s="397" t="s">
        <v>821</v>
      </c>
      <c r="C1208" s="106" t="s">
        <v>319</v>
      </c>
      <c r="D1208" s="106" t="str">
        <f t="shared" si="833"/>
        <v/>
      </c>
      <c r="E1208" s="398" t="str">
        <f t="shared" si="834"/>
        <v/>
      </c>
      <c r="F1208" s="398" t="str">
        <f t="shared" si="835"/>
        <v/>
      </c>
      <c r="G1208" s="399" t="str">
        <f t="shared" si="836"/>
        <v>rumus</v>
      </c>
      <c r="H1208" s="114" t="s">
        <v>26</v>
      </c>
      <c r="I1208" s="400"/>
      <c r="J1208" s="418" t="str">
        <f t="shared" si="837"/>
        <v>rumus</v>
      </c>
      <c r="K1208" s="116"/>
      <c r="L1208" s="116"/>
      <c r="M1208" s="2"/>
      <c r="N1208" s="2"/>
      <c r="O1208" s="2"/>
      <c r="P1208" s="2"/>
      <c r="Q1208" s="2"/>
      <c r="R1208" s="2"/>
      <c r="S1208" s="2"/>
      <c r="T1208" s="2"/>
      <c r="U1208" s="2"/>
      <c r="V1208" s="2"/>
      <c r="W1208" s="2"/>
      <c r="X1208" s="2"/>
      <c r="Y1208" s="2"/>
      <c r="Z1208" s="2"/>
    </row>
    <row r="1209" spans="1:26" ht="15" customHeight="1" x14ac:dyDescent="0.25">
      <c r="A1209" s="109">
        <v>12</v>
      </c>
      <c r="B1209" s="397" t="s">
        <v>821</v>
      </c>
      <c r="C1209" s="106" t="s">
        <v>321</v>
      </c>
      <c r="D1209" s="106" t="str">
        <f t="shared" si="833"/>
        <v/>
      </c>
      <c r="E1209" s="398" t="str">
        <f t="shared" si="834"/>
        <v/>
      </c>
      <c r="F1209" s="398" t="str">
        <f t="shared" si="835"/>
        <v/>
      </c>
      <c r="G1209" s="399" t="str">
        <f t="shared" si="836"/>
        <v>rumus</v>
      </c>
      <c r="H1209" s="114" t="s">
        <v>26</v>
      </c>
      <c r="I1209" s="400"/>
      <c r="J1209" s="418" t="str">
        <f t="shared" si="837"/>
        <v>rumus</v>
      </c>
      <c r="K1209" s="116"/>
      <c r="L1209" s="116"/>
      <c r="M1209" s="2"/>
      <c r="N1209" s="2"/>
      <c r="O1209" s="2"/>
      <c r="P1209" s="2"/>
      <c r="Q1209" s="2"/>
      <c r="R1209" s="2"/>
      <c r="S1209" s="2"/>
      <c r="T1209" s="2"/>
      <c r="U1209" s="2"/>
      <c r="V1209" s="2"/>
      <c r="W1209" s="2"/>
      <c r="X1209" s="2"/>
      <c r="Y1209" s="2"/>
      <c r="Z1209" s="2"/>
    </row>
    <row r="1210" spans="1:26" ht="15" customHeight="1" x14ac:dyDescent="0.25">
      <c r="A1210" s="124"/>
      <c r="B1210" s="428" t="s">
        <v>810</v>
      </c>
      <c r="C1210" s="430"/>
      <c r="D1210" s="430"/>
      <c r="E1210" s="430"/>
      <c r="F1210" s="430"/>
      <c r="G1210" s="415"/>
      <c r="H1210" s="416"/>
      <c r="I1210" s="116"/>
      <c r="J1210" s="2"/>
      <c r="K1210" s="116">
        <f>SUM(J1198:J1209)</f>
        <v>0</v>
      </c>
      <c r="L1210" s="2"/>
      <c r="M1210" s="2"/>
      <c r="N1210" s="2"/>
      <c r="O1210" s="2"/>
      <c r="P1210" s="2"/>
      <c r="Q1210" s="2"/>
      <c r="R1210" s="2"/>
      <c r="S1210" s="2"/>
      <c r="T1210" s="2"/>
      <c r="U1210" s="2"/>
      <c r="V1210" s="2"/>
      <c r="W1210" s="2"/>
      <c r="X1210" s="2"/>
      <c r="Y1210" s="2"/>
      <c r="Z1210" s="2"/>
    </row>
    <row r="1211" spans="1:26" ht="15" customHeight="1" x14ac:dyDescent="0.25">
      <c r="A1211" s="109">
        <v>1</v>
      </c>
      <c r="B1211" s="397" t="s">
        <v>821</v>
      </c>
      <c r="C1211" s="106" t="s">
        <v>705</v>
      </c>
      <c r="D1211" s="106" t="str">
        <f t="shared" ref="D1211:D1222" si="838">IF(G1211&lt;&gt;"rumus","Sertifikat","")</f>
        <v/>
      </c>
      <c r="E1211" s="398" t="str">
        <f t="shared" ref="E1211:E1222" si="839">IF(I1211&lt;&gt;"",1,"")</f>
        <v/>
      </c>
      <c r="F1211" s="398" t="str">
        <f t="shared" ref="F1211:F1222" si="840">IF(I1211&lt;&gt;"",J1211,"")</f>
        <v/>
      </c>
      <c r="G1211" s="399" t="str">
        <f t="shared" ref="G1211:G1222" si="841">IF(J1211&lt;&gt;"rumus","1 x "&amp;J1211&amp;" = "&amp;J1211,"rumus")</f>
        <v>rumus</v>
      </c>
      <c r="H1211" s="106" t="s">
        <v>764</v>
      </c>
      <c r="I1211" s="400"/>
      <c r="J1211" s="418" t="str">
        <f t="shared" ref="J1211:J1222" si="842">IF(I1211&lt;&gt;"",IF(I1211="Lamanya &gt; 960 jam",15,IF(I1211="Lamanya 641-960 jam",9,IF(I1211="Lamanya 481-640 jam",6,IF(I1211="Lamanya 161-480 jam",3,IF(I1211="Lamanya 81-160 jam",2,IF(I1211="Lamanya 31-80 jam",1,IF(I1211="Lamanya 10-30 jam",0.5,""))))))),"rumus")</f>
        <v>rumus</v>
      </c>
      <c r="K1211" s="116"/>
      <c r="L1211" s="116"/>
      <c r="M1211" s="2"/>
      <c r="N1211" s="2"/>
      <c r="O1211" s="2"/>
      <c r="P1211" s="2"/>
      <c r="Q1211" s="2"/>
      <c r="R1211" s="2"/>
      <c r="S1211" s="2"/>
      <c r="T1211" s="2"/>
      <c r="U1211" s="2"/>
      <c r="V1211" s="2"/>
      <c r="W1211" s="2"/>
      <c r="X1211" s="2"/>
      <c r="Y1211" s="2"/>
      <c r="Z1211" s="2"/>
    </row>
    <row r="1212" spans="1:26" ht="15" customHeight="1" x14ac:dyDescent="0.25">
      <c r="A1212" s="109">
        <v>2</v>
      </c>
      <c r="B1212" s="397" t="s">
        <v>821</v>
      </c>
      <c r="C1212" s="106" t="s">
        <v>803</v>
      </c>
      <c r="D1212" s="106" t="str">
        <f t="shared" si="838"/>
        <v/>
      </c>
      <c r="E1212" s="398" t="str">
        <f t="shared" si="839"/>
        <v/>
      </c>
      <c r="F1212" s="398" t="str">
        <f t="shared" si="840"/>
        <v/>
      </c>
      <c r="G1212" s="399" t="str">
        <f t="shared" si="841"/>
        <v>rumus</v>
      </c>
      <c r="H1212" s="114" t="s">
        <v>26</v>
      </c>
      <c r="I1212" s="400"/>
      <c r="J1212" s="418" t="str">
        <f t="shared" si="842"/>
        <v>rumus</v>
      </c>
      <c r="K1212" s="116"/>
      <c r="L1212" s="116"/>
      <c r="M1212" s="2"/>
      <c r="N1212" s="2"/>
      <c r="O1212" s="2"/>
      <c r="P1212" s="2"/>
      <c r="Q1212" s="2"/>
      <c r="R1212" s="2"/>
      <c r="S1212" s="2"/>
      <c r="T1212" s="2"/>
      <c r="U1212" s="2"/>
      <c r="V1212" s="2"/>
      <c r="W1212" s="2"/>
      <c r="X1212" s="2"/>
      <c r="Y1212" s="2"/>
      <c r="Z1212" s="2"/>
    </row>
    <row r="1213" spans="1:26" ht="15" customHeight="1" x14ac:dyDescent="0.25">
      <c r="A1213" s="109">
        <v>3</v>
      </c>
      <c r="B1213" s="397" t="s">
        <v>821</v>
      </c>
      <c r="C1213" s="106" t="s">
        <v>804</v>
      </c>
      <c r="D1213" s="106" t="str">
        <f t="shared" si="838"/>
        <v/>
      </c>
      <c r="E1213" s="398" t="str">
        <f t="shared" si="839"/>
        <v/>
      </c>
      <c r="F1213" s="398" t="str">
        <f t="shared" si="840"/>
        <v/>
      </c>
      <c r="G1213" s="399" t="str">
        <f t="shared" si="841"/>
        <v>rumus</v>
      </c>
      <c r="H1213" s="114" t="s">
        <v>26</v>
      </c>
      <c r="I1213" s="400"/>
      <c r="J1213" s="418" t="str">
        <f t="shared" si="842"/>
        <v>rumus</v>
      </c>
      <c r="K1213" s="116"/>
      <c r="L1213" s="116"/>
      <c r="M1213" s="2"/>
      <c r="N1213" s="2"/>
      <c r="O1213" s="2"/>
      <c r="P1213" s="2"/>
      <c r="Q1213" s="2"/>
      <c r="R1213" s="2"/>
      <c r="S1213" s="2"/>
      <c r="T1213" s="2"/>
      <c r="U1213" s="2"/>
      <c r="V1213" s="2"/>
      <c r="W1213" s="2"/>
      <c r="X1213" s="2"/>
      <c r="Y1213" s="2"/>
      <c r="Z1213" s="2"/>
    </row>
    <row r="1214" spans="1:26" ht="15" customHeight="1" x14ac:dyDescent="0.25">
      <c r="A1214" s="109">
        <v>4</v>
      </c>
      <c r="B1214" s="397" t="s">
        <v>821</v>
      </c>
      <c r="C1214" s="106" t="s">
        <v>382</v>
      </c>
      <c r="D1214" s="106" t="str">
        <f t="shared" si="838"/>
        <v/>
      </c>
      <c r="E1214" s="398" t="str">
        <f t="shared" si="839"/>
        <v/>
      </c>
      <c r="F1214" s="398" t="str">
        <f t="shared" si="840"/>
        <v/>
      </c>
      <c r="G1214" s="399" t="str">
        <f t="shared" si="841"/>
        <v>rumus</v>
      </c>
      <c r="H1214" s="114" t="s">
        <v>26</v>
      </c>
      <c r="I1214" s="400"/>
      <c r="J1214" s="418" t="str">
        <f t="shared" si="842"/>
        <v>rumus</v>
      </c>
      <c r="K1214" s="116"/>
      <c r="L1214" s="116"/>
      <c r="M1214" s="2"/>
      <c r="N1214" s="2"/>
      <c r="O1214" s="2"/>
      <c r="P1214" s="2"/>
      <c r="Q1214" s="2"/>
      <c r="R1214" s="2"/>
      <c r="S1214" s="2"/>
      <c r="T1214" s="2"/>
      <c r="U1214" s="2"/>
      <c r="V1214" s="2"/>
      <c r="W1214" s="2"/>
      <c r="X1214" s="2"/>
      <c r="Y1214" s="2"/>
      <c r="Z1214" s="2"/>
    </row>
    <row r="1215" spans="1:26" ht="15" customHeight="1" x14ac:dyDescent="0.25">
      <c r="A1215" s="109">
        <v>5</v>
      </c>
      <c r="B1215" s="397" t="s">
        <v>821</v>
      </c>
      <c r="C1215" s="106" t="s">
        <v>383</v>
      </c>
      <c r="D1215" s="106" t="str">
        <f t="shared" si="838"/>
        <v/>
      </c>
      <c r="E1215" s="398" t="str">
        <f t="shared" si="839"/>
        <v/>
      </c>
      <c r="F1215" s="398" t="str">
        <f t="shared" si="840"/>
        <v/>
      </c>
      <c r="G1215" s="399" t="str">
        <f t="shared" si="841"/>
        <v>rumus</v>
      </c>
      <c r="H1215" s="114" t="s">
        <v>26</v>
      </c>
      <c r="I1215" s="400"/>
      <c r="J1215" s="418" t="str">
        <f t="shared" si="842"/>
        <v>rumus</v>
      </c>
      <c r="K1215" s="116"/>
      <c r="L1215" s="116"/>
      <c r="M1215" s="2"/>
      <c r="N1215" s="2"/>
      <c r="O1215" s="2"/>
      <c r="P1215" s="2"/>
      <c r="Q1215" s="2"/>
      <c r="R1215" s="2"/>
      <c r="S1215" s="2"/>
      <c r="T1215" s="2"/>
      <c r="U1215" s="2"/>
      <c r="V1215" s="2"/>
      <c r="W1215" s="2"/>
      <c r="X1215" s="2"/>
      <c r="Y1215" s="2"/>
      <c r="Z1215" s="2"/>
    </row>
    <row r="1216" spans="1:26" ht="15" customHeight="1" x14ac:dyDescent="0.25">
      <c r="A1216" s="109">
        <v>6</v>
      </c>
      <c r="B1216" s="397" t="s">
        <v>821</v>
      </c>
      <c r="C1216" s="106" t="s">
        <v>384</v>
      </c>
      <c r="D1216" s="106" t="str">
        <f t="shared" si="838"/>
        <v/>
      </c>
      <c r="E1216" s="398" t="str">
        <f t="shared" si="839"/>
        <v/>
      </c>
      <c r="F1216" s="398" t="str">
        <f t="shared" si="840"/>
        <v/>
      </c>
      <c r="G1216" s="399" t="str">
        <f t="shared" si="841"/>
        <v>rumus</v>
      </c>
      <c r="H1216" s="114" t="s">
        <v>26</v>
      </c>
      <c r="I1216" s="400"/>
      <c r="J1216" s="418" t="str">
        <f t="shared" si="842"/>
        <v>rumus</v>
      </c>
      <c r="K1216" s="116"/>
      <c r="L1216" s="116"/>
      <c r="M1216" s="2"/>
      <c r="N1216" s="2"/>
      <c r="O1216" s="2"/>
      <c r="P1216" s="2"/>
      <c r="Q1216" s="2"/>
      <c r="R1216" s="2"/>
      <c r="S1216" s="2"/>
      <c r="T1216" s="2"/>
      <c r="U1216" s="2"/>
      <c r="V1216" s="2"/>
      <c r="W1216" s="2"/>
      <c r="X1216" s="2"/>
      <c r="Y1216" s="2"/>
      <c r="Z1216" s="2"/>
    </row>
    <row r="1217" spans="1:26" ht="15" customHeight="1" x14ac:dyDescent="0.25">
      <c r="A1217" s="109">
        <v>7</v>
      </c>
      <c r="B1217" s="397" t="s">
        <v>821</v>
      </c>
      <c r="C1217" s="106" t="s">
        <v>385</v>
      </c>
      <c r="D1217" s="106" t="str">
        <f t="shared" si="838"/>
        <v/>
      </c>
      <c r="E1217" s="398" t="str">
        <f t="shared" si="839"/>
        <v/>
      </c>
      <c r="F1217" s="398" t="str">
        <f t="shared" si="840"/>
        <v/>
      </c>
      <c r="G1217" s="399" t="str">
        <f t="shared" si="841"/>
        <v>rumus</v>
      </c>
      <c r="H1217" s="114" t="s">
        <v>26</v>
      </c>
      <c r="I1217" s="400"/>
      <c r="J1217" s="418" t="str">
        <f t="shared" si="842"/>
        <v>rumus</v>
      </c>
      <c r="K1217" s="116"/>
      <c r="L1217" s="116"/>
      <c r="M1217" s="2"/>
      <c r="N1217" s="2"/>
      <c r="O1217" s="2"/>
      <c r="P1217" s="2"/>
      <c r="Q1217" s="2"/>
      <c r="R1217" s="2"/>
      <c r="S1217" s="2"/>
      <c r="T1217" s="2"/>
      <c r="U1217" s="2"/>
      <c r="V1217" s="2"/>
      <c r="W1217" s="2"/>
      <c r="X1217" s="2"/>
      <c r="Y1217" s="2"/>
      <c r="Z1217" s="2"/>
    </row>
    <row r="1218" spans="1:26" ht="15" customHeight="1" x14ac:dyDescent="0.25">
      <c r="A1218" s="109">
        <v>8</v>
      </c>
      <c r="B1218" s="397" t="s">
        <v>821</v>
      </c>
      <c r="C1218" s="106" t="s">
        <v>355</v>
      </c>
      <c r="D1218" s="106" t="str">
        <f t="shared" si="838"/>
        <v/>
      </c>
      <c r="E1218" s="398" t="str">
        <f t="shared" si="839"/>
        <v/>
      </c>
      <c r="F1218" s="398" t="str">
        <f t="shared" si="840"/>
        <v/>
      </c>
      <c r="G1218" s="399" t="str">
        <f t="shared" si="841"/>
        <v>rumus</v>
      </c>
      <c r="H1218" s="114" t="s">
        <v>26</v>
      </c>
      <c r="I1218" s="400"/>
      <c r="J1218" s="418" t="str">
        <f t="shared" si="842"/>
        <v>rumus</v>
      </c>
      <c r="K1218" s="116"/>
      <c r="L1218" s="116"/>
      <c r="M1218" s="2"/>
      <c r="N1218" s="2"/>
      <c r="O1218" s="2"/>
      <c r="P1218" s="2"/>
      <c r="Q1218" s="2"/>
      <c r="R1218" s="2"/>
      <c r="S1218" s="2"/>
      <c r="T1218" s="2"/>
      <c r="U1218" s="2"/>
      <c r="V1218" s="2"/>
      <c r="W1218" s="2"/>
      <c r="X1218" s="2"/>
      <c r="Y1218" s="2"/>
      <c r="Z1218" s="2"/>
    </row>
    <row r="1219" spans="1:26" ht="15" customHeight="1" x14ac:dyDescent="0.25">
      <c r="A1219" s="109">
        <v>9</v>
      </c>
      <c r="B1219" s="397" t="s">
        <v>821</v>
      </c>
      <c r="C1219" s="106" t="s">
        <v>312</v>
      </c>
      <c r="D1219" s="106" t="str">
        <f t="shared" si="838"/>
        <v/>
      </c>
      <c r="E1219" s="398" t="str">
        <f t="shared" si="839"/>
        <v/>
      </c>
      <c r="F1219" s="398" t="str">
        <f t="shared" si="840"/>
        <v/>
      </c>
      <c r="G1219" s="399" t="str">
        <f t="shared" si="841"/>
        <v>rumus</v>
      </c>
      <c r="H1219" s="114" t="s">
        <v>26</v>
      </c>
      <c r="I1219" s="400"/>
      <c r="J1219" s="418" t="str">
        <f t="shared" si="842"/>
        <v>rumus</v>
      </c>
      <c r="K1219" s="116"/>
      <c r="L1219" s="116"/>
      <c r="M1219" s="2"/>
      <c r="N1219" s="2"/>
      <c r="O1219" s="2"/>
      <c r="P1219" s="2"/>
      <c r="Q1219" s="2"/>
      <c r="R1219" s="2"/>
      <c r="S1219" s="2"/>
      <c r="T1219" s="2"/>
      <c r="U1219" s="2"/>
      <c r="V1219" s="2"/>
      <c r="W1219" s="2"/>
      <c r="X1219" s="2"/>
      <c r="Y1219" s="2"/>
      <c r="Z1219" s="2"/>
    </row>
    <row r="1220" spans="1:26" ht="15" customHeight="1" x14ac:dyDescent="0.25">
      <c r="A1220" s="109">
        <v>10</v>
      </c>
      <c r="B1220" s="397" t="s">
        <v>821</v>
      </c>
      <c r="C1220" s="106" t="s">
        <v>317</v>
      </c>
      <c r="D1220" s="106" t="str">
        <f t="shared" si="838"/>
        <v/>
      </c>
      <c r="E1220" s="398" t="str">
        <f t="shared" si="839"/>
        <v/>
      </c>
      <c r="F1220" s="398" t="str">
        <f t="shared" si="840"/>
        <v/>
      </c>
      <c r="G1220" s="399" t="str">
        <f t="shared" si="841"/>
        <v>rumus</v>
      </c>
      <c r="H1220" s="114" t="s">
        <v>26</v>
      </c>
      <c r="I1220" s="400"/>
      <c r="J1220" s="418" t="str">
        <f t="shared" si="842"/>
        <v>rumus</v>
      </c>
      <c r="K1220" s="116"/>
      <c r="L1220" s="116"/>
      <c r="M1220" s="2"/>
      <c r="N1220" s="2"/>
      <c r="O1220" s="2"/>
      <c r="P1220" s="2"/>
      <c r="Q1220" s="2"/>
      <c r="R1220" s="2"/>
      <c r="S1220" s="2"/>
      <c r="T1220" s="2"/>
      <c r="U1220" s="2"/>
      <c r="V1220" s="2"/>
      <c r="W1220" s="2"/>
      <c r="X1220" s="2"/>
      <c r="Y1220" s="2"/>
      <c r="Z1220" s="2"/>
    </row>
    <row r="1221" spans="1:26" ht="15" customHeight="1" x14ac:dyDescent="0.25">
      <c r="A1221" s="109">
        <v>11</v>
      </c>
      <c r="B1221" s="397" t="s">
        <v>821</v>
      </c>
      <c r="C1221" s="106" t="s">
        <v>319</v>
      </c>
      <c r="D1221" s="106" t="str">
        <f t="shared" si="838"/>
        <v/>
      </c>
      <c r="E1221" s="398" t="str">
        <f t="shared" si="839"/>
        <v/>
      </c>
      <c r="F1221" s="398" t="str">
        <f t="shared" si="840"/>
        <v/>
      </c>
      <c r="G1221" s="399" t="str">
        <f t="shared" si="841"/>
        <v>rumus</v>
      </c>
      <c r="H1221" s="114" t="s">
        <v>26</v>
      </c>
      <c r="I1221" s="400"/>
      <c r="J1221" s="418" t="str">
        <f t="shared" si="842"/>
        <v>rumus</v>
      </c>
      <c r="K1221" s="116"/>
      <c r="L1221" s="116"/>
      <c r="M1221" s="2"/>
      <c r="N1221" s="2"/>
      <c r="O1221" s="2"/>
      <c r="P1221" s="2"/>
      <c r="Q1221" s="2"/>
      <c r="R1221" s="2"/>
      <c r="S1221" s="2"/>
      <c r="T1221" s="2"/>
      <c r="U1221" s="2"/>
      <c r="V1221" s="2"/>
      <c r="W1221" s="2"/>
      <c r="X1221" s="2"/>
      <c r="Y1221" s="2"/>
      <c r="Z1221" s="2"/>
    </row>
    <row r="1222" spans="1:26" ht="15" customHeight="1" x14ac:dyDescent="0.25">
      <c r="A1222" s="109">
        <v>12</v>
      </c>
      <c r="B1222" s="397" t="s">
        <v>821</v>
      </c>
      <c r="C1222" s="106" t="s">
        <v>321</v>
      </c>
      <c r="D1222" s="106" t="str">
        <f t="shared" si="838"/>
        <v/>
      </c>
      <c r="E1222" s="398" t="str">
        <f t="shared" si="839"/>
        <v/>
      </c>
      <c r="F1222" s="398" t="str">
        <f t="shared" si="840"/>
        <v/>
      </c>
      <c r="G1222" s="399" t="str">
        <f t="shared" si="841"/>
        <v>rumus</v>
      </c>
      <c r="H1222" s="114" t="s">
        <v>26</v>
      </c>
      <c r="I1222" s="400"/>
      <c r="J1222" s="418" t="str">
        <f t="shared" si="842"/>
        <v>rumus</v>
      </c>
      <c r="K1222" s="116"/>
      <c r="L1222" s="116"/>
      <c r="M1222" s="2"/>
      <c r="N1222" s="2"/>
      <c r="O1222" s="2"/>
      <c r="P1222" s="2"/>
      <c r="Q1222" s="2"/>
      <c r="R1222" s="2"/>
      <c r="S1222" s="2"/>
      <c r="T1222" s="2"/>
      <c r="U1222" s="2"/>
      <c r="V1222" s="2"/>
      <c r="W1222" s="2"/>
      <c r="X1222" s="2"/>
      <c r="Y1222" s="2"/>
      <c r="Z1222" s="2"/>
    </row>
    <row r="1223" spans="1:26" ht="15" customHeight="1" x14ac:dyDescent="0.25">
      <c r="A1223" s="124"/>
      <c r="B1223" s="614" t="s">
        <v>304</v>
      </c>
      <c r="C1223" s="615"/>
      <c r="D1223" s="616"/>
      <c r="E1223" s="403"/>
      <c r="F1223" s="403"/>
      <c r="G1223" s="113">
        <f>SUM(K1199:K1223)</f>
        <v>0</v>
      </c>
      <c r="H1223" s="114"/>
      <c r="I1223" s="116"/>
      <c r="J1223" s="116"/>
      <c r="K1223" s="116">
        <f>SUM(J1211:J1222)</f>
        <v>0</v>
      </c>
      <c r="L1223" s="2"/>
      <c r="M1223" s="2"/>
      <c r="N1223" s="2"/>
      <c r="O1223" s="2"/>
      <c r="P1223" s="2"/>
      <c r="Q1223" s="2"/>
      <c r="R1223" s="2"/>
      <c r="S1223" s="2"/>
      <c r="T1223" s="2"/>
      <c r="U1223" s="2"/>
      <c r="V1223" s="2"/>
      <c r="W1223" s="2"/>
      <c r="X1223" s="2"/>
      <c r="Y1223" s="2"/>
      <c r="Z1223" s="2"/>
    </row>
    <row r="1224" spans="1:26" ht="15" customHeight="1" x14ac:dyDescent="0.25">
      <c r="A1224" s="124"/>
      <c r="B1224" s="614" t="s">
        <v>824</v>
      </c>
      <c r="C1224" s="615"/>
      <c r="D1224" s="616"/>
      <c r="E1224" s="403"/>
      <c r="F1224" s="403"/>
      <c r="G1224" s="113">
        <f>G206+G234+G262+G556+G861+G935+G1009+G1037+G1111+G1139+G1167+G1195+G1223</f>
        <v>419</v>
      </c>
      <c r="H1224" s="114"/>
      <c r="I1224" s="116"/>
      <c r="J1224" s="116"/>
      <c r="K1224" s="116"/>
      <c r="L1224" s="2"/>
      <c r="M1224" s="2"/>
      <c r="N1224" s="2"/>
      <c r="O1224" s="2"/>
      <c r="P1224" s="2"/>
      <c r="Q1224" s="2"/>
      <c r="R1224" s="2"/>
      <c r="S1224" s="2"/>
      <c r="T1224" s="2"/>
      <c r="U1224" s="2"/>
      <c r="V1224" s="2"/>
      <c r="W1224" s="2"/>
      <c r="X1224" s="2"/>
      <c r="Y1224" s="2"/>
      <c r="Z1224" s="2"/>
    </row>
    <row r="1225" spans="1:26" ht="15" customHeight="1" x14ac:dyDescent="0.25">
      <c r="A1225" s="124"/>
      <c r="B1225" s="614" t="s">
        <v>825</v>
      </c>
      <c r="C1225" s="615"/>
      <c r="D1225" s="616"/>
      <c r="E1225" s="403"/>
      <c r="F1225" s="403"/>
      <c r="G1225" s="113">
        <f>G35+G1224</f>
        <v>619</v>
      </c>
      <c r="H1225" s="114"/>
      <c r="I1225" s="116"/>
      <c r="J1225" s="118"/>
      <c r="K1225" s="116"/>
      <c r="L1225" s="116"/>
      <c r="M1225" s="116"/>
      <c r="N1225" s="2"/>
      <c r="O1225" s="2"/>
      <c r="P1225" s="2"/>
      <c r="Q1225" s="2"/>
      <c r="R1225" s="2"/>
      <c r="S1225" s="2"/>
      <c r="T1225" s="2"/>
      <c r="U1225" s="2"/>
      <c r="V1225" s="2"/>
      <c r="W1225" s="2"/>
      <c r="X1225" s="2"/>
      <c r="Y1225" s="2"/>
      <c r="Z1225" s="2"/>
    </row>
    <row r="1226" spans="1:26" ht="15" customHeight="1" x14ac:dyDescent="0.25">
      <c r="A1226" s="617" t="s">
        <v>826</v>
      </c>
      <c r="B1226" s="613"/>
      <c r="C1226" s="613"/>
      <c r="D1226" s="613"/>
      <c r="E1226" s="613"/>
      <c r="F1226" s="613"/>
      <c r="G1226" s="613"/>
      <c r="H1226" s="613"/>
      <c r="I1226" s="613"/>
      <c r="J1226" s="4"/>
      <c r="K1226" s="4"/>
      <c r="L1226" s="4"/>
      <c r="M1226" s="4"/>
      <c r="N1226" s="4"/>
      <c r="O1226" s="4"/>
      <c r="P1226" s="4"/>
      <c r="Q1226" s="4"/>
      <c r="R1226" s="4"/>
      <c r="S1226" s="4"/>
      <c r="T1226" s="4"/>
      <c r="U1226" s="4"/>
      <c r="V1226" s="4"/>
      <c r="W1226" s="4"/>
      <c r="X1226" s="4"/>
      <c r="Y1226" s="4"/>
      <c r="Z1226" s="4"/>
    </row>
    <row r="1227" spans="1:26" ht="15.75" customHeight="1" x14ac:dyDescent="0.25">
      <c r="A1227" s="618"/>
      <c r="B1227" s="613"/>
      <c r="C1227" s="613"/>
      <c r="D1227" s="613"/>
      <c r="E1227" s="613"/>
      <c r="F1227" s="613"/>
      <c r="G1227" s="613"/>
      <c r="H1227" s="613"/>
      <c r="I1227" s="613"/>
      <c r="J1227" s="4"/>
      <c r="K1227" s="4"/>
      <c r="L1227" s="4"/>
      <c r="M1227" s="4"/>
      <c r="N1227" s="4"/>
      <c r="O1227" s="4"/>
      <c r="P1227" s="4"/>
      <c r="Q1227" s="4"/>
      <c r="R1227" s="4"/>
      <c r="S1227" s="4"/>
      <c r="T1227" s="4"/>
      <c r="U1227" s="4"/>
      <c r="V1227" s="4"/>
      <c r="W1227" s="4"/>
      <c r="X1227" s="4"/>
      <c r="Y1227" s="4"/>
      <c r="Z1227" s="4"/>
    </row>
    <row r="1228" spans="1:26" ht="15" customHeight="1" x14ac:dyDescent="0.25">
      <c r="A1228" s="4"/>
      <c r="B1228" s="4"/>
      <c r="C1228" s="4"/>
      <c r="D1228" s="4"/>
      <c r="E1228" s="4"/>
      <c r="F1228" s="4"/>
      <c r="G1228" s="130" t="s">
        <v>827</v>
      </c>
      <c r="H1228" s="131" t="str">
        <f ca="1">"      "&amp;TEXT(TODAY()," mmmm yyyy")</f>
        <v xml:space="preserve">       April 2026</v>
      </c>
      <c r="I1228" s="4"/>
      <c r="J1228" s="4"/>
      <c r="K1228" s="4"/>
      <c r="L1228" s="4"/>
      <c r="M1228" s="4"/>
      <c r="N1228" s="4"/>
      <c r="O1228" s="4"/>
      <c r="P1228" s="4"/>
      <c r="Q1228" s="4"/>
      <c r="R1228" s="4"/>
      <c r="S1228" s="4"/>
      <c r="T1228" s="4"/>
      <c r="U1228" s="4"/>
      <c r="V1228" s="4"/>
      <c r="W1228" s="4"/>
      <c r="X1228" s="4"/>
      <c r="Y1228" s="4"/>
      <c r="Z1228" s="4"/>
    </row>
    <row r="1229" spans="1:26" ht="15" customHeight="1" x14ac:dyDescent="0.25">
      <c r="A1229" s="4"/>
      <c r="B1229" s="4"/>
      <c r="C1229" s="4"/>
      <c r="D1229" s="132"/>
      <c r="E1229" s="132"/>
      <c r="F1229" s="132"/>
      <c r="G1229" s="618" t="str">
        <f>"Ketua Program Studi"&amp;" "&amp;'LAMPIRAN I DONE'!F22</f>
        <v>Ketua Program Studi S1 Rekayasa Perangkat Lunak Kampus Surabaya Fakultas Informatika</v>
      </c>
      <c r="H1229" s="613"/>
      <c r="I1229" s="4"/>
      <c r="J1229" s="4"/>
      <c r="K1229" s="4"/>
      <c r="L1229" s="4"/>
      <c r="M1229" s="4"/>
      <c r="N1229" s="4"/>
      <c r="O1229" s="4"/>
      <c r="P1229" s="4"/>
      <c r="Q1229" s="4"/>
      <c r="R1229" s="4"/>
      <c r="S1229" s="4"/>
      <c r="T1229" s="4"/>
      <c r="U1229" s="4"/>
      <c r="V1229" s="4"/>
      <c r="W1229" s="4"/>
      <c r="X1229" s="4"/>
      <c r="Y1229" s="4"/>
      <c r="Z1229" s="4"/>
    </row>
    <row r="1230" spans="1:26" ht="15.75" customHeight="1" x14ac:dyDescent="0.25">
      <c r="D1230" s="2"/>
      <c r="E1230" s="2"/>
      <c r="F1230" s="2"/>
      <c r="G1230" s="613"/>
      <c r="H1230" s="613"/>
    </row>
    <row r="1231" spans="1:26" ht="15" customHeight="1" x14ac:dyDescent="0.25">
      <c r="C1231" s="111"/>
      <c r="D1231" s="111"/>
      <c r="E1231" s="111"/>
      <c r="F1231" s="111"/>
      <c r="G1231" s="111"/>
      <c r="H1231" s="111"/>
    </row>
    <row r="1232" spans="1:26" ht="15.75" customHeight="1" x14ac:dyDescent="0.2"/>
    <row r="1233" spans="1:26" ht="15.75" customHeight="1" x14ac:dyDescent="0.2"/>
    <row r="1234" spans="1:26" ht="15.75" customHeight="1" x14ac:dyDescent="0.2"/>
    <row r="1235" spans="1:26" ht="15.75" customHeight="1" x14ac:dyDescent="0.25">
      <c r="D1235" s="2"/>
      <c r="E1235" s="2"/>
      <c r="F1235" s="2"/>
      <c r="G1235" s="619" t="str">
        <f>IF($C$11="","",$C$11)</f>
        <v/>
      </c>
      <c r="H1235" s="613"/>
    </row>
    <row r="1236" spans="1:26" ht="15.75" customHeight="1" x14ac:dyDescent="0.2"/>
    <row r="1237" spans="1:26" ht="15.75" customHeight="1" x14ac:dyDescent="0.2"/>
    <row r="1238" spans="1:26" ht="15" customHeight="1" x14ac:dyDescent="0.25">
      <c r="A1238" s="612" t="s">
        <v>828</v>
      </c>
      <c r="B1238" s="613"/>
      <c r="C1238" s="613"/>
      <c r="D1238" s="613"/>
      <c r="E1238" s="613"/>
      <c r="F1238" s="613"/>
      <c r="G1238" s="613"/>
      <c r="H1238" s="613"/>
      <c r="I1238" s="613"/>
      <c r="J1238" s="4"/>
      <c r="K1238" s="4"/>
      <c r="L1238" s="4"/>
      <c r="M1238" s="4"/>
      <c r="N1238" s="4"/>
      <c r="O1238" s="4"/>
      <c r="P1238" s="4"/>
      <c r="Q1238" s="4"/>
      <c r="R1238" s="4"/>
      <c r="S1238" s="4"/>
      <c r="T1238" s="4"/>
      <c r="U1238" s="4"/>
      <c r="V1238" s="4"/>
      <c r="W1238" s="4"/>
      <c r="X1238" s="4"/>
      <c r="Y1238" s="4"/>
      <c r="Z1238" s="4"/>
    </row>
    <row r="1239" spans="1:26" ht="15" customHeight="1" x14ac:dyDescent="0.25">
      <c r="A1239" s="612" t="s">
        <v>829</v>
      </c>
      <c r="B1239" s="613"/>
      <c r="C1239" s="613"/>
      <c r="D1239" s="613"/>
      <c r="E1239" s="613"/>
      <c r="F1239" s="613"/>
      <c r="G1239" s="613"/>
      <c r="H1239" s="613"/>
      <c r="I1239" s="613"/>
      <c r="J1239" s="4"/>
      <c r="K1239" s="4"/>
      <c r="L1239" s="4"/>
      <c r="M1239" s="4"/>
      <c r="N1239" s="4"/>
      <c r="O1239" s="4"/>
      <c r="P1239" s="4"/>
      <c r="Q1239" s="4"/>
      <c r="R1239" s="4"/>
      <c r="S1239" s="4"/>
      <c r="T1239" s="4"/>
      <c r="U1239" s="4"/>
      <c r="V1239" s="4"/>
      <c r="W1239" s="4"/>
      <c r="X1239" s="4"/>
      <c r="Y1239" s="4"/>
      <c r="Z1239" s="4"/>
    </row>
    <row r="1240" spans="1:26" ht="15" customHeight="1" x14ac:dyDescent="0.25">
      <c r="A1240" s="612" t="s">
        <v>830</v>
      </c>
      <c r="B1240" s="613"/>
      <c r="C1240" s="613"/>
      <c r="D1240" s="613"/>
      <c r="E1240" s="613"/>
      <c r="F1240" s="613"/>
      <c r="G1240" s="613"/>
      <c r="H1240" s="613"/>
      <c r="I1240" s="613"/>
      <c r="J1240" s="4"/>
      <c r="K1240" s="4"/>
      <c r="L1240" s="4"/>
      <c r="M1240" s="4"/>
      <c r="N1240" s="4"/>
      <c r="O1240" s="4"/>
      <c r="P1240" s="4"/>
      <c r="Q1240" s="4"/>
      <c r="R1240" s="4"/>
      <c r="S1240" s="4"/>
      <c r="T1240" s="4"/>
      <c r="U1240" s="4"/>
      <c r="V1240" s="4"/>
      <c r="W1240" s="4"/>
      <c r="X1240" s="4"/>
      <c r="Y1240" s="4"/>
      <c r="Z1240" s="4"/>
    </row>
    <row r="1241" spans="1:26" ht="15" customHeight="1" x14ac:dyDescent="0.25">
      <c r="A1241" s="612" t="s">
        <v>831</v>
      </c>
      <c r="B1241" s="613"/>
      <c r="C1241" s="613"/>
      <c r="D1241" s="613"/>
      <c r="E1241" s="613"/>
      <c r="F1241" s="613"/>
      <c r="G1241" s="613"/>
      <c r="H1241" s="613"/>
      <c r="I1241" s="613"/>
      <c r="J1241" s="4"/>
      <c r="K1241" s="4"/>
      <c r="L1241" s="4"/>
      <c r="M1241" s="4"/>
      <c r="N1241" s="4"/>
      <c r="O1241" s="4"/>
      <c r="P1241" s="4"/>
      <c r="Q1241" s="4"/>
      <c r="R1241" s="4"/>
      <c r="S1241" s="4"/>
      <c r="T1241" s="4"/>
      <c r="U1241" s="4"/>
      <c r="V1241" s="4"/>
      <c r="W1241" s="4"/>
      <c r="X1241" s="4"/>
      <c r="Y1241" s="4"/>
      <c r="Z1241" s="4"/>
    </row>
  </sheetData>
  <mergeCells count="46">
    <mergeCell ref="G6:H6"/>
    <mergeCell ref="A8:H8"/>
    <mergeCell ref="A9:H9"/>
    <mergeCell ref="A10:H10"/>
    <mergeCell ref="C11:H11"/>
    <mergeCell ref="C12:H12"/>
    <mergeCell ref="C13:H13"/>
    <mergeCell ref="C14:H14"/>
    <mergeCell ref="C15:H15"/>
    <mergeCell ref="A16:H16"/>
    <mergeCell ref="C17:H17"/>
    <mergeCell ref="C18:H18"/>
    <mergeCell ref="C19:H19"/>
    <mergeCell ref="C20:H20"/>
    <mergeCell ref="C21:H21"/>
    <mergeCell ref="A22:H22"/>
    <mergeCell ref="J23:K23"/>
    <mergeCell ref="B26:H26"/>
    <mergeCell ref="B30:D30"/>
    <mergeCell ref="B31:H31"/>
    <mergeCell ref="B34:D34"/>
    <mergeCell ref="B35:D35"/>
    <mergeCell ref="B37:H37"/>
    <mergeCell ref="B206:D206"/>
    <mergeCell ref="B234:D234"/>
    <mergeCell ref="B262:D262"/>
    <mergeCell ref="B556:D556"/>
    <mergeCell ref="B861:D861"/>
    <mergeCell ref="B935:D935"/>
    <mergeCell ref="B1009:D1009"/>
    <mergeCell ref="B1037:D1037"/>
    <mergeCell ref="B1111:D1111"/>
    <mergeCell ref="B1139:D1139"/>
    <mergeCell ref="B1167:D1167"/>
    <mergeCell ref="B1195:D1195"/>
    <mergeCell ref="A1238:I1238"/>
    <mergeCell ref="A1239:I1239"/>
    <mergeCell ref="A1240:I1240"/>
    <mergeCell ref="A1241:I1241"/>
    <mergeCell ref="B1223:D1223"/>
    <mergeCell ref="B1224:D1224"/>
    <mergeCell ref="B1225:D1225"/>
    <mergeCell ref="A1226:I1226"/>
    <mergeCell ref="A1227:I1227"/>
    <mergeCell ref="G1229:H1230"/>
    <mergeCell ref="G1235:H1235"/>
  </mergeCells>
  <conditionalFormatting sqref="B40:B44 B47:B51 B54:B58 B61:B65 B68:B72 B76:B79 B83:B86 B89:B93 B97:B100 B104:B107 B124:B128 B131:B135 B138:B142 B145:B149 B152:B156 B160:B163 B167:B170 B181:B184 B189:B191">
    <cfRule type="expression" dxfId="360" priority="1">
      <formula>B40="nama mk, sks, kls"</formula>
    </cfRule>
  </conditionalFormatting>
  <conditionalFormatting sqref="B111:B114">
    <cfRule type="expression" dxfId="359" priority="2">
      <formula>B111="nama mk, sks, kls"</formula>
    </cfRule>
  </conditionalFormatting>
  <conditionalFormatting sqref="B120:B121">
    <cfRule type="expression" dxfId="358" priority="3">
      <formula>B120="nama mk, sks, kls"</formula>
    </cfRule>
  </conditionalFormatting>
  <conditionalFormatting sqref="B174:B177">
    <cfRule type="expression" dxfId="357" priority="4">
      <formula>B174="nama mk, sks, kls"</formula>
    </cfRule>
  </conditionalFormatting>
  <conditionalFormatting sqref="B195:B198">
    <cfRule type="expression" dxfId="356" priority="5">
      <formula>B195="nama mk, sks, kls"</formula>
    </cfRule>
  </conditionalFormatting>
  <conditionalFormatting sqref="B202:B205">
    <cfRule type="expression" dxfId="355" priority="6">
      <formula>B202="nama mk, sks, kls"</formula>
    </cfRule>
  </conditionalFormatting>
  <conditionalFormatting sqref="B209:B220">
    <cfRule type="expression" dxfId="354" priority="7">
      <formula>B209="Membimbing seminar, nama mhs (nim)"</formula>
    </cfRule>
  </conditionalFormatting>
  <conditionalFormatting sqref="B222:B233">
    <cfRule type="expression" dxfId="353" priority="8">
      <formula>B222="Membimbing seminar, nama mhs (nim)"</formula>
    </cfRule>
  </conditionalFormatting>
  <conditionalFormatting sqref="B237:B248">
    <cfRule type="expression" dxfId="352" priority="9">
      <formula>B237="Membimbing KKN/PKL/PKN"</formula>
    </cfRule>
  </conditionalFormatting>
  <conditionalFormatting sqref="B250:B261">
    <cfRule type="expression" dxfId="351" priority="10">
      <formula>B250="Membimbing KKN/PKL/PKN"</formula>
    </cfRule>
  </conditionalFormatting>
  <conditionalFormatting sqref="B268:B273">
    <cfRule type="expression" dxfId="350" priority="11">
      <formula>B268="nama mhs (nim)"</formula>
    </cfRule>
  </conditionalFormatting>
  <conditionalFormatting sqref="B274">
    <cfRule type="expression" dxfId="349" priority="12">
      <formula>B274="nama mhs (nim)"</formula>
    </cfRule>
  </conditionalFormatting>
  <conditionalFormatting sqref="B281:B285">
    <cfRule type="expression" dxfId="348" priority="13">
      <formula>B281="nama mhs (nim)"</formula>
    </cfRule>
  </conditionalFormatting>
  <conditionalFormatting sqref="B292:B296">
    <cfRule type="expression" dxfId="347" priority="14">
      <formula>B292="nama mhs (nim)"</formula>
    </cfRule>
  </conditionalFormatting>
  <conditionalFormatting sqref="B301:B307">
    <cfRule type="expression" dxfId="346" priority="15">
      <formula>B301="nama mhs (nim)"</formula>
    </cfRule>
  </conditionalFormatting>
  <conditionalFormatting sqref="B317:B318">
    <cfRule type="expression" dxfId="345" priority="16">
      <formula>B317="nama mhs (nim)"</formula>
    </cfRule>
  </conditionalFormatting>
  <conditionalFormatting sqref="B321:B329">
    <cfRule type="expression" dxfId="344" priority="17">
      <formula>B321="nama mhs (nim)"</formula>
    </cfRule>
  </conditionalFormatting>
  <conditionalFormatting sqref="B331:B340">
    <cfRule type="expression" dxfId="343" priority="18">
      <formula>B331="nama mhs (nim)"</formula>
    </cfRule>
  </conditionalFormatting>
  <conditionalFormatting sqref="B342:B351">
    <cfRule type="expression" dxfId="342" priority="19">
      <formula>B342="nama mhs (nim)"</formula>
    </cfRule>
  </conditionalFormatting>
  <conditionalFormatting sqref="B353:B362">
    <cfRule type="expression" dxfId="341" priority="20">
      <formula>B353="nama mhs (nim)"</formula>
    </cfRule>
  </conditionalFormatting>
  <conditionalFormatting sqref="B364:B373">
    <cfRule type="expression" dxfId="340" priority="21">
      <formula>B364="nama mhs (nim)"</formula>
    </cfRule>
  </conditionalFormatting>
  <conditionalFormatting sqref="B375:B384">
    <cfRule type="expression" dxfId="339" priority="22">
      <formula>B375="nama mhs (nim)"</formula>
    </cfRule>
  </conditionalFormatting>
  <conditionalFormatting sqref="B386:B395">
    <cfRule type="expression" dxfId="338" priority="23">
      <formula>B386="nama mhs (nim)"</formula>
    </cfRule>
  </conditionalFormatting>
  <conditionalFormatting sqref="B471:B477">
    <cfRule type="expression" dxfId="337" priority="29">
      <formula>B471="nama mhs (nim)"</formula>
    </cfRule>
  </conditionalFormatting>
  <conditionalFormatting sqref="B517:B522">
    <cfRule type="expression" dxfId="336" priority="32">
      <formula>B517="nama mhs (nim)"</formula>
    </cfRule>
  </conditionalFormatting>
  <conditionalFormatting sqref="B528:B533">
    <cfRule type="expression" dxfId="335" priority="33">
      <formula>B528="nama mhs (nim)"</formula>
    </cfRule>
  </conditionalFormatting>
  <conditionalFormatting sqref="B539:B544">
    <cfRule type="expression" dxfId="334" priority="34">
      <formula>B539="nama mhs (nim)"</formula>
    </cfRule>
  </conditionalFormatting>
  <conditionalFormatting sqref="B546:B555">
    <cfRule type="expression" dxfId="333" priority="35">
      <formula>B546="nama mhs (nim)"</formula>
    </cfRule>
  </conditionalFormatting>
  <conditionalFormatting sqref="B571:B579">
    <cfRule type="expression" dxfId="332" priority="37">
      <formula>B571="nama mhs (nim)"</formula>
    </cfRule>
  </conditionalFormatting>
  <conditionalFormatting sqref="B588:B590">
    <cfRule type="expression" dxfId="331" priority="38">
      <formula>B588="nama mhs (nim)"</formula>
    </cfRule>
  </conditionalFormatting>
  <conditionalFormatting sqref="B597:B601">
    <cfRule type="expression" dxfId="330" priority="39">
      <formula>B597="nama mhs (nim)"</formula>
    </cfRule>
  </conditionalFormatting>
  <conditionalFormatting sqref="B605:B612">
    <cfRule type="expression" dxfId="329" priority="40">
      <formula>B605="nama mhs (nim)"</formula>
    </cfRule>
  </conditionalFormatting>
  <conditionalFormatting sqref="B616:B623">
    <cfRule type="expression" dxfId="328" priority="41">
      <formula>B616="nama mhs (nim)"</formula>
    </cfRule>
  </conditionalFormatting>
  <conditionalFormatting sqref="B626:B634">
    <cfRule type="expression" dxfId="327" priority="42">
      <formula>B626="nama mhs (nim)"</formula>
    </cfRule>
  </conditionalFormatting>
  <conditionalFormatting sqref="B638:B645">
    <cfRule type="expression" dxfId="326" priority="43">
      <formula>B638="nama mhs (nim)"</formula>
    </cfRule>
  </conditionalFormatting>
  <conditionalFormatting sqref="B654:B656">
    <cfRule type="expression" dxfId="325" priority="44">
      <formula>B654="nama mhs (nim)"</formula>
    </cfRule>
  </conditionalFormatting>
  <conditionalFormatting sqref="B658:B667">
    <cfRule type="expression" dxfId="324" priority="45">
      <formula>B658="nama mhs (nim)"</formula>
    </cfRule>
  </conditionalFormatting>
  <conditionalFormatting sqref="B669:B678">
    <cfRule type="expression" dxfId="323" priority="46">
      <formula>B669="nama mhs (nim)"</formula>
    </cfRule>
  </conditionalFormatting>
  <conditionalFormatting sqref="B680:B689">
    <cfRule type="expression" dxfId="322" priority="47">
      <formula>B680="nama mhs (nim)"</formula>
    </cfRule>
  </conditionalFormatting>
  <conditionalFormatting sqref="B695:B700">
    <cfRule type="expression" dxfId="321" priority="48">
      <formula>B695="nama mhs (nim)"</formula>
    </cfRule>
  </conditionalFormatting>
  <conditionalFormatting sqref="B735">
    <cfRule type="expression" dxfId="320" priority="49">
      <formula>B735="nama mhs (nim)"</formula>
    </cfRule>
  </conditionalFormatting>
  <conditionalFormatting sqref="B743:B746">
    <cfRule type="expression" dxfId="319" priority="50">
      <formula>B743="nama mhs (nim)"</formula>
    </cfRule>
  </conditionalFormatting>
  <conditionalFormatting sqref="B770">
    <cfRule type="expression" dxfId="318" priority="52">
      <formula>B770="nama mhs (nim)"</formula>
    </cfRule>
  </conditionalFormatting>
  <conditionalFormatting sqref="B811:B816">
    <cfRule type="expression" dxfId="317" priority="55">
      <formula>B811="nama mhs (nim)"</formula>
    </cfRule>
  </conditionalFormatting>
  <conditionalFormatting sqref="B818:B827">
    <cfRule type="expression" dxfId="316" priority="56">
      <formula>B818="nama mhs (nim)"</formula>
    </cfRule>
  </conditionalFormatting>
  <conditionalFormatting sqref="B829:B838">
    <cfRule type="expression" dxfId="315" priority="57">
      <formula>B829="nama mhs (nim)"</formula>
    </cfRule>
  </conditionalFormatting>
  <conditionalFormatting sqref="B840:B849">
    <cfRule type="expression" dxfId="314" priority="58">
      <formula>B840="nama mhs (nim)"</formula>
    </cfRule>
  </conditionalFormatting>
  <conditionalFormatting sqref="B851:B860">
    <cfRule type="expression" dxfId="313" priority="59">
      <formula>B851="nama mhs (nim)"</formula>
    </cfRule>
  </conditionalFormatting>
  <conditionalFormatting sqref="B864:B865">
    <cfRule type="expression" dxfId="312" priority="60">
      <formula>B864="Membina kegiatan mahasiswa"</formula>
    </cfRule>
  </conditionalFormatting>
  <conditionalFormatting sqref="B867:B868 B870:B871 B873:B874 B876:B877 B879:B880 B882:B883 B885:B886 B888:B889 B891:B892">
    <cfRule type="expression" dxfId="311" priority="61">
      <formula>B867="Membina kegiatan mahasiswa"</formula>
    </cfRule>
  </conditionalFormatting>
  <conditionalFormatting sqref="B894:B895 B897:B898">
    <cfRule type="expression" dxfId="310" priority="62">
      <formula>B894="Membina kegiatan mahasiswa"</formula>
    </cfRule>
  </conditionalFormatting>
  <conditionalFormatting sqref="B900:B901">
    <cfRule type="expression" dxfId="309" priority="63">
      <formula>B900="Membina kegiatan mahasiswa"</formula>
    </cfRule>
  </conditionalFormatting>
  <conditionalFormatting sqref="B903:B904 B906:B907 B909:B910 B912:B913 B915:B916 B918:B919 B921:B922 B924:B925 B927:B928">
    <cfRule type="expression" dxfId="308" priority="64">
      <formula>B903="Membina kegiatan mahasiswa"</formula>
    </cfRule>
  </conditionalFormatting>
  <conditionalFormatting sqref="B930:B931 B933:B934">
    <cfRule type="expression" dxfId="307" priority="65">
      <formula>B930="Membina kegiatan mahasiswa"</formula>
    </cfRule>
  </conditionalFormatting>
  <conditionalFormatting sqref="B938:B939">
    <cfRule type="expression" dxfId="306" priority="66">
      <formula>B938="mata kuliah"</formula>
    </cfRule>
  </conditionalFormatting>
  <conditionalFormatting sqref="B941:B942">
    <cfRule type="expression" dxfId="305" priority="67">
      <formula>B941="mata kuliah"</formula>
    </cfRule>
  </conditionalFormatting>
  <conditionalFormatting sqref="B944:B945">
    <cfRule type="expression" dxfId="304" priority="68">
      <formula>B944="mata kuliah"</formula>
    </cfRule>
  </conditionalFormatting>
  <conditionalFormatting sqref="B947:B948">
    <cfRule type="expression" dxfId="303" priority="69">
      <formula>B947="mata kuliah"</formula>
    </cfRule>
  </conditionalFormatting>
  <conditionalFormatting sqref="B950:B951">
    <cfRule type="expression" dxfId="302" priority="70">
      <formula>B950="mata kuliah"</formula>
    </cfRule>
  </conditionalFormatting>
  <conditionalFormatting sqref="B953:B954">
    <cfRule type="expression" dxfId="301" priority="71">
      <formula>B953="mata kuliah"</formula>
    </cfRule>
  </conditionalFormatting>
  <conditionalFormatting sqref="B956:B957">
    <cfRule type="expression" dxfId="300" priority="72">
      <formula>B956="mata kuliah"</formula>
    </cfRule>
  </conditionalFormatting>
  <conditionalFormatting sqref="B959:B960">
    <cfRule type="expression" dxfId="299" priority="73">
      <formula>B959="mata kuliah"</formula>
    </cfRule>
  </conditionalFormatting>
  <conditionalFormatting sqref="B962:B963">
    <cfRule type="expression" dxfId="298" priority="74">
      <formula>B962="mata kuliah"</formula>
    </cfRule>
  </conditionalFormatting>
  <conditionalFormatting sqref="B965:B966">
    <cfRule type="expression" dxfId="297" priority="75">
      <formula>B965="mata kuliah"</formula>
    </cfRule>
  </conditionalFormatting>
  <conditionalFormatting sqref="B968:B969">
    <cfRule type="expression" dxfId="296" priority="76">
      <formula>B968="mata kuliah"</formula>
    </cfRule>
  </conditionalFormatting>
  <conditionalFormatting sqref="B971:B972">
    <cfRule type="expression" dxfId="295" priority="77">
      <formula>B971="mata kuliah"</formula>
    </cfRule>
  </conditionalFormatting>
  <conditionalFormatting sqref="B974:B975">
    <cfRule type="expression" dxfId="294" priority="78">
      <formula>B974="mata kuliah"</formula>
    </cfRule>
  </conditionalFormatting>
  <conditionalFormatting sqref="B977:B978">
    <cfRule type="expression" dxfId="293" priority="79">
      <formula>B977="mata kuliah"</formula>
    </cfRule>
  </conditionalFormatting>
  <conditionalFormatting sqref="B980:B981">
    <cfRule type="expression" dxfId="292" priority="80">
      <formula>B980="mata kuliah"</formula>
    </cfRule>
  </conditionalFormatting>
  <conditionalFormatting sqref="B983:B984">
    <cfRule type="expression" dxfId="291" priority="81">
      <formula>B983="mata kuliah"</formula>
    </cfRule>
  </conditionalFormatting>
  <conditionalFormatting sqref="B986:B987">
    <cfRule type="expression" dxfId="290" priority="82">
      <formula>B986="mata kuliah"</formula>
    </cfRule>
  </conditionalFormatting>
  <conditionalFormatting sqref="B989:B990">
    <cfRule type="expression" dxfId="289" priority="83">
      <formula>B989="mata kuliah"</formula>
    </cfRule>
  </conditionalFormatting>
  <conditionalFormatting sqref="B992:B993">
    <cfRule type="expression" dxfId="288" priority="84">
      <formula>B992="mata kuliah"</formula>
    </cfRule>
  </conditionalFormatting>
  <conditionalFormatting sqref="B995:B996">
    <cfRule type="expression" dxfId="287" priority="85">
      <formula>B995="mata kuliah"</formula>
    </cfRule>
  </conditionalFormatting>
  <conditionalFormatting sqref="B998:B999">
    <cfRule type="expression" dxfId="286" priority="86">
      <formula>B998="mata kuliah"</formula>
    </cfRule>
  </conditionalFormatting>
  <conditionalFormatting sqref="B1001:B1002">
    <cfRule type="expression" dxfId="285" priority="87">
      <formula>B1001="mata kuliah"</formula>
    </cfRule>
  </conditionalFormatting>
  <conditionalFormatting sqref="B1004:B1005">
    <cfRule type="expression" dxfId="284" priority="88">
      <formula>B1004="mata kuliah"</formula>
    </cfRule>
  </conditionalFormatting>
  <conditionalFormatting sqref="B1007:B1008">
    <cfRule type="expression" dxfId="283" priority="89">
      <formula>B1007="mata kuliah"</formula>
    </cfRule>
  </conditionalFormatting>
  <conditionalFormatting sqref="B1012:B1023 B1025:B1036">
    <cfRule type="expression" dxfId="282" priority="90">
      <formula>B1012="buku ajar/diktat/modul"</formula>
    </cfRule>
  </conditionalFormatting>
  <conditionalFormatting sqref="B1040:B1041">
    <cfRule type="expression" dxfId="281" priority="91">
      <formula>B1040="makalah / buku"</formula>
    </cfRule>
  </conditionalFormatting>
  <conditionalFormatting sqref="B1043:B1044">
    <cfRule type="expression" dxfId="280" priority="92">
      <formula>B1043="makalah / buku"</formula>
    </cfRule>
  </conditionalFormatting>
  <conditionalFormatting sqref="B1046:B1047">
    <cfRule type="expression" dxfId="279" priority="93">
      <formula>B1046="makalah / buku"</formula>
    </cfRule>
  </conditionalFormatting>
  <conditionalFormatting sqref="B1049:B1050">
    <cfRule type="expression" dxfId="278" priority="94">
      <formula>B1049="makalah / buku"</formula>
    </cfRule>
  </conditionalFormatting>
  <conditionalFormatting sqref="B1052:B1053">
    <cfRule type="expression" dxfId="277" priority="95">
      <formula>B1052="makalah / buku"</formula>
    </cfRule>
  </conditionalFormatting>
  <conditionalFormatting sqref="B1055:B1056">
    <cfRule type="expression" dxfId="276" priority="96">
      <formula>B1055="makalah / buku"</formula>
    </cfRule>
  </conditionalFormatting>
  <conditionalFormatting sqref="B1058:B1059">
    <cfRule type="expression" dxfId="275" priority="97">
      <formula>B1058="makalah / buku"</formula>
    </cfRule>
  </conditionalFormatting>
  <conditionalFormatting sqref="B1061:B1062">
    <cfRule type="expression" dxfId="274" priority="98">
      <formula>B1061="makalah / buku"</formula>
    </cfRule>
  </conditionalFormatting>
  <conditionalFormatting sqref="B1064:B1065">
    <cfRule type="expression" dxfId="273" priority="99">
      <formula>B1064="makalah / buku"</formula>
    </cfRule>
  </conditionalFormatting>
  <conditionalFormatting sqref="B1067:B1068">
    <cfRule type="expression" dxfId="272" priority="100">
      <formula>B1067="makalah / buku"</formula>
    </cfRule>
  </conditionalFormatting>
  <conditionalFormatting sqref="B1070:B1071">
    <cfRule type="expression" dxfId="271" priority="101">
      <formula>B1070="makalah / buku"</formula>
    </cfRule>
  </conditionalFormatting>
  <conditionalFormatting sqref="B1073:B1074">
    <cfRule type="expression" dxfId="270" priority="102">
      <formula>B1073="makalah / buku"</formula>
    </cfRule>
  </conditionalFormatting>
  <conditionalFormatting sqref="B1076:B1077">
    <cfRule type="expression" dxfId="269" priority="103">
      <formula>B1076="makalah / buku"</formula>
    </cfRule>
  </conditionalFormatting>
  <conditionalFormatting sqref="B1079:B1080">
    <cfRule type="expression" dxfId="268" priority="104">
      <formula>B1079="makalah / buku"</formula>
    </cfRule>
  </conditionalFormatting>
  <conditionalFormatting sqref="B1082:B1083">
    <cfRule type="expression" dxfId="267" priority="105">
      <formula>B1082="makalah / buku"</formula>
    </cfRule>
  </conditionalFormatting>
  <conditionalFormatting sqref="B1085:B1086">
    <cfRule type="expression" dxfId="266" priority="106">
      <formula>B1085="makalah / buku"</formula>
    </cfRule>
  </conditionalFormatting>
  <conditionalFormatting sqref="B1088:B1089">
    <cfRule type="expression" dxfId="265" priority="107">
      <formula>B1088="makalah / buku"</formula>
    </cfRule>
  </conditionalFormatting>
  <conditionalFormatting sqref="B1091:B1092">
    <cfRule type="expression" dxfId="264" priority="108">
      <formula>B1091="makalah / buku"</formula>
    </cfRule>
  </conditionalFormatting>
  <conditionalFormatting sqref="B1094:B1095">
    <cfRule type="expression" dxfId="263" priority="109">
      <formula>B1094="makalah / buku"</formula>
    </cfRule>
  </conditionalFormatting>
  <conditionalFormatting sqref="B1097:B1098">
    <cfRule type="expression" dxfId="262" priority="110">
      <formula>B1097="makalah / buku"</formula>
    </cfRule>
  </conditionalFormatting>
  <conditionalFormatting sqref="B1100:B1101">
    <cfRule type="expression" dxfId="261" priority="111">
      <formula>B1100="makalah / buku"</formula>
    </cfRule>
  </conditionalFormatting>
  <conditionalFormatting sqref="B1103:B1104">
    <cfRule type="expression" dxfId="260" priority="112">
      <formula>B1103="makalah / buku"</formula>
    </cfRule>
  </conditionalFormatting>
  <conditionalFormatting sqref="B1106:B1107">
    <cfRule type="expression" dxfId="259" priority="113">
      <formula>B1106="makalah / buku"</formula>
    </cfRule>
  </conditionalFormatting>
  <conditionalFormatting sqref="B1109:B1110">
    <cfRule type="expression" dxfId="258" priority="114">
      <formula>B1109="makalah / buku"</formula>
    </cfRule>
  </conditionalFormatting>
  <conditionalFormatting sqref="B1119:B1125 B1132:B1138">
    <cfRule type="expression" dxfId="257" priority="115">
      <formula>B1119="posisi"</formula>
    </cfRule>
  </conditionalFormatting>
  <conditionalFormatting sqref="B1142:B1153">
    <cfRule type="expression" dxfId="256" priority="116">
      <formula>B1142="Kegiatan"</formula>
    </cfRule>
  </conditionalFormatting>
  <conditionalFormatting sqref="B1155:B1166">
    <cfRule type="expression" dxfId="255" priority="117">
      <formula>B1155="Kegiatan"</formula>
    </cfRule>
  </conditionalFormatting>
  <conditionalFormatting sqref="B1170:B1181 B1183:B1194 B1198:B1209 B1211:B1222">
    <cfRule type="expression" dxfId="254" priority="118">
      <formula>B1170="Kegiatan"</formula>
    </cfRule>
  </conditionalFormatting>
  <conditionalFormatting sqref="C11:C13 C15">
    <cfRule type="expression" dxfId="253" priority="119">
      <formula>C11=""</formula>
    </cfRule>
  </conditionalFormatting>
  <conditionalFormatting sqref="C14">
    <cfRule type="expression" dxfId="252" priority="120">
      <formula>C14=""</formula>
    </cfRule>
  </conditionalFormatting>
  <conditionalFormatting sqref="C17:C21">
    <cfRule type="expression" dxfId="251" priority="121">
      <formula>C17=""</formula>
    </cfRule>
  </conditionalFormatting>
  <conditionalFormatting sqref="G27:G30 G32:G33 G39:G44 G74:G128 G207 G209:G220 G265:G274">
    <cfRule type="expression" dxfId="250" priority="122">
      <formula>G27="rumus"</formula>
    </cfRule>
  </conditionalFormatting>
  <conditionalFormatting sqref="G46:G51">
    <cfRule type="expression" dxfId="249" priority="123">
      <formula>G46="rumus"</formula>
    </cfRule>
  </conditionalFormatting>
  <conditionalFormatting sqref="G53:G58">
    <cfRule type="expression" dxfId="248" priority="124">
      <formula>G53="rumus"</formula>
    </cfRule>
  </conditionalFormatting>
  <conditionalFormatting sqref="G60:G65">
    <cfRule type="expression" dxfId="247" priority="125">
      <formula>G60="rumus"</formula>
    </cfRule>
  </conditionalFormatting>
  <conditionalFormatting sqref="G67:G72">
    <cfRule type="expression" dxfId="246" priority="126">
      <formula>G67="rumus"</formula>
    </cfRule>
  </conditionalFormatting>
  <conditionalFormatting sqref="G130:G142">
    <cfRule type="expression" dxfId="245" priority="127">
      <formula>G130="rumus"</formula>
    </cfRule>
  </conditionalFormatting>
  <conditionalFormatting sqref="G144:G156">
    <cfRule type="expression" dxfId="244" priority="128">
      <formula>G144="rumus"</formula>
    </cfRule>
  </conditionalFormatting>
  <conditionalFormatting sqref="G158:G205">
    <cfRule type="expression" dxfId="243" priority="129">
      <formula>G158="rumus"</formula>
    </cfRule>
  </conditionalFormatting>
  <conditionalFormatting sqref="G222:G233">
    <cfRule type="expression" dxfId="242" priority="130">
      <formula>G222="rumus"</formula>
    </cfRule>
  </conditionalFormatting>
  <conditionalFormatting sqref="G237:G248">
    <cfRule type="expression" dxfId="241" priority="131">
      <formula>G237="rumus"</formula>
    </cfRule>
  </conditionalFormatting>
  <conditionalFormatting sqref="G250:G261">
    <cfRule type="expression" dxfId="240" priority="132">
      <formula>G250="rumus"</formula>
    </cfRule>
  </conditionalFormatting>
  <conditionalFormatting sqref="G276:G285">
    <cfRule type="expression" dxfId="239" priority="133">
      <formula>G276="rumus"</formula>
    </cfRule>
  </conditionalFormatting>
  <conditionalFormatting sqref="G287:G296">
    <cfRule type="expression" dxfId="238" priority="134">
      <formula>G287="rumus"</formula>
    </cfRule>
  </conditionalFormatting>
  <conditionalFormatting sqref="G298:G307">
    <cfRule type="expression" dxfId="237" priority="135">
      <formula>G298="rumus"</formula>
    </cfRule>
  </conditionalFormatting>
  <conditionalFormatting sqref="G309:G318">
    <cfRule type="expression" dxfId="236" priority="136">
      <formula>G309="rumus"</formula>
    </cfRule>
  </conditionalFormatting>
  <conditionalFormatting sqref="G320:G329">
    <cfRule type="expression" dxfId="235" priority="137">
      <formula>G320="rumus"</formula>
    </cfRule>
  </conditionalFormatting>
  <conditionalFormatting sqref="G331:G340">
    <cfRule type="expression" dxfId="234" priority="138">
      <formula>G331="rumus"</formula>
    </cfRule>
  </conditionalFormatting>
  <conditionalFormatting sqref="G342:G351">
    <cfRule type="expression" dxfId="233" priority="139">
      <formula>G342="rumus"</formula>
    </cfRule>
  </conditionalFormatting>
  <conditionalFormatting sqref="G353:G362">
    <cfRule type="expression" dxfId="232" priority="140">
      <formula>G353="rumus"</formula>
    </cfRule>
  </conditionalFormatting>
  <conditionalFormatting sqref="G364:G373">
    <cfRule type="expression" dxfId="231" priority="141">
      <formula>G364="rumus"</formula>
    </cfRule>
  </conditionalFormatting>
  <conditionalFormatting sqref="G375:G384">
    <cfRule type="expression" dxfId="230" priority="142">
      <formula>G375="rumus"</formula>
    </cfRule>
  </conditionalFormatting>
  <conditionalFormatting sqref="G386:G395">
    <cfRule type="expression" dxfId="229" priority="143">
      <formula>G386="rumus"</formula>
    </cfRule>
  </conditionalFormatting>
  <conditionalFormatting sqref="G397:G411">
    <cfRule type="expression" dxfId="228" priority="144">
      <formula>G397="rumus"</formula>
    </cfRule>
  </conditionalFormatting>
  <conditionalFormatting sqref="G413:G432">
    <cfRule type="expression" dxfId="227" priority="145">
      <formula>G413="rumus"</formula>
    </cfRule>
  </conditionalFormatting>
  <conditionalFormatting sqref="G434:G443">
    <cfRule type="expression" dxfId="226" priority="146">
      <formula>G434="rumus"</formula>
    </cfRule>
  </conditionalFormatting>
  <conditionalFormatting sqref="G445:G454">
    <cfRule type="expression" dxfId="225" priority="147">
      <formula>G445="rumus"</formula>
    </cfRule>
  </conditionalFormatting>
  <conditionalFormatting sqref="G456:G466">
    <cfRule type="expression" dxfId="224" priority="148">
      <formula>G456="rumus"</formula>
    </cfRule>
  </conditionalFormatting>
  <conditionalFormatting sqref="G468:G477">
    <cfRule type="expression" dxfId="223" priority="149">
      <formula>G468="rumus"</formula>
    </cfRule>
  </conditionalFormatting>
  <conditionalFormatting sqref="G479:G499">
    <cfRule type="expression" dxfId="222" priority="150">
      <formula>G479="rumus"</formula>
    </cfRule>
  </conditionalFormatting>
  <conditionalFormatting sqref="G501:G511">
    <cfRule type="expression" dxfId="221" priority="151">
      <formula>G501="rumus"</formula>
    </cfRule>
  </conditionalFormatting>
  <conditionalFormatting sqref="G513:G522">
    <cfRule type="expression" dxfId="220" priority="152">
      <formula>G513="rumus"</formula>
    </cfRule>
  </conditionalFormatting>
  <conditionalFormatting sqref="G524:G533">
    <cfRule type="expression" dxfId="219" priority="153">
      <formula>G524="rumus"</formula>
    </cfRule>
  </conditionalFormatting>
  <conditionalFormatting sqref="G535:G544">
    <cfRule type="expression" dxfId="218" priority="154">
      <formula>G535="rumus"</formula>
    </cfRule>
  </conditionalFormatting>
  <conditionalFormatting sqref="G546:G555">
    <cfRule type="expression" dxfId="217" priority="155">
      <formula>G546="rumus"</formula>
    </cfRule>
  </conditionalFormatting>
  <conditionalFormatting sqref="G559:G568">
    <cfRule type="expression" dxfId="216" priority="156">
      <formula>G559="rumus"</formula>
    </cfRule>
  </conditionalFormatting>
  <conditionalFormatting sqref="G570:G579">
    <cfRule type="expression" dxfId="215" priority="157">
      <formula>G570="rumus"</formula>
    </cfRule>
  </conditionalFormatting>
  <conditionalFormatting sqref="G581:G590">
    <cfRule type="expression" dxfId="214" priority="158">
      <formula>G581="rumus"</formula>
    </cfRule>
  </conditionalFormatting>
  <conditionalFormatting sqref="G592:G601">
    <cfRule type="expression" dxfId="213" priority="159">
      <formula>G592="rumus"</formula>
    </cfRule>
  </conditionalFormatting>
  <conditionalFormatting sqref="G603:G612">
    <cfRule type="expression" dxfId="212" priority="160">
      <formula>G603="rumus"</formula>
    </cfRule>
  </conditionalFormatting>
  <conditionalFormatting sqref="G614:G623">
    <cfRule type="expression" dxfId="211" priority="161">
      <formula>G614="rumus"</formula>
    </cfRule>
  </conditionalFormatting>
  <conditionalFormatting sqref="G625:G634">
    <cfRule type="expression" dxfId="210" priority="162">
      <formula>G625="rumus"</formula>
    </cfRule>
  </conditionalFormatting>
  <conditionalFormatting sqref="G636:G645">
    <cfRule type="expression" dxfId="209" priority="163">
      <formula>G636="rumus"</formula>
    </cfRule>
  </conditionalFormatting>
  <conditionalFormatting sqref="G647:G656">
    <cfRule type="expression" dxfId="208" priority="164">
      <formula>G647="rumus"</formula>
    </cfRule>
  </conditionalFormatting>
  <conditionalFormatting sqref="G658:G667">
    <cfRule type="expression" dxfId="207" priority="165">
      <formula>G658="rumus"</formula>
    </cfRule>
  </conditionalFormatting>
  <conditionalFormatting sqref="G669:G678">
    <cfRule type="expression" dxfId="206" priority="166">
      <formula>G669="rumus"</formula>
    </cfRule>
  </conditionalFormatting>
  <conditionalFormatting sqref="G680:G689">
    <cfRule type="expression" dxfId="205" priority="167">
      <formula>G680="rumus"</formula>
    </cfRule>
  </conditionalFormatting>
  <conditionalFormatting sqref="G691:G700">
    <cfRule type="expression" dxfId="204" priority="168">
      <formula>G691="rumus"</formula>
    </cfRule>
  </conditionalFormatting>
  <conditionalFormatting sqref="G702:G735">
    <cfRule type="expression" dxfId="203" priority="169">
      <formula>G702="rumus"</formula>
    </cfRule>
  </conditionalFormatting>
  <conditionalFormatting sqref="G737:G746">
    <cfRule type="expression" dxfId="202" priority="170">
      <formula>G737="rumus"</formula>
    </cfRule>
  </conditionalFormatting>
  <conditionalFormatting sqref="G748:G759">
    <cfRule type="expression" dxfId="201" priority="171">
      <formula>G748="rumus"</formula>
    </cfRule>
  </conditionalFormatting>
  <conditionalFormatting sqref="G761:G770">
    <cfRule type="expression" dxfId="200" priority="172">
      <formula>G761="rumus"</formula>
    </cfRule>
  </conditionalFormatting>
  <conditionalFormatting sqref="G772:G789">
    <cfRule type="expression" dxfId="199" priority="173">
      <formula>G772="rumus"</formula>
    </cfRule>
  </conditionalFormatting>
  <conditionalFormatting sqref="G791:G805">
    <cfRule type="expression" dxfId="198" priority="174">
      <formula>G791="rumus"</formula>
    </cfRule>
  </conditionalFormatting>
  <conditionalFormatting sqref="G807:G816">
    <cfRule type="expression" dxfId="197" priority="175">
      <formula>G807="rumus"</formula>
    </cfRule>
  </conditionalFormatting>
  <conditionalFormatting sqref="G818:G827">
    <cfRule type="expression" dxfId="196" priority="176">
      <formula>G818="rumus"</formula>
    </cfRule>
  </conditionalFormatting>
  <conditionalFormatting sqref="G829:G838">
    <cfRule type="expression" dxfId="195" priority="177">
      <formula>G829="rumus"</formula>
    </cfRule>
  </conditionalFormatting>
  <conditionalFormatting sqref="G840:G849">
    <cfRule type="expression" dxfId="194" priority="178">
      <formula>G840="rumus"</formula>
    </cfRule>
  </conditionalFormatting>
  <conditionalFormatting sqref="G851:G860">
    <cfRule type="expression" dxfId="193" priority="179">
      <formula>G851="rumus"</formula>
    </cfRule>
  </conditionalFormatting>
  <conditionalFormatting sqref="G864:G865">
    <cfRule type="expression" dxfId="192" priority="180">
      <formula>G864="rumus"</formula>
    </cfRule>
  </conditionalFormatting>
  <conditionalFormatting sqref="G867:G868">
    <cfRule type="expression" dxfId="191" priority="181">
      <formula>G867="rumus"</formula>
    </cfRule>
  </conditionalFormatting>
  <conditionalFormatting sqref="G870:G871">
    <cfRule type="expression" dxfId="190" priority="182">
      <formula>G870="rumus"</formula>
    </cfRule>
  </conditionalFormatting>
  <conditionalFormatting sqref="G873:G874">
    <cfRule type="expression" dxfId="189" priority="183">
      <formula>G873="rumus"</formula>
    </cfRule>
  </conditionalFormatting>
  <conditionalFormatting sqref="G876:G877">
    <cfRule type="expression" dxfId="188" priority="184">
      <formula>G876="rumus"</formula>
    </cfRule>
  </conditionalFormatting>
  <conditionalFormatting sqref="G879:G880">
    <cfRule type="expression" dxfId="187" priority="185">
      <formula>G879="rumus"</formula>
    </cfRule>
  </conditionalFormatting>
  <conditionalFormatting sqref="G882:G883">
    <cfRule type="expression" dxfId="186" priority="186">
      <formula>G882="rumus"</formula>
    </cfRule>
  </conditionalFormatting>
  <conditionalFormatting sqref="G885:G886">
    <cfRule type="expression" dxfId="185" priority="187">
      <formula>G885="rumus"</formula>
    </cfRule>
  </conditionalFormatting>
  <conditionalFormatting sqref="G888:G889">
    <cfRule type="expression" dxfId="184" priority="188">
      <formula>G888="rumus"</formula>
    </cfRule>
  </conditionalFormatting>
  <conditionalFormatting sqref="G891:G892">
    <cfRule type="expression" dxfId="183" priority="189">
      <formula>G891="rumus"</formula>
    </cfRule>
  </conditionalFormatting>
  <conditionalFormatting sqref="G894:G895">
    <cfRule type="expression" dxfId="182" priority="190">
      <formula>G894="rumus"</formula>
    </cfRule>
  </conditionalFormatting>
  <conditionalFormatting sqref="G897:G898">
    <cfRule type="expression" dxfId="181" priority="191">
      <formula>G897="rumus"</formula>
    </cfRule>
  </conditionalFormatting>
  <conditionalFormatting sqref="G900:G901">
    <cfRule type="expression" dxfId="180" priority="192">
      <formula>G900="rumus"</formula>
    </cfRule>
  </conditionalFormatting>
  <conditionalFormatting sqref="G903:G904">
    <cfRule type="expression" dxfId="179" priority="193">
      <formula>G903="rumus"</formula>
    </cfRule>
  </conditionalFormatting>
  <conditionalFormatting sqref="G906:G907">
    <cfRule type="expression" dxfId="178" priority="194">
      <formula>G906="rumus"</formula>
    </cfRule>
  </conditionalFormatting>
  <conditionalFormatting sqref="G909:G910">
    <cfRule type="expression" dxfId="177" priority="195">
      <formula>G909="rumus"</formula>
    </cfRule>
  </conditionalFormatting>
  <conditionalFormatting sqref="G912:G913">
    <cfRule type="expression" dxfId="176" priority="196">
      <formula>G912="rumus"</formula>
    </cfRule>
  </conditionalFormatting>
  <conditionalFormatting sqref="G915:G916">
    <cfRule type="expression" dxfId="175" priority="197">
      <formula>G915="rumus"</formula>
    </cfRule>
  </conditionalFormatting>
  <conditionalFormatting sqref="G918:G919">
    <cfRule type="expression" dxfId="174" priority="198">
      <formula>G918="rumus"</formula>
    </cfRule>
  </conditionalFormatting>
  <conditionalFormatting sqref="G921:G922">
    <cfRule type="expression" dxfId="173" priority="199">
      <formula>G921="rumus"</formula>
    </cfRule>
  </conditionalFormatting>
  <conditionalFormatting sqref="G924:G925">
    <cfRule type="expression" dxfId="172" priority="200">
      <formula>G924="rumus"</formula>
    </cfRule>
  </conditionalFormatting>
  <conditionalFormatting sqref="G927:G928">
    <cfRule type="expression" dxfId="171" priority="201">
      <formula>G927="rumus"</formula>
    </cfRule>
  </conditionalFormatting>
  <conditionalFormatting sqref="G930:G931">
    <cfRule type="expression" dxfId="170" priority="202">
      <formula>G930="rumus"</formula>
    </cfRule>
  </conditionalFormatting>
  <conditionalFormatting sqref="G933:G934">
    <cfRule type="expression" dxfId="169" priority="203">
      <formula>G933="rumus"</formula>
    </cfRule>
  </conditionalFormatting>
  <conditionalFormatting sqref="G938:G939">
    <cfRule type="expression" dxfId="168" priority="204">
      <formula>G938="rumus"</formula>
    </cfRule>
  </conditionalFormatting>
  <conditionalFormatting sqref="G941:G942">
    <cfRule type="expression" dxfId="167" priority="205">
      <formula>G941="rumus"</formula>
    </cfRule>
  </conditionalFormatting>
  <conditionalFormatting sqref="G944:G945">
    <cfRule type="expression" dxfId="166" priority="206">
      <formula>G944="rumus"</formula>
    </cfRule>
  </conditionalFormatting>
  <conditionalFormatting sqref="G947:G948">
    <cfRule type="expression" dxfId="165" priority="207">
      <formula>G947="rumus"</formula>
    </cfRule>
  </conditionalFormatting>
  <conditionalFormatting sqref="G950:G951">
    <cfRule type="expression" dxfId="164" priority="208">
      <formula>G950="rumus"</formula>
    </cfRule>
  </conditionalFormatting>
  <conditionalFormatting sqref="G953:G954">
    <cfRule type="expression" dxfId="163" priority="209">
      <formula>G953="rumus"</formula>
    </cfRule>
  </conditionalFormatting>
  <conditionalFormatting sqref="G956:G957">
    <cfRule type="expression" dxfId="162" priority="210">
      <formula>G956="rumus"</formula>
    </cfRule>
  </conditionalFormatting>
  <conditionalFormatting sqref="G959:G960">
    <cfRule type="expression" dxfId="161" priority="211">
      <formula>G959="rumus"</formula>
    </cfRule>
  </conditionalFormatting>
  <conditionalFormatting sqref="G962:G963">
    <cfRule type="expression" dxfId="160" priority="212">
      <formula>G962="rumus"</formula>
    </cfRule>
  </conditionalFormatting>
  <conditionalFormatting sqref="G965:G966">
    <cfRule type="expression" dxfId="159" priority="213">
      <formula>G965="rumus"</formula>
    </cfRule>
  </conditionalFormatting>
  <conditionalFormatting sqref="G968:G969">
    <cfRule type="expression" dxfId="158" priority="214">
      <formula>G968="rumus"</formula>
    </cfRule>
  </conditionalFormatting>
  <conditionalFormatting sqref="G971:G972">
    <cfRule type="expression" dxfId="157" priority="215">
      <formula>G971="rumus"</formula>
    </cfRule>
  </conditionalFormatting>
  <conditionalFormatting sqref="G974:G975">
    <cfRule type="expression" dxfId="156" priority="216">
      <formula>G974="rumus"</formula>
    </cfRule>
  </conditionalFormatting>
  <conditionalFormatting sqref="G977:G978">
    <cfRule type="expression" dxfId="155" priority="217">
      <formula>G977="rumus"</formula>
    </cfRule>
  </conditionalFormatting>
  <conditionalFormatting sqref="G980:G981">
    <cfRule type="expression" dxfId="154" priority="218">
      <formula>G980="rumus"</formula>
    </cfRule>
  </conditionalFormatting>
  <conditionalFormatting sqref="G983:G984">
    <cfRule type="expression" dxfId="153" priority="219">
      <formula>G983="rumus"</formula>
    </cfRule>
  </conditionalFormatting>
  <conditionalFormatting sqref="G986:G987">
    <cfRule type="expression" dxfId="152" priority="220">
      <formula>G986="rumus"</formula>
    </cfRule>
  </conditionalFormatting>
  <conditionalFormatting sqref="G989:G990">
    <cfRule type="expression" dxfId="151" priority="221">
      <formula>G989="rumus"</formula>
    </cfRule>
  </conditionalFormatting>
  <conditionalFormatting sqref="G992:G993">
    <cfRule type="expression" dxfId="150" priority="222">
      <formula>G992="rumus"</formula>
    </cfRule>
  </conditionalFormatting>
  <conditionalFormatting sqref="G995:G996">
    <cfRule type="expression" dxfId="149" priority="223">
      <formula>G995="rumus"</formula>
    </cfRule>
  </conditionalFormatting>
  <conditionalFormatting sqref="G998:G999">
    <cfRule type="expression" dxfId="148" priority="224">
      <formula>G998="rumus"</formula>
    </cfRule>
  </conditionalFormatting>
  <conditionalFormatting sqref="G1001:G1002">
    <cfRule type="expression" dxfId="147" priority="225">
      <formula>G1001="rumus"</formula>
    </cfRule>
  </conditionalFormatting>
  <conditionalFormatting sqref="G1004:G1005">
    <cfRule type="expression" dxfId="146" priority="226">
      <formula>G1004="rumus"</formula>
    </cfRule>
  </conditionalFormatting>
  <conditionalFormatting sqref="G1007:G1008">
    <cfRule type="expression" dxfId="145" priority="227">
      <formula>G1007="rumus"</formula>
    </cfRule>
  </conditionalFormatting>
  <conditionalFormatting sqref="G1012:G1023">
    <cfRule type="expression" dxfId="144" priority="228">
      <formula>G1012="rumus"</formula>
    </cfRule>
  </conditionalFormatting>
  <conditionalFormatting sqref="G1025:G1036">
    <cfRule type="expression" dxfId="143" priority="229">
      <formula>G1025="rumus"</formula>
    </cfRule>
  </conditionalFormatting>
  <conditionalFormatting sqref="G1040:G1041">
    <cfRule type="expression" dxfId="142" priority="230">
      <formula>G1040="rumus"</formula>
    </cfRule>
  </conditionalFormatting>
  <conditionalFormatting sqref="G1043:G1044">
    <cfRule type="expression" dxfId="141" priority="231">
      <formula>G1043="rumus"</formula>
    </cfRule>
  </conditionalFormatting>
  <conditionalFormatting sqref="G1046:G1047">
    <cfRule type="expression" dxfId="140" priority="232">
      <formula>G1046="rumus"</formula>
    </cfRule>
  </conditionalFormatting>
  <conditionalFormatting sqref="G1049:G1050">
    <cfRule type="expression" dxfId="139" priority="233">
      <formula>G1049="rumus"</formula>
    </cfRule>
  </conditionalFormatting>
  <conditionalFormatting sqref="G1052:G1053">
    <cfRule type="expression" dxfId="138" priority="234">
      <formula>G1052="rumus"</formula>
    </cfRule>
  </conditionalFormatting>
  <conditionalFormatting sqref="G1055:G1056">
    <cfRule type="expression" dxfId="137" priority="235">
      <formula>G1055="rumus"</formula>
    </cfRule>
  </conditionalFormatting>
  <conditionalFormatting sqref="G1058:G1059">
    <cfRule type="expression" dxfId="136" priority="236">
      <formula>G1058="rumus"</formula>
    </cfRule>
  </conditionalFormatting>
  <conditionalFormatting sqref="G1061:G1062">
    <cfRule type="expression" dxfId="135" priority="237">
      <formula>G1061="rumus"</formula>
    </cfRule>
  </conditionalFormatting>
  <conditionalFormatting sqref="G1064:G1065">
    <cfRule type="expression" dxfId="134" priority="238">
      <formula>G1064="rumus"</formula>
    </cfRule>
  </conditionalFormatting>
  <conditionalFormatting sqref="G1067:G1068">
    <cfRule type="expression" dxfId="133" priority="239">
      <formula>G1067="rumus"</formula>
    </cfRule>
  </conditionalFormatting>
  <conditionalFormatting sqref="G1070:G1071">
    <cfRule type="expression" dxfId="132" priority="240">
      <formula>G1070="rumus"</formula>
    </cfRule>
  </conditionalFormatting>
  <conditionalFormatting sqref="G1073:G1074">
    <cfRule type="expression" dxfId="131" priority="241">
      <formula>G1073="rumus"</formula>
    </cfRule>
  </conditionalFormatting>
  <conditionalFormatting sqref="G1076:G1077">
    <cfRule type="expression" dxfId="130" priority="242">
      <formula>G1076="rumus"</formula>
    </cfRule>
  </conditionalFormatting>
  <conditionalFormatting sqref="G1079:G1080">
    <cfRule type="expression" dxfId="129" priority="243">
      <formula>G1079="rumus"</formula>
    </cfRule>
  </conditionalFormatting>
  <conditionalFormatting sqref="G1082:G1083">
    <cfRule type="expression" dxfId="128" priority="244">
      <formula>G1082="rumus"</formula>
    </cfRule>
  </conditionalFormatting>
  <conditionalFormatting sqref="G1085:G1086">
    <cfRule type="expression" dxfId="127" priority="245">
      <formula>G1085="rumus"</formula>
    </cfRule>
  </conditionalFormatting>
  <conditionalFormatting sqref="G1088:G1089">
    <cfRule type="expression" dxfId="126" priority="246">
      <formula>G1088="rumus"</formula>
    </cfRule>
  </conditionalFormatting>
  <conditionalFormatting sqref="G1091:G1092">
    <cfRule type="expression" dxfId="125" priority="247">
      <formula>G1091="rumus"</formula>
    </cfRule>
  </conditionalFormatting>
  <conditionalFormatting sqref="G1094:G1095">
    <cfRule type="expression" dxfId="124" priority="248">
      <formula>G1094="rumus"</formula>
    </cfRule>
  </conditionalFormatting>
  <conditionalFormatting sqref="G1097:G1098">
    <cfRule type="expression" dxfId="123" priority="249">
      <formula>G1097="rumus"</formula>
    </cfRule>
  </conditionalFormatting>
  <conditionalFormatting sqref="G1100:G1101">
    <cfRule type="expression" dxfId="122" priority="250">
      <formula>G1100="rumus"</formula>
    </cfRule>
  </conditionalFormatting>
  <conditionalFormatting sqref="G1103:G1104">
    <cfRule type="expression" dxfId="121" priority="251">
      <formula>G1103="rumus"</formula>
    </cfRule>
  </conditionalFormatting>
  <conditionalFormatting sqref="G1106:G1107">
    <cfRule type="expression" dxfId="120" priority="252">
      <formula>G1106="rumus"</formula>
    </cfRule>
  </conditionalFormatting>
  <conditionalFormatting sqref="G1109:G1110">
    <cfRule type="expression" dxfId="119" priority="253">
      <formula>G1109="rumus"</formula>
    </cfRule>
  </conditionalFormatting>
  <conditionalFormatting sqref="G1114:G1125">
    <cfRule type="expression" dxfId="118" priority="254">
      <formula>G1114="rumus"</formula>
    </cfRule>
  </conditionalFormatting>
  <conditionalFormatting sqref="G1127:G1138">
    <cfRule type="expression" dxfId="117" priority="255">
      <formula>G1127="rumus"</formula>
    </cfRule>
  </conditionalFormatting>
  <conditionalFormatting sqref="G1142:G1153">
    <cfRule type="expression" dxfId="116" priority="256">
      <formula>G1142="rumus"</formula>
    </cfRule>
  </conditionalFormatting>
  <conditionalFormatting sqref="G1155:G1166">
    <cfRule type="expression" dxfId="115" priority="257">
      <formula>G1155="rumus"</formula>
    </cfRule>
  </conditionalFormatting>
  <conditionalFormatting sqref="G1170:G1181">
    <cfRule type="expression" dxfId="114" priority="258">
      <formula>G1170="rumus"</formula>
    </cfRule>
  </conditionalFormatting>
  <conditionalFormatting sqref="G1183:G1194">
    <cfRule type="expression" dxfId="113" priority="259">
      <formula>G1183="rumus"</formula>
    </cfRule>
  </conditionalFormatting>
  <conditionalFormatting sqref="G1198:G1209">
    <cfRule type="expression" dxfId="112" priority="260">
      <formula>G1198="rumus"</formula>
    </cfRule>
  </conditionalFormatting>
  <conditionalFormatting sqref="G1211:G1222">
    <cfRule type="expression" dxfId="111" priority="261">
      <formula>G1211="rumus"</formula>
    </cfRule>
  </conditionalFormatting>
  <conditionalFormatting sqref="G1235:H1235">
    <cfRule type="containsBlanks" dxfId="110" priority="262">
      <formula>LEN(TRIM(G1235))=0</formula>
    </cfRule>
  </conditionalFormatting>
  <dataValidations count="16">
    <dataValidation type="list" allowBlank="1" showInputMessage="1" showErrorMessage="1" prompt="pilih dengan mengklik segitiga dipojok kotak" sqref="I27:I29" xr:uid="{00000000-0002-0000-0100-000000000000}">
      <formula1>"Doktor (S3) linier,Doktor (S3) non linier,Magister (S2) linier,Magister (S2) non linier,Sarjana (S1)"</formula1>
    </dataValidation>
    <dataValidation type="list" allowBlank="1" showInputMessage="1" showErrorMessage="1" prompt="pilih dengan mengklik segitiga dipojok kotak" sqref="I851:I860 I840:I849 I571:I579 I588:I590 I597:I601 I605:I612 I625:I634 I616:I623 I638:I645 I658:I667 I669:I678 I680:I689 I654:I656 I695:I700 I735 I743:I746 I829:I838 I770 I818:I827 I811:I816" xr:uid="{00000000-0002-0000-0100-000001000000}">
      <formula1>"Ketua Penguji,Anggota Penguji"</formula1>
    </dataValidation>
    <dataValidation type="list" allowBlank="1" showInputMessage="1" showErrorMessage="1" prompt="pilih dengan mengklik segitiga dipojok kotak" sqref="I864:I865 I867:I868 I870:I871 I873:I874 I876:I877 I879:I880 I882:I883 I885:I886 I888:I889 I891:I892 I894:I895 I897:I898 I900:I901 I903:I904 I906:I907 I909:I910 I912:I913 I915:I916 I918:I919 I921:I922 I924:I925 I927:I928 I930:I931 I933:I934" xr:uid="{00000000-0002-0000-0100-000002000000}">
      <formula1>"Membina kegiatan mahasiswa per semester"</formula1>
    </dataValidation>
    <dataValidation type="list" allowBlank="1" showErrorMessage="1" sqref="C14" xr:uid="{00000000-0002-0000-0100-000003000000}">
      <formula1>"Tenaga Pengajar,Asisten Ahli,Lektor,Lektor Kepala,Guru Besar"</formula1>
    </dataValidation>
    <dataValidation type="list" allowBlank="1" showInputMessage="1" showErrorMessage="1" prompt="pilih dengan mengklik segitiga dipojok kotak" sqref="I1142:I1153 I1155:I1166" xr:uid="{00000000-0002-0000-0100-000004000000}">
      <formula1>"a.Pembimbing pencangkokan persemester,b.Reguler persemester"</formula1>
    </dataValidation>
    <dataValidation type="list" allowBlank="1" showInputMessage="1" showErrorMessage="1" prompt="pilih dengan mengklik segitiga dipojok kotak" sqref="I1120:I1125 I1134:I1138" xr:uid="{00000000-0002-0000-0100-000005000000}">
      <formula1>$U$1:$U$8</formula1>
    </dataValidation>
    <dataValidation type="list" allowBlank="1" showInputMessage="1" showErrorMessage="1" prompt="pilih dengan mengklik segitiga dipojok kotak" sqref="I938:I939 I941:I942 I944:I945 I947:I948 I950:I951 I953:I954 I956:I957 I959:I960 I962:I963 I965:I966 I968:I969 I971:I972 I974:I975 I977:I978 I980:I981 I983:I984 I986:I987 I989:I990 I992:I993 I995:I996 I998:I999 I1001:I1002 I1004:I1005 I1007:I1008" xr:uid="{00000000-0002-0000-0100-000006000000}">
      <formula1>"Mengembangkan program kuliah per semester"</formula1>
    </dataValidation>
    <dataValidation type="list" allowBlank="1" showInputMessage="1" showErrorMessage="1" prompt="pilih dengan mengklik segitiga dipojok kotak" sqref="I32:I33" xr:uid="{00000000-0002-0000-0100-000007000000}">
      <formula1>"Diklat Pra Jabatan setiap Sertifikat"</formula1>
    </dataValidation>
    <dataValidation type="list" allowBlank="1" showErrorMessage="1" sqref="I1170:I1181 I1183:I1194" xr:uid="{00000000-0002-0000-0100-000008000000}">
      <formula1>"a.Detasering persemester,b.Pencangkokan persemester"</formula1>
    </dataValidation>
    <dataValidation type="list" allowBlank="1" showInputMessage="1" showErrorMessage="1" prompt="pilih dengan mengklik segitiga dipojok kotak" sqref="I209:I220 I222:I233" xr:uid="{00000000-0002-0000-0100-000009000000}">
      <formula1>"Membimbing seminar mahasiswa per semester"</formula1>
    </dataValidation>
    <dataValidation type="list" allowBlank="1" showInputMessage="1" showErrorMessage="1" prompt="pilih dengan mengklik segitiga dipojok kotak" sqref="I265:I274 I546:I555 I276:I285 I292:I296 I301:I307 I320:I329 I331:I340 I342:I351 I353:I362 I364:I373 I375:I384 I386:I395 I317:I318 I528:I533 I517:I522 I471:I477 I454 I539:I544" xr:uid="{00000000-0002-0000-0100-00000A000000}">
      <formula1>"Pembimbing Utama,Pembimbing Pendamping"</formula1>
    </dataValidation>
    <dataValidation type="list" allowBlank="1" showInputMessage="1" showErrorMessage="1" prompt="pilih dengan mengklik segitiga dipojok kotak" sqref="I1198:I1209 I1211:I1222" xr:uid="{00000000-0002-0000-0100-00000B000000}">
      <formula1>"Lamanya &gt; 960 jam,Lamanya 641-960 jam,Lamanya 481-640 jam,Lamanya 161-480 jam,Lamanya 81-160 jam,Lamanya 31-80 jam,Lamanya 10-30 jam"</formula1>
    </dataValidation>
    <dataValidation type="list" allowBlank="1" showInputMessage="1" showErrorMessage="1" prompt="pilih dengan mengklik segitiga dipojok kotak" sqref="I1012:I1023 I1025:I1036" xr:uid="{00000000-0002-0000-0100-00000C000000}">
      <formula1>"Buku Pertahun,Diktat/Modul Persemester"</formula1>
    </dataValidation>
    <dataValidation type="list" allowBlank="1" showInputMessage="1" showErrorMessage="1" prompt="pilih dengan mengklik segitiga dipojok kotak" sqref="J546:J555 J265:J274 J276:J285 J292:J296 J301:J307 J320:J329 J331:J340 J342:J351 J353:J362 J364:J373 J375:J384 J386:J395 J317:J318 J528:J533 J517:J522 J471:J477 J454 J539:J544" xr:uid="{00000000-0002-0000-0100-00000D000000}">
      <formula1>"Disertasi,Tesis,Skripsi,Laporan akhir studi"</formula1>
    </dataValidation>
    <dataValidation type="list" allowBlank="1" showInputMessage="1" showErrorMessage="1" prompt="pilih dengan mengklik segitiga dipojok kotak" sqref="I1040:I1041 I1043:I1044 I1046:I1047 I1049:I1050 I1052:I1053 I1055:I1056 I1058:I1059 I1061:I1062 I1064:I1065 I1067:I1068 I1070:I1071 I1073:I1074 I1076:I1077 I1079:I1080 I1082:I1083 I1085:I1086 I1088:I1089 I1091:I1092 I1094:I1095 I1097:I1098 I1100:I1101 I1103:I1104 I1106:I1107 I1109:I1110" xr:uid="{00000000-0002-0000-0100-00000E000000}">
      <formula1>"Menyampaikan Orasi Ilmiah"</formula1>
    </dataValidation>
    <dataValidation type="list" allowBlank="1" showInputMessage="1" showErrorMessage="1" prompt="pilih dengan mengklik segitiga dipojok kotak" sqref="I237:I261" xr:uid="{00000000-0002-0000-0100-00000F000000}">
      <formula1>"Membimbing KKN/PKL/PKN/PKL per semester"</formula1>
    </dataValidation>
  </dataValidations>
  <hyperlinks>
    <hyperlink ref="H123" r:id="rId1" xr:uid="{094BA599-FA5A-47F4-98FA-CDE6543F214F}"/>
  </hyperlinks>
  <pageMargins left="0.56000000000000005" right="0.32" top="0.46" bottom="0.75" header="0" footer="0"/>
  <pageSetup paperSize="9" scale="90" orientation="portrait"/>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14"/>
  <sheetViews>
    <sheetView showGridLines="0" topLeftCell="A205" zoomScale="140" zoomScaleNormal="140" workbookViewId="0">
      <selection activeCell="H209" sqref="H209"/>
    </sheetView>
  </sheetViews>
  <sheetFormatPr defaultColWidth="12.625" defaultRowHeight="15" customHeight="1" x14ac:dyDescent="0.2"/>
  <cols>
    <col min="1" max="1" width="4.125" customWidth="1"/>
    <col min="2" max="2" width="9.125" customWidth="1"/>
    <col min="3" max="3" width="36.875" customWidth="1"/>
    <col min="4" max="4" width="11" customWidth="1"/>
    <col min="5" max="8" width="11.625" customWidth="1"/>
    <col min="9" max="9" width="12.625" hidden="1"/>
    <col min="10" max="10" width="22" customWidth="1"/>
    <col min="11" max="11" width="9.625" customWidth="1"/>
    <col min="12" max="12" width="143.625" customWidth="1"/>
    <col min="13" max="14" width="8" customWidth="1"/>
    <col min="15" max="15" width="11" customWidth="1"/>
    <col min="16" max="16" width="15.125" hidden="1" customWidth="1"/>
    <col min="17" max="22" width="8" customWidth="1"/>
    <col min="23" max="27" width="7.625" customWidth="1"/>
  </cols>
  <sheetData>
    <row r="1" spans="1:27" x14ac:dyDescent="0.25">
      <c r="A1" s="2"/>
      <c r="B1" s="2"/>
      <c r="C1" s="2"/>
      <c r="D1" s="2"/>
      <c r="E1" s="2"/>
      <c r="F1" s="2"/>
      <c r="G1" s="2"/>
      <c r="H1" s="2"/>
      <c r="I1" s="2" t="s">
        <v>832</v>
      </c>
      <c r="J1" s="2"/>
      <c r="K1" s="130"/>
      <c r="L1" s="2"/>
      <c r="M1" s="2"/>
      <c r="N1" s="2"/>
      <c r="O1" s="2"/>
      <c r="P1" s="2"/>
      <c r="Q1" s="2"/>
      <c r="R1" s="2"/>
      <c r="S1" s="2"/>
      <c r="T1" s="2"/>
      <c r="U1" s="2"/>
      <c r="V1" s="7" t="s">
        <v>833</v>
      </c>
      <c r="W1" s="2"/>
      <c r="X1" s="2"/>
      <c r="Y1" s="2"/>
      <c r="Z1" s="2"/>
      <c r="AA1" s="2"/>
    </row>
    <row r="2" spans="1:27" x14ac:dyDescent="0.25">
      <c r="A2" s="2"/>
      <c r="B2" s="2"/>
      <c r="C2" s="2"/>
      <c r="D2" s="2"/>
      <c r="E2" s="2"/>
      <c r="F2" s="2"/>
      <c r="G2" s="2"/>
      <c r="H2" s="2"/>
      <c r="I2" s="2" t="s">
        <v>1</v>
      </c>
      <c r="J2" s="2"/>
      <c r="K2" s="130"/>
      <c r="L2" s="2"/>
      <c r="M2" s="2"/>
      <c r="N2" s="2"/>
      <c r="O2" s="2"/>
      <c r="P2" s="2"/>
      <c r="Q2" s="2"/>
      <c r="R2" s="2"/>
      <c r="S2" s="2"/>
      <c r="T2" s="2"/>
      <c r="U2" s="2"/>
      <c r="V2" s="7" t="s">
        <v>834</v>
      </c>
      <c r="W2" s="2"/>
      <c r="X2" s="2"/>
      <c r="Y2" s="2"/>
      <c r="Z2" s="2"/>
      <c r="AA2" s="2"/>
    </row>
    <row r="3" spans="1:27" x14ac:dyDescent="0.25">
      <c r="A3" s="2"/>
      <c r="B3" s="2"/>
      <c r="C3" s="2"/>
      <c r="D3" s="2"/>
      <c r="E3" s="2"/>
      <c r="F3" s="2"/>
      <c r="G3" s="2"/>
      <c r="H3" s="2"/>
      <c r="I3" s="2" t="s">
        <v>2</v>
      </c>
      <c r="J3" s="2"/>
      <c r="K3" s="130"/>
      <c r="L3" s="2"/>
      <c r="M3" s="2"/>
      <c r="N3" s="2"/>
      <c r="O3" s="2"/>
      <c r="P3" s="2"/>
      <c r="Q3" s="2"/>
      <c r="R3" s="2"/>
      <c r="S3" s="2"/>
      <c r="T3" s="2"/>
      <c r="U3" s="2"/>
      <c r="V3" s="7" t="s">
        <v>835</v>
      </c>
      <c r="W3" s="2"/>
      <c r="X3" s="2"/>
      <c r="Y3" s="2"/>
      <c r="Z3" s="2"/>
      <c r="AA3" s="2"/>
    </row>
    <row r="4" spans="1:27" x14ac:dyDescent="0.25">
      <c r="A4" s="2"/>
      <c r="B4" s="2"/>
      <c r="C4" s="2"/>
      <c r="D4" s="2"/>
      <c r="E4" s="2"/>
      <c r="F4" s="2"/>
      <c r="G4" s="2"/>
      <c r="H4" s="2"/>
      <c r="I4" s="2" t="s">
        <v>3</v>
      </c>
      <c r="J4" s="2"/>
      <c r="K4" s="130"/>
      <c r="L4" s="2"/>
      <c r="M4" s="2"/>
      <c r="N4" s="2"/>
      <c r="O4" s="2"/>
      <c r="P4" s="2"/>
      <c r="Q4" s="2"/>
      <c r="R4" s="2"/>
      <c r="S4" s="2"/>
      <c r="T4" s="2"/>
      <c r="U4" s="2"/>
      <c r="V4" s="7" t="s">
        <v>836</v>
      </c>
      <c r="W4" s="2"/>
      <c r="X4" s="2"/>
      <c r="Y4" s="2"/>
      <c r="Z4" s="2"/>
      <c r="AA4" s="2"/>
    </row>
    <row r="5" spans="1:27" ht="18.75" customHeight="1" x14ac:dyDescent="0.25">
      <c r="A5" s="2"/>
      <c r="B5" s="2"/>
      <c r="C5" s="2"/>
      <c r="D5" s="2"/>
      <c r="E5" s="2"/>
      <c r="F5" s="2"/>
      <c r="G5" s="2"/>
      <c r="H5" s="2"/>
      <c r="I5" s="2" t="s">
        <v>4</v>
      </c>
      <c r="J5" s="2"/>
      <c r="K5" s="130"/>
      <c r="L5" s="2"/>
      <c r="M5" s="2"/>
      <c r="N5" s="2"/>
      <c r="O5" s="2"/>
      <c r="P5" s="2"/>
      <c r="Q5" s="2"/>
      <c r="R5" s="2"/>
      <c r="S5" s="2"/>
      <c r="T5" s="2"/>
      <c r="U5" s="2"/>
      <c r="V5" s="7" t="s">
        <v>837</v>
      </c>
      <c r="W5" s="2"/>
      <c r="X5" s="2"/>
      <c r="Y5" s="2"/>
      <c r="Z5" s="2"/>
      <c r="AA5" s="2"/>
    </row>
    <row r="6" spans="1:27" ht="234" customHeight="1" x14ac:dyDescent="0.25">
      <c r="A6" s="2"/>
      <c r="B6" s="4"/>
      <c r="C6" s="4"/>
      <c r="D6" s="4"/>
      <c r="E6" s="4"/>
      <c r="F6" s="4"/>
      <c r="G6" s="4"/>
      <c r="H6" s="4"/>
      <c r="I6" s="703" t="s">
        <v>5</v>
      </c>
      <c r="J6" s="613"/>
      <c r="K6" s="130"/>
      <c r="L6" s="2"/>
      <c r="M6" s="2"/>
      <c r="N6" s="2"/>
      <c r="O6" s="2"/>
      <c r="P6" s="2"/>
      <c r="Q6" s="2"/>
      <c r="R6" s="2"/>
      <c r="S6" s="2"/>
      <c r="T6" s="2"/>
      <c r="U6" s="2"/>
      <c r="V6" s="7" t="s">
        <v>838</v>
      </c>
      <c r="W6" s="2"/>
      <c r="X6" s="2"/>
      <c r="Y6" s="2"/>
      <c r="Z6" s="2"/>
      <c r="AA6" s="2"/>
    </row>
    <row r="7" spans="1:27" x14ac:dyDescent="0.25">
      <c r="A7" s="2"/>
      <c r="B7" s="2"/>
      <c r="C7" s="2"/>
      <c r="D7" s="2"/>
      <c r="E7" s="2"/>
      <c r="F7" s="2"/>
      <c r="G7" s="2"/>
      <c r="H7" s="2"/>
      <c r="I7" s="2"/>
      <c r="J7" s="2"/>
      <c r="K7" s="2"/>
      <c r="L7" s="2"/>
      <c r="M7" s="2"/>
      <c r="N7" s="2"/>
      <c r="O7" s="2"/>
      <c r="P7" s="2"/>
      <c r="Q7" s="2"/>
      <c r="R7" s="2"/>
      <c r="S7" s="2"/>
      <c r="T7" s="2"/>
      <c r="U7" s="2"/>
      <c r="V7" s="7" t="s">
        <v>839</v>
      </c>
      <c r="W7" s="2"/>
      <c r="X7" s="2"/>
      <c r="Y7" s="2"/>
      <c r="Z7" s="2"/>
      <c r="AA7" s="2"/>
    </row>
    <row r="8" spans="1:27" ht="15.75" customHeight="1" x14ac:dyDescent="0.25">
      <c r="A8" s="628" t="s">
        <v>840</v>
      </c>
      <c r="B8" s="613"/>
      <c r="C8" s="613"/>
      <c r="D8" s="613"/>
      <c r="E8" s="613"/>
      <c r="F8" s="613"/>
      <c r="G8" s="613"/>
      <c r="H8" s="613"/>
      <c r="I8" s="613"/>
      <c r="J8" s="613"/>
      <c r="K8" s="5"/>
      <c r="L8" s="4"/>
      <c r="M8" s="4"/>
      <c r="N8" s="4"/>
      <c r="O8" s="4"/>
      <c r="P8" s="4"/>
      <c r="Q8" s="4"/>
      <c r="R8" s="4"/>
      <c r="S8" s="4"/>
      <c r="T8" s="4"/>
      <c r="U8" s="4"/>
      <c r="V8" s="7" t="s">
        <v>841</v>
      </c>
      <c r="W8" s="4"/>
      <c r="X8" s="4"/>
      <c r="Y8" s="4"/>
      <c r="Z8" s="4"/>
      <c r="AA8" s="4"/>
    </row>
    <row r="9" spans="1:27" ht="15.75" customHeight="1" x14ac:dyDescent="0.25">
      <c r="A9" s="628" t="s">
        <v>842</v>
      </c>
      <c r="B9" s="613"/>
      <c r="C9" s="613"/>
      <c r="D9" s="613"/>
      <c r="E9" s="613"/>
      <c r="F9" s="613"/>
      <c r="G9" s="613"/>
      <c r="H9" s="613"/>
      <c r="I9" s="613"/>
      <c r="J9" s="613"/>
      <c r="K9" s="5"/>
      <c r="L9" s="4"/>
      <c r="M9" s="4"/>
      <c r="N9" s="4"/>
      <c r="O9" s="4"/>
      <c r="P9" s="4"/>
      <c r="Q9" s="4"/>
      <c r="R9" s="4"/>
      <c r="S9" s="4"/>
      <c r="T9" s="4"/>
      <c r="U9" s="4"/>
      <c r="V9" s="7" t="s">
        <v>843</v>
      </c>
      <c r="W9" s="4"/>
      <c r="X9" s="4"/>
      <c r="Y9" s="4"/>
      <c r="Z9" s="4"/>
      <c r="AA9" s="4"/>
    </row>
    <row r="10" spans="1:27" ht="15.75" customHeight="1" x14ac:dyDescent="0.25">
      <c r="A10" s="431" t="s">
        <v>844</v>
      </c>
      <c r="B10" s="432"/>
      <c r="C10" s="432"/>
      <c r="D10" s="432"/>
      <c r="E10" s="432"/>
      <c r="F10" s="432"/>
      <c r="G10" s="432"/>
      <c r="H10" s="432"/>
      <c r="I10" s="432"/>
      <c r="J10" s="433"/>
      <c r="K10" s="5"/>
      <c r="L10" s="4"/>
      <c r="M10" s="4"/>
      <c r="N10" s="4"/>
      <c r="O10" s="4"/>
      <c r="P10" s="4"/>
      <c r="Q10" s="4"/>
      <c r="R10" s="4"/>
      <c r="S10" s="4"/>
      <c r="T10" s="4"/>
      <c r="U10" s="4"/>
      <c r="V10" s="7"/>
      <c r="W10" s="4"/>
      <c r="X10" s="4"/>
      <c r="Y10" s="4"/>
      <c r="Z10" s="4"/>
      <c r="AA10" s="4"/>
    </row>
    <row r="11" spans="1:27" ht="15.75" customHeight="1" x14ac:dyDescent="0.25">
      <c r="A11" s="133">
        <v>1</v>
      </c>
      <c r="B11" s="624" t="s">
        <v>19</v>
      </c>
      <c r="C11" s="616"/>
      <c r="D11" s="624" t="str">
        <f>IF('LAMPIRAN II DONE'!C11&lt;&gt;"",'LAMPIRAN II DONE'!C11,"")</f>
        <v/>
      </c>
      <c r="E11" s="615"/>
      <c r="F11" s="615"/>
      <c r="G11" s="615"/>
      <c r="H11" s="615"/>
      <c r="I11" s="615"/>
      <c r="J11" s="616"/>
      <c r="K11" s="5"/>
      <c r="L11" s="4"/>
      <c r="M11" s="4"/>
      <c r="N11" s="4"/>
      <c r="O11" s="4"/>
      <c r="P11" s="4"/>
      <c r="Q11" s="4"/>
      <c r="R11" s="4"/>
      <c r="S11" s="4"/>
      <c r="T11" s="4"/>
      <c r="U11" s="4"/>
      <c r="V11" s="7"/>
      <c r="W11" s="4"/>
      <c r="X11" s="4"/>
      <c r="Y11" s="4"/>
      <c r="Z11" s="4"/>
      <c r="AA11" s="4"/>
    </row>
    <row r="12" spans="1:27" ht="15.75" customHeight="1" x14ac:dyDescent="0.25">
      <c r="A12" s="133">
        <v>2</v>
      </c>
      <c r="B12" s="624" t="s">
        <v>283</v>
      </c>
      <c r="C12" s="616"/>
      <c r="D12" s="624" t="str">
        <f>IF('LAMPIRAN II DONE'!C12&lt;&gt;"",'LAMPIRAN II DONE'!C12,"")</f>
        <v/>
      </c>
      <c r="E12" s="615"/>
      <c r="F12" s="615"/>
      <c r="G12" s="615"/>
      <c r="H12" s="615"/>
      <c r="I12" s="615"/>
      <c r="J12" s="616"/>
      <c r="K12" s="5"/>
      <c r="L12" s="4"/>
      <c r="M12" s="4"/>
      <c r="N12" s="4"/>
      <c r="O12" s="4"/>
      <c r="P12" s="4"/>
      <c r="Q12" s="4"/>
      <c r="R12" s="4"/>
      <c r="S12" s="4"/>
      <c r="T12" s="4"/>
      <c r="U12" s="4"/>
      <c r="V12" s="7"/>
      <c r="W12" s="4"/>
      <c r="X12" s="4"/>
      <c r="Y12" s="4"/>
      <c r="Z12" s="4"/>
      <c r="AA12" s="4"/>
    </row>
    <row r="13" spans="1:27" ht="15.75" customHeight="1" x14ac:dyDescent="0.25">
      <c r="A13" s="133">
        <v>3</v>
      </c>
      <c r="B13" s="705" t="s">
        <v>284</v>
      </c>
      <c r="C13" s="616"/>
      <c r="D13" s="624" t="str">
        <f>IF('LAMPIRAN II DONE'!C13&lt;&gt;"",'LAMPIRAN II DONE'!C13,"")</f>
        <v/>
      </c>
      <c r="E13" s="615"/>
      <c r="F13" s="615"/>
      <c r="G13" s="615"/>
      <c r="H13" s="615"/>
      <c r="I13" s="615"/>
      <c r="J13" s="616"/>
      <c r="K13" s="5"/>
      <c r="L13" s="4"/>
      <c r="M13" s="4"/>
      <c r="N13" s="4"/>
      <c r="O13" s="4"/>
      <c r="P13" s="4"/>
      <c r="Q13" s="4"/>
      <c r="R13" s="4"/>
      <c r="S13" s="4"/>
      <c r="T13" s="4"/>
      <c r="U13" s="4"/>
      <c r="V13" s="7"/>
      <c r="W13" s="4"/>
      <c r="X13" s="4"/>
      <c r="Y13" s="4"/>
      <c r="Z13" s="4"/>
      <c r="AA13" s="4"/>
    </row>
    <row r="14" spans="1:27" ht="15.75" customHeight="1" x14ac:dyDescent="0.25">
      <c r="A14" s="133">
        <v>4</v>
      </c>
      <c r="B14" s="705" t="s">
        <v>285</v>
      </c>
      <c r="C14" s="616"/>
      <c r="D14" s="624" t="str">
        <f>IF('LAMPIRAN II DONE'!C14&lt;&gt;"",'LAMPIRAN II DONE'!C14,"")</f>
        <v/>
      </c>
      <c r="E14" s="615"/>
      <c r="F14" s="615"/>
      <c r="G14" s="615"/>
      <c r="H14" s="615"/>
      <c r="I14" s="615"/>
      <c r="J14" s="616"/>
      <c r="K14" s="5"/>
      <c r="L14" s="4"/>
      <c r="M14" s="4"/>
      <c r="N14" s="4"/>
      <c r="O14" s="4"/>
      <c r="P14" s="4"/>
      <c r="Q14" s="4"/>
      <c r="R14" s="4"/>
      <c r="S14" s="4"/>
      <c r="T14" s="4"/>
      <c r="U14" s="4"/>
      <c r="V14" s="7"/>
      <c r="W14" s="4"/>
      <c r="X14" s="4"/>
      <c r="Y14" s="4"/>
      <c r="Z14" s="4"/>
      <c r="AA14" s="4"/>
    </row>
    <row r="15" spans="1:27" ht="15.75" customHeight="1" x14ac:dyDescent="0.25">
      <c r="A15" s="133">
        <v>5</v>
      </c>
      <c r="B15" s="705" t="s">
        <v>286</v>
      </c>
      <c r="C15" s="616"/>
      <c r="D15" s="624" t="str">
        <f>IF('LAMPIRAN II DONE'!C15&lt;&gt;"",'LAMPIRAN II DONE'!C15,"")</f>
        <v/>
      </c>
      <c r="E15" s="615"/>
      <c r="F15" s="615"/>
      <c r="G15" s="615"/>
      <c r="H15" s="615"/>
      <c r="I15" s="615"/>
      <c r="J15" s="616"/>
      <c r="K15" s="5"/>
      <c r="L15" s="4"/>
      <c r="M15" s="4"/>
      <c r="N15" s="4"/>
      <c r="O15" s="4"/>
      <c r="P15" s="4"/>
      <c r="Q15" s="4"/>
      <c r="R15" s="4"/>
      <c r="S15" s="4"/>
      <c r="T15" s="4"/>
      <c r="U15" s="4"/>
      <c r="V15" s="7"/>
      <c r="W15" s="4"/>
      <c r="X15" s="4"/>
      <c r="Y15" s="4"/>
      <c r="Z15" s="4"/>
      <c r="AA15" s="4"/>
    </row>
    <row r="16" spans="1:27" ht="15.75" customHeight="1" x14ac:dyDescent="0.25">
      <c r="A16" s="431" t="s">
        <v>287</v>
      </c>
      <c r="B16" s="432"/>
      <c r="C16" s="432"/>
      <c r="D16" s="432"/>
      <c r="E16" s="432"/>
      <c r="F16" s="432"/>
      <c r="G16" s="432"/>
      <c r="H16" s="432"/>
      <c r="I16" s="432"/>
      <c r="J16" s="433"/>
      <c r="K16" s="5"/>
      <c r="L16" s="4"/>
      <c r="M16" s="4"/>
      <c r="N16" s="4"/>
      <c r="O16" s="4"/>
      <c r="P16" s="4"/>
      <c r="Q16" s="4"/>
      <c r="R16" s="4"/>
      <c r="S16" s="4"/>
      <c r="T16" s="4"/>
      <c r="U16" s="4"/>
      <c r="V16" s="7"/>
      <c r="W16" s="4"/>
      <c r="X16" s="4"/>
      <c r="Y16" s="4"/>
      <c r="Z16" s="4"/>
      <c r="AA16" s="4"/>
    </row>
    <row r="17" spans="1:27" ht="17.25" customHeight="1" x14ac:dyDescent="0.25">
      <c r="A17" s="134">
        <v>1</v>
      </c>
      <c r="B17" s="678" t="s">
        <v>845</v>
      </c>
      <c r="C17" s="616"/>
      <c r="D17" s="705" t="str">
        <f>IF('LAMPIRAN I DONE'!F15&lt;&gt;"",'LAMPIRAN I DONE'!F15,"")</f>
        <v>Dahliar Ananda</v>
      </c>
      <c r="E17" s="615"/>
      <c r="F17" s="615"/>
      <c r="G17" s="615"/>
      <c r="H17" s="615"/>
      <c r="I17" s="615"/>
      <c r="J17" s="616"/>
      <c r="K17" s="2" t="s">
        <v>13</v>
      </c>
      <c r="M17" s="4"/>
      <c r="N17" s="4"/>
      <c r="O17" s="4"/>
      <c r="P17" s="4"/>
      <c r="Q17" s="4"/>
      <c r="R17" s="4"/>
      <c r="S17" s="4"/>
      <c r="T17" s="4"/>
      <c r="U17" s="4"/>
      <c r="V17" s="7" t="s">
        <v>846</v>
      </c>
      <c r="W17" s="4"/>
      <c r="X17" s="4"/>
      <c r="Y17" s="4"/>
      <c r="Z17" s="4"/>
      <c r="AA17" s="4"/>
    </row>
    <row r="18" spans="1:27" x14ac:dyDescent="0.25">
      <c r="A18" s="134">
        <v>2</v>
      </c>
      <c r="B18" s="678" t="s">
        <v>847</v>
      </c>
      <c r="C18" s="616"/>
      <c r="D18" s="705" t="str">
        <f>IF('LAMPIRAN I DONE'!F16&lt;&gt;"",'LAMPIRAN I DONE'!F16,"")</f>
        <v>0402058203 / 09820030</v>
      </c>
      <c r="E18" s="615"/>
      <c r="F18" s="615"/>
      <c r="G18" s="615"/>
      <c r="H18" s="615"/>
      <c r="I18" s="615"/>
      <c r="J18" s="616"/>
      <c r="K18" s="2"/>
      <c r="L18" s="2"/>
      <c r="M18" s="4"/>
      <c r="N18" s="4"/>
      <c r="O18" s="4"/>
      <c r="P18" s="4"/>
      <c r="Q18" s="4"/>
      <c r="R18" s="4"/>
      <c r="S18" s="4"/>
      <c r="T18" s="4"/>
      <c r="U18" s="4"/>
      <c r="V18" s="7" t="s">
        <v>848</v>
      </c>
      <c r="W18" s="4"/>
      <c r="X18" s="4"/>
      <c r="Y18" s="4"/>
      <c r="Z18" s="4"/>
      <c r="AA18" s="4"/>
    </row>
    <row r="19" spans="1:27" ht="15" customHeight="1" x14ac:dyDescent="0.25">
      <c r="A19" s="134">
        <v>3</v>
      </c>
      <c r="B19" s="678" t="s">
        <v>849</v>
      </c>
      <c r="C19" s="616"/>
      <c r="D19" s="705" t="str">
        <f>IF('LAMPIRAN I DONE'!F21&lt;&gt;"",'LAMPIRAN I DONE'!F21,"")</f>
        <v>Lektor</v>
      </c>
      <c r="E19" s="615"/>
      <c r="F19" s="615"/>
      <c r="G19" s="615"/>
      <c r="H19" s="615"/>
      <c r="I19" s="615"/>
      <c r="J19" s="616"/>
      <c r="K19" s="317"/>
      <c r="L19" s="2" t="s">
        <v>18</v>
      </c>
      <c r="M19" s="4"/>
      <c r="N19" s="4"/>
      <c r="O19" s="4"/>
      <c r="P19" s="4"/>
      <c r="Q19" s="4"/>
      <c r="R19" s="4"/>
      <c r="S19" s="4"/>
      <c r="T19" s="4"/>
      <c r="U19" s="4"/>
      <c r="V19" s="4"/>
      <c r="W19" s="4"/>
      <c r="X19" s="4"/>
      <c r="Y19" s="4"/>
      <c r="Z19" s="4"/>
      <c r="AA19" s="4"/>
    </row>
    <row r="20" spans="1:27" x14ac:dyDescent="0.25">
      <c r="A20" s="134">
        <v>4</v>
      </c>
      <c r="B20" s="678" t="s">
        <v>850</v>
      </c>
      <c r="C20" s="616"/>
      <c r="D20" s="706" t="str">
        <f>IF('LAMPIRAN I DONE'!F25&lt;&gt;"",'LAMPIRAN I DONE'!F25,"")</f>
        <v>S1 Rekayasa Perangkat Lunak Kampus Surabaya Fakultas Informatika di Universitas Telkom pada LLDIKTI Wilayah IV Jawa Barat dan Banten</v>
      </c>
      <c r="E20" s="615"/>
      <c r="F20" s="615"/>
      <c r="G20" s="615"/>
      <c r="H20" s="615"/>
      <c r="I20" s="615"/>
      <c r="J20" s="616"/>
      <c r="K20" s="319"/>
      <c r="L20" s="2" t="s">
        <v>291</v>
      </c>
      <c r="M20" s="4"/>
      <c r="N20" s="4"/>
      <c r="O20" s="4"/>
      <c r="P20" s="4"/>
      <c r="Q20" s="4"/>
      <c r="R20" s="4"/>
      <c r="S20" s="4"/>
      <c r="T20" s="4"/>
      <c r="U20" s="4"/>
      <c r="V20" s="4"/>
      <c r="W20" s="4"/>
      <c r="X20" s="4"/>
      <c r="Y20" s="4"/>
      <c r="Z20" s="4"/>
      <c r="AA20" s="4"/>
    </row>
    <row r="21" spans="1:27" ht="15.75" customHeight="1" x14ac:dyDescent="0.25">
      <c r="A21" s="434"/>
      <c r="B21" s="703"/>
      <c r="C21" s="613"/>
      <c r="D21" s="618"/>
      <c r="E21" s="613"/>
      <c r="F21" s="613"/>
      <c r="G21" s="613"/>
      <c r="H21" s="613"/>
      <c r="I21" s="613"/>
      <c r="J21" s="634"/>
      <c r="K21" s="111"/>
      <c r="L21" s="623" t="s">
        <v>851</v>
      </c>
      <c r="M21" s="613"/>
      <c r="N21" s="4"/>
      <c r="O21" s="4"/>
      <c r="P21" s="4"/>
      <c r="Q21" s="4"/>
      <c r="R21" s="4"/>
      <c r="S21" s="4"/>
      <c r="T21" s="4"/>
      <c r="U21" s="4"/>
      <c r="V21" s="4"/>
      <c r="W21" s="4"/>
      <c r="X21" s="4"/>
      <c r="Y21" s="4"/>
      <c r="Z21" s="4"/>
      <c r="AA21" s="4"/>
    </row>
    <row r="22" spans="1:27" ht="34.5" customHeight="1" x14ac:dyDescent="0.25">
      <c r="A22" s="702" t="s">
        <v>45</v>
      </c>
      <c r="B22" s="704" t="s">
        <v>292</v>
      </c>
      <c r="C22" s="645"/>
      <c r="D22" s="702" t="s">
        <v>293</v>
      </c>
      <c r="E22" s="702" t="s">
        <v>294</v>
      </c>
      <c r="F22" s="702" t="s">
        <v>295</v>
      </c>
      <c r="G22" s="702" t="s">
        <v>296</v>
      </c>
      <c r="H22" s="702" t="s">
        <v>297</v>
      </c>
      <c r="I22" s="702" t="s">
        <v>852</v>
      </c>
      <c r="J22" s="702" t="s">
        <v>298</v>
      </c>
      <c r="K22" s="135"/>
      <c r="L22" s="136" t="s">
        <v>853</v>
      </c>
      <c r="M22" s="4"/>
      <c r="N22" s="4"/>
      <c r="O22" s="4"/>
      <c r="P22" s="4"/>
      <c r="Q22" s="4"/>
      <c r="R22" s="4"/>
      <c r="S22" s="4"/>
      <c r="T22" s="4"/>
      <c r="U22" s="4"/>
      <c r="V22" s="4"/>
      <c r="W22" s="4"/>
      <c r="X22" s="4"/>
      <c r="Y22" s="4"/>
      <c r="Z22" s="4"/>
      <c r="AA22" s="4"/>
    </row>
    <row r="23" spans="1:27" ht="15" customHeight="1" x14ac:dyDescent="0.25">
      <c r="A23" s="630"/>
      <c r="B23" s="635"/>
      <c r="C23" s="613"/>
      <c r="D23" s="630"/>
      <c r="E23" s="630"/>
      <c r="F23" s="630"/>
      <c r="G23" s="630"/>
      <c r="H23" s="630"/>
      <c r="I23" s="630"/>
      <c r="J23" s="630"/>
      <c r="K23" s="135"/>
      <c r="L23" s="4"/>
      <c r="M23" s="4"/>
      <c r="N23" s="4"/>
      <c r="O23" s="4"/>
      <c r="P23" s="4"/>
      <c r="Q23" s="4"/>
      <c r="R23" s="4"/>
      <c r="S23" s="4"/>
      <c r="T23" s="4"/>
      <c r="U23" s="4"/>
      <c r="V23" s="4"/>
      <c r="W23" s="4"/>
      <c r="X23" s="4"/>
      <c r="Y23" s="4"/>
      <c r="Z23" s="4"/>
      <c r="AA23" s="4"/>
    </row>
    <row r="24" spans="1:27" ht="15.75" customHeight="1" x14ac:dyDescent="0.25">
      <c r="A24" s="631"/>
      <c r="B24" s="636"/>
      <c r="C24" s="637"/>
      <c r="D24" s="631"/>
      <c r="E24" s="631"/>
      <c r="F24" s="631"/>
      <c r="G24" s="631"/>
      <c r="H24" s="631"/>
      <c r="I24" s="631"/>
      <c r="J24" s="631"/>
      <c r="K24" s="135"/>
      <c r="L24" s="4"/>
      <c r="M24" s="4"/>
      <c r="N24" s="4"/>
      <c r="O24" s="4"/>
      <c r="P24" s="4"/>
      <c r="Q24" s="4"/>
      <c r="R24" s="4"/>
      <c r="S24" s="4"/>
      <c r="T24" s="4"/>
      <c r="U24" s="4"/>
      <c r="V24" s="4"/>
      <c r="W24" s="4"/>
      <c r="X24" s="4"/>
      <c r="Y24" s="4"/>
      <c r="Z24" s="4"/>
      <c r="AA24" s="4"/>
    </row>
    <row r="25" spans="1:27" ht="15.75" customHeight="1" x14ac:dyDescent="0.25">
      <c r="A25" s="100">
        <v>1</v>
      </c>
      <c r="B25" s="700">
        <v>2</v>
      </c>
      <c r="C25" s="616"/>
      <c r="D25" s="100">
        <v>3</v>
      </c>
      <c r="E25" s="100">
        <v>4</v>
      </c>
      <c r="F25" s="100"/>
      <c r="G25" s="100">
        <v>5</v>
      </c>
      <c r="H25" s="100">
        <v>6</v>
      </c>
      <c r="I25" s="100">
        <v>7</v>
      </c>
      <c r="J25" s="100">
        <v>7</v>
      </c>
      <c r="K25" s="135"/>
      <c r="L25" s="4"/>
      <c r="M25" s="4"/>
      <c r="N25" s="4"/>
      <c r="O25" s="4"/>
      <c r="P25" s="4"/>
      <c r="Q25" s="4"/>
      <c r="R25" s="4"/>
      <c r="S25" s="4"/>
      <c r="T25" s="4"/>
      <c r="U25" s="4"/>
      <c r="V25" s="4"/>
      <c r="W25" s="4"/>
      <c r="X25" s="4"/>
      <c r="Y25" s="4"/>
      <c r="Z25" s="4"/>
      <c r="AA25" s="4"/>
    </row>
    <row r="26" spans="1:27" ht="15" customHeight="1" x14ac:dyDescent="0.25">
      <c r="A26" s="99" t="s">
        <v>136</v>
      </c>
      <c r="B26" s="701" t="s">
        <v>854</v>
      </c>
      <c r="C26" s="615"/>
      <c r="D26" s="435"/>
      <c r="E26" s="435"/>
      <c r="F26" s="435"/>
      <c r="G26" s="435"/>
      <c r="H26" s="435"/>
      <c r="I26" s="435"/>
      <c r="J26" s="436"/>
      <c r="K26" s="137"/>
      <c r="L26" s="4"/>
      <c r="M26" s="4"/>
      <c r="N26" s="4"/>
      <c r="O26" s="4"/>
      <c r="P26" s="4"/>
      <c r="Q26" s="4"/>
      <c r="R26" s="4"/>
      <c r="S26" s="4"/>
      <c r="T26" s="4"/>
      <c r="U26" s="4"/>
      <c r="V26" s="4"/>
      <c r="W26" s="4"/>
      <c r="X26" s="4"/>
      <c r="Y26" s="4"/>
      <c r="Z26" s="4"/>
      <c r="AA26" s="4"/>
    </row>
    <row r="27" spans="1:27" ht="15" customHeight="1" x14ac:dyDescent="0.25">
      <c r="A27" s="138" t="s">
        <v>56</v>
      </c>
      <c r="B27" s="412" t="s">
        <v>855</v>
      </c>
      <c r="C27" s="437"/>
      <c r="D27" s="437"/>
      <c r="E27" s="437"/>
      <c r="F27" s="437"/>
      <c r="G27" s="437"/>
      <c r="H27" s="437"/>
      <c r="I27" s="437"/>
      <c r="J27" s="438"/>
      <c r="K27" s="139" t="s">
        <v>856</v>
      </c>
      <c r="L27" s="140" t="s">
        <v>857</v>
      </c>
      <c r="M27" s="141"/>
      <c r="N27" s="141"/>
      <c r="O27" s="4"/>
      <c r="P27" s="4"/>
      <c r="Q27" s="4"/>
      <c r="R27" s="4"/>
      <c r="S27" s="4"/>
      <c r="T27" s="4"/>
      <c r="U27" s="4"/>
      <c r="V27" s="4"/>
      <c r="W27" s="4"/>
      <c r="X27" s="4"/>
      <c r="Y27" s="4"/>
      <c r="Z27" s="4"/>
      <c r="AA27" s="4"/>
    </row>
    <row r="28" spans="1:27" ht="21.75" customHeight="1" x14ac:dyDescent="0.25">
      <c r="A28" s="142" t="s">
        <v>858</v>
      </c>
      <c r="B28" s="439"/>
      <c r="C28" s="439"/>
      <c r="D28" s="439"/>
      <c r="E28" s="439"/>
      <c r="F28" s="439"/>
      <c r="G28" s="439"/>
      <c r="H28" s="439"/>
      <c r="I28" s="439"/>
      <c r="J28" s="143"/>
      <c r="K28" s="139"/>
      <c r="L28" s="140"/>
      <c r="M28" s="141"/>
      <c r="N28" s="141"/>
      <c r="O28" s="4"/>
      <c r="P28" s="4"/>
      <c r="Q28" s="4"/>
      <c r="R28" s="4"/>
      <c r="S28" s="4"/>
      <c r="T28" s="4"/>
      <c r="U28" s="4"/>
      <c r="V28" s="4"/>
      <c r="W28" s="4"/>
      <c r="X28" s="4"/>
      <c r="Y28" s="4"/>
      <c r="Z28" s="4"/>
      <c r="AA28" s="4"/>
    </row>
    <row r="29" spans="1:27" ht="15" customHeight="1" x14ac:dyDescent="0.25">
      <c r="A29" s="695">
        <v>1</v>
      </c>
      <c r="B29" s="413" t="s">
        <v>859</v>
      </c>
      <c r="C29" s="440" t="s">
        <v>860</v>
      </c>
      <c r="D29" s="693" t="s">
        <v>861</v>
      </c>
      <c r="E29" s="693" t="s">
        <v>862</v>
      </c>
      <c r="F29" s="684" t="str">
        <f>M29</f>
        <v>rumus</v>
      </c>
      <c r="G29" s="684" t="str">
        <f>IF(N29&lt;&gt;"rumus",M29&amp;" x "&amp;N29&amp;" = "&amp;M29*N29,"rumus")</f>
        <v>rumus</v>
      </c>
      <c r="H29" s="683">
        <f>O29</f>
        <v>0</v>
      </c>
      <c r="I29" s="684"/>
      <c r="J29" s="693" t="s">
        <v>863</v>
      </c>
      <c r="K29" s="688"/>
      <c r="L29" s="688"/>
      <c r="M29" s="689" t="str">
        <f>IF(K29="1 Penulis (ke-1)",100%,IF(K29="2 Penulis (ke-1)",60%,IF(K29="2 Penulis (ke-2)",40%,IF(K29="3 Penulis (ke-1)",60%,IF(K29="3 Penulis (ke-2)",20%,IF(K29="3 Penulis (ke-3)",20%,IF(K29="4 Penulis (ke-1)",60%,IF(K29="4 Penulis (ke-2)",13.3%,IF(K29="4 Penulis (ke-3)",13.3%,IF(K29="4 Penulis (ke-4)",13.3%,"rumus"))))))))))</f>
        <v>rumus</v>
      </c>
      <c r="N29" s="689" t="str">
        <f>IF(L29&lt;&gt;"",VLOOKUP(L29,List!$E$2:$F$23,2,0),"rumus")</f>
        <v>rumus</v>
      </c>
      <c r="O29" s="694">
        <f>IFERROR(M29*N29,0)</f>
        <v>0</v>
      </c>
      <c r="P29" s="694" t="e">
        <f>VLOOKUP(L29,List!$E$2:$G$23,3,0)</f>
        <v>#N/A</v>
      </c>
      <c r="Q29" s="688" t="str">
        <f>IF(RIGHT(K29,6)="(ke-1)","Penulis Utama",IF(K29="","","Pendamping"))</f>
        <v/>
      </c>
      <c r="R29" s="4"/>
      <c r="S29" s="4"/>
      <c r="T29" s="4"/>
      <c r="U29" s="4"/>
      <c r="V29" s="4"/>
      <c r="W29" s="4"/>
      <c r="X29" s="4"/>
      <c r="Y29" s="4"/>
      <c r="Z29" s="4"/>
      <c r="AA29" s="4"/>
    </row>
    <row r="30" spans="1:27" ht="80.25" customHeight="1" x14ac:dyDescent="0.25">
      <c r="A30" s="631"/>
      <c r="B30" s="413" t="s">
        <v>864</v>
      </c>
      <c r="C30" s="440" t="s">
        <v>860</v>
      </c>
      <c r="D30" s="631"/>
      <c r="E30" s="631"/>
      <c r="F30" s="631"/>
      <c r="G30" s="631"/>
      <c r="H30" s="631"/>
      <c r="I30" s="631"/>
      <c r="J30" s="631"/>
      <c r="K30" s="631"/>
      <c r="L30" s="631"/>
      <c r="M30" s="631"/>
      <c r="N30" s="631"/>
      <c r="O30" s="613"/>
      <c r="P30" s="613"/>
      <c r="Q30" s="631"/>
      <c r="R30" s="4"/>
      <c r="S30" s="4"/>
      <c r="T30" s="4"/>
      <c r="U30" s="4"/>
      <c r="V30" s="4"/>
      <c r="W30" s="4"/>
      <c r="X30" s="4"/>
      <c r="Y30" s="4"/>
      <c r="Z30" s="4"/>
      <c r="AA30" s="4"/>
    </row>
    <row r="31" spans="1:27" ht="15.75" customHeight="1" x14ac:dyDescent="0.25">
      <c r="A31" s="695">
        <v>2</v>
      </c>
      <c r="B31" s="413" t="s">
        <v>859</v>
      </c>
      <c r="C31" s="440" t="s">
        <v>860</v>
      </c>
      <c r="D31" s="693"/>
      <c r="E31" s="693"/>
      <c r="F31" s="684" t="str">
        <f>M31</f>
        <v>rumus</v>
      </c>
      <c r="G31" s="684" t="str">
        <f>IF(N31&lt;&gt;"rumus",M31&amp;" x "&amp;N31&amp;" = "&amp;M31*N31,"rumus")</f>
        <v>rumus</v>
      </c>
      <c r="H31" s="683">
        <f>O31</f>
        <v>0</v>
      </c>
      <c r="I31" s="684"/>
      <c r="J31" s="693" t="s">
        <v>26</v>
      </c>
      <c r="K31" s="688"/>
      <c r="L31" s="688"/>
      <c r="M31" s="689" t="str">
        <f>IF(K31="1 Penulis (ke-1)",100%,IF(K31="2 Penulis (ke-1)",60%,IF(K31="2 Penulis (ke-2)",40%,IF(K31="3 Penulis (ke-1)",60%,IF(K31="3 Penulis (ke-2)",20%,IF(K31="3 Penulis (ke-3)",20%,IF(K31="4 Penulis (ke-1)",60%,IF(K31="4 Penulis (ke-2)",13.3%,IF(K31="4 Penulis (ke-3)",13.3%,IF(K31="4 Penulis (ke-4)",13.3%,"rumus"))))))))))</f>
        <v>rumus</v>
      </c>
      <c r="N31" s="689" t="str">
        <f>IF(L31&lt;&gt;"",VLOOKUP(L31,List!$E$2:$F$23,2,0),"rumus")</f>
        <v>rumus</v>
      </c>
      <c r="O31" s="694">
        <f>IFERROR(M31*N31,0)</f>
        <v>0</v>
      </c>
      <c r="P31" s="694" t="e">
        <f>VLOOKUP(L31,List!$E$2:$G$23,3,0)</f>
        <v>#N/A</v>
      </c>
      <c r="Q31" s="688" t="str">
        <f>IF(RIGHT(K31,6)="(ke-1)","Penulis Utama",IF(K31="","","Pendamping"))</f>
        <v/>
      </c>
      <c r="R31" s="4"/>
      <c r="S31" s="4"/>
      <c r="T31" s="4"/>
      <c r="U31" s="4"/>
      <c r="V31" s="4"/>
      <c r="W31" s="4"/>
      <c r="X31" s="4"/>
      <c r="Y31" s="4"/>
      <c r="Z31" s="4"/>
      <c r="AA31" s="4"/>
    </row>
    <row r="32" spans="1:27" ht="66" customHeight="1" x14ac:dyDescent="0.25">
      <c r="A32" s="631"/>
      <c r="B32" s="413" t="s">
        <v>864</v>
      </c>
      <c r="C32" s="440" t="s">
        <v>860</v>
      </c>
      <c r="D32" s="631"/>
      <c r="E32" s="631"/>
      <c r="F32" s="631"/>
      <c r="G32" s="631"/>
      <c r="H32" s="631"/>
      <c r="I32" s="631"/>
      <c r="J32" s="631"/>
      <c r="K32" s="631"/>
      <c r="L32" s="631"/>
      <c r="M32" s="631"/>
      <c r="N32" s="631"/>
      <c r="O32" s="613"/>
      <c r="P32" s="613"/>
      <c r="Q32" s="631"/>
      <c r="R32" s="4"/>
      <c r="S32" s="4"/>
      <c r="T32" s="4"/>
      <c r="U32" s="4"/>
      <c r="V32" s="4"/>
      <c r="W32" s="4"/>
      <c r="X32" s="4"/>
      <c r="Y32" s="4"/>
      <c r="Z32" s="4"/>
      <c r="AA32" s="4"/>
    </row>
    <row r="33" spans="1:27" ht="15.75" customHeight="1" x14ac:dyDescent="0.25">
      <c r="A33" s="695">
        <v>3</v>
      </c>
      <c r="B33" s="413" t="s">
        <v>859</v>
      </c>
      <c r="C33" s="440"/>
      <c r="D33" s="693"/>
      <c r="E33" s="693"/>
      <c r="F33" s="684" t="str">
        <f>M33</f>
        <v>rumus</v>
      </c>
      <c r="G33" s="684" t="str">
        <f>IF(N33&lt;&gt;"rumus",M33&amp;" x "&amp;N33&amp;" = "&amp;M33*N33,"rumus")</f>
        <v>rumus</v>
      </c>
      <c r="H33" s="683">
        <f>O33</f>
        <v>0</v>
      </c>
      <c r="I33" s="684"/>
      <c r="J33" s="693" t="s">
        <v>26</v>
      </c>
      <c r="K33" s="688"/>
      <c r="L33" s="688"/>
      <c r="M33" s="689" t="str">
        <f>IF(K33="1 Penulis (ke-1)",100%,IF(K33="2 Penulis (ke-1)",60%,IF(K33="2 Penulis (ke-2)",40%,IF(K33="3 Penulis (ke-1)",60%,IF(K33="3 Penulis (ke-2)",20%,IF(K33="3 Penulis (ke-3)",20%,IF(K33="4 Penulis (ke-1)",60%,IF(K33="4 Penulis (ke-2)",13.3%,IF(K33="4 Penulis (ke-3)",13.3%,IF(K33="4 Penulis (ke-4)",13.3%,"rumus"))))))))))</f>
        <v>rumus</v>
      </c>
      <c r="N33" s="689" t="str">
        <f>IF(L33&lt;&gt;"",VLOOKUP(L33,List!$E$2:$F$23,2,0),"rumus")</f>
        <v>rumus</v>
      </c>
      <c r="O33" s="694">
        <f>IFERROR(M33*N33,0)</f>
        <v>0</v>
      </c>
      <c r="P33" s="694" t="e">
        <f>VLOOKUP(L33,List!$E$2:$G$23,3,0)</f>
        <v>#N/A</v>
      </c>
      <c r="Q33" s="688" t="str">
        <f>IF(RIGHT(K33,6)="(ke-1)","Penulis Utama",IF(K33="","","Pendamping"))</f>
        <v/>
      </c>
      <c r="R33" s="4"/>
      <c r="S33" s="4"/>
      <c r="T33" s="4"/>
      <c r="U33" s="4"/>
      <c r="V33" s="4"/>
      <c r="W33" s="4"/>
      <c r="X33" s="4"/>
      <c r="Y33" s="4"/>
      <c r="Z33" s="4"/>
      <c r="AA33" s="4"/>
    </row>
    <row r="34" spans="1:27" ht="66" customHeight="1" x14ac:dyDescent="0.25">
      <c r="A34" s="631"/>
      <c r="B34" s="413" t="s">
        <v>864</v>
      </c>
      <c r="C34" s="440"/>
      <c r="D34" s="631"/>
      <c r="E34" s="631"/>
      <c r="F34" s="631"/>
      <c r="G34" s="631"/>
      <c r="H34" s="631"/>
      <c r="I34" s="631"/>
      <c r="J34" s="631"/>
      <c r="K34" s="631"/>
      <c r="L34" s="631"/>
      <c r="M34" s="631"/>
      <c r="N34" s="631"/>
      <c r="O34" s="613"/>
      <c r="P34" s="613"/>
      <c r="Q34" s="631"/>
      <c r="R34" s="4"/>
      <c r="S34" s="4"/>
      <c r="T34" s="4"/>
      <c r="U34" s="4"/>
      <c r="V34" s="4"/>
      <c r="W34" s="4"/>
      <c r="X34" s="4"/>
      <c r="Y34" s="4"/>
      <c r="Z34" s="4"/>
      <c r="AA34" s="4"/>
    </row>
    <row r="35" spans="1:27" ht="15.75" customHeight="1" x14ac:dyDescent="0.25">
      <c r="A35" s="695">
        <v>4</v>
      </c>
      <c r="B35" s="413" t="s">
        <v>859</v>
      </c>
      <c r="C35" s="416"/>
      <c r="D35" s="693"/>
      <c r="E35" s="693"/>
      <c r="F35" s="684" t="str">
        <f>M35</f>
        <v>rumus</v>
      </c>
      <c r="G35" s="684" t="str">
        <f>IF(N35&lt;&gt;"rumus",M35&amp;" x "&amp;N35&amp;" = "&amp;M35*N35,"rumus")</f>
        <v>rumus</v>
      </c>
      <c r="H35" s="683">
        <f>O35</f>
        <v>0</v>
      </c>
      <c r="I35" s="684"/>
      <c r="J35" s="693" t="s">
        <v>26</v>
      </c>
      <c r="K35" s="688"/>
      <c r="L35" s="688"/>
      <c r="M35" s="689" t="str">
        <f>IF(K35="1 Penulis (ke-1)",100%,IF(K35="2 Penulis (ke-1)",60%,IF(K35="2 Penulis (ke-2)",40%,IF(K35="3 Penulis (ke-1)",60%,IF(K35="3 Penulis (ke-2)",20%,IF(K35="3 Penulis (ke-3)",20%,IF(K35="4 Penulis (ke-1)",60%,IF(K35="4 Penulis (ke-2)",13.3%,IF(K35="4 Penulis (ke-3)",13.3%,IF(K35="4 Penulis (ke-4)",13.3%,"rumus"))))))))))</f>
        <v>rumus</v>
      </c>
      <c r="N35" s="689" t="str">
        <f>IF(L35&lt;&gt;"",VLOOKUP(L35,List!$E$2:$F$23,2,0),"rumus")</f>
        <v>rumus</v>
      </c>
      <c r="O35" s="694">
        <f>IFERROR(M35*N35,0)</f>
        <v>0</v>
      </c>
      <c r="P35" s="694" t="e">
        <f>VLOOKUP(L35,List!$E$2:$G$23,3,0)</f>
        <v>#N/A</v>
      </c>
      <c r="Q35" s="688" t="str">
        <f>IF(RIGHT(K35,6)="(ke-1)","Penulis Utama",IF(K35="","","Pendamping"))</f>
        <v/>
      </c>
      <c r="R35" s="4"/>
      <c r="S35" s="4"/>
      <c r="T35" s="4"/>
      <c r="U35" s="4"/>
      <c r="V35" s="4"/>
      <c r="W35" s="4"/>
      <c r="X35" s="4"/>
      <c r="Y35" s="4"/>
      <c r="Z35" s="4"/>
      <c r="AA35" s="4"/>
    </row>
    <row r="36" spans="1:27" ht="66" customHeight="1" x14ac:dyDescent="0.25">
      <c r="A36" s="631"/>
      <c r="B36" s="413" t="s">
        <v>864</v>
      </c>
      <c r="C36" s="440"/>
      <c r="D36" s="631"/>
      <c r="E36" s="631"/>
      <c r="F36" s="631"/>
      <c r="G36" s="631"/>
      <c r="H36" s="631"/>
      <c r="I36" s="631"/>
      <c r="J36" s="631"/>
      <c r="K36" s="631"/>
      <c r="L36" s="631"/>
      <c r="M36" s="631"/>
      <c r="N36" s="631"/>
      <c r="O36" s="613"/>
      <c r="P36" s="613"/>
      <c r="Q36" s="631"/>
      <c r="R36" s="4"/>
      <c r="S36" s="4"/>
      <c r="T36" s="4"/>
      <c r="U36" s="4"/>
      <c r="V36" s="4"/>
      <c r="W36" s="4"/>
      <c r="X36" s="4"/>
      <c r="Y36" s="4"/>
      <c r="Z36" s="4"/>
      <c r="AA36" s="4"/>
    </row>
    <row r="37" spans="1:27" ht="15.75" customHeight="1" x14ac:dyDescent="0.25">
      <c r="A37" s="695">
        <v>5</v>
      </c>
      <c r="B37" s="413" t="s">
        <v>859</v>
      </c>
      <c r="C37" s="440"/>
      <c r="D37" s="693"/>
      <c r="E37" s="693"/>
      <c r="F37" s="684" t="str">
        <f>M37</f>
        <v>rumus</v>
      </c>
      <c r="G37" s="684" t="str">
        <f>IF(N37&lt;&gt;"rumus",M37&amp;" x "&amp;N37&amp;" = "&amp;M37*N37,"rumus")</f>
        <v>rumus</v>
      </c>
      <c r="H37" s="683">
        <f>O37</f>
        <v>0</v>
      </c>
      <c r="I37" s="684"/>
      <c r="J37" s="693" t="s">
        <v>26</v>
      </c>
      <c r="K37" s="688"/>
      <c r="L37" s="688"/>
      <c r="M37" s="689" t="str">
        <f>IF(K37="1 Penulis (ke-1)",100%,IF(K37="2 Penulis (ke-1)",60%,IF(K37="2 Penulis (ke-2)",40%,IF(K37="3 Penulis (ke-1)",60%,IF(K37="3 Penulis (ke-2)",20%,IF(K37="3 Penulis (ke-3)",20%,IF(K37="4 Penulis (ke-1)",60%,IF(K37="4 Penulis (ke-2)",13.3%,IF(K37="4 Penulis (ke-3)",13.3%,IF(K37="4 Penulis (ke-4)",13.3%,"rumus"))))))))))</f>
        <v>rumus</v>
      </c>
      <c r="N37" s="689" t="str">
        <f>IF(L37&lt;&gt;"",VLOOKUP(L37,List!$E$2:$F$23,2,0),"rumus")</f>
        <v>rumus</v>
      </c>
      <c r="O37" s="694">
        <f>IFERROR(M37*N37,0)</f>
        <v>0</v>
      </c>
      <c r="P37" s="694" t="e">
        <f>VLOOKUP(L37,List!$E$2:$G$23,3,0)</f>
        <v>#N/A</v>
      </c>
      <c r="Q37" s="688" t="str">
        <f>IF(RIGHT(K37,6)="(ke-1)","Penulis Utama",IF(K37="","","Pendamping"))</f>
        <v/>
      </c>
      <c r="R37" s="4"/>
      <c r="S37" s="4"/>
      <c r="T37" s="4"/>
      <c r="U37" s="4"/>
      <c r="V37" s="4"/>
      <c r="W37" s="4"/>
      <c r="X37" s="4"/>
      <c r="Y37" s="4"/>
      <c r="Z37" s="4"/>
      <c r="AA37" s="4"/>
    </row>
    <row r="38" spans="1:27" ht="66" customHeight="1" x14ac:dyDescent="0.25">
      <c r="A38" s="631"/>
      <c r="B38" s="413" t="s">
        <v>864</v>
      </c>
      <c r="C38" s="440"/>
      <c r="D38" s="631"/>
      <c r="E38" s="631"/>
      <c r="F38" s="631"/>
      <c r="G38" s="631"/>
      <c r="H38" s="631"/>
      <c r="I38" s="631"/>
      <c r="J38" s="631"/>
      <c r="K38" s="631"/>
      <c r="L38" s="631"/>
      <c r="M38" s="631"/>
      <c r="N38" s="631"/>
      <c r="O38" s="613"/>
      <c r="P38" s="613"/>
      <c r="Q38" s="631"/>
      <c r="R38" s="4"/>
      <c r="S38" s="4"/>
      <c r="T38" s="4"/>
      <c r="U38" s="4"/>
      <c r="V38" s="4"/>
      <c r="W38" s="4"/>
      <c r="X38" s="4"/>
      <c r="Y38" s="4"/>
      <c r="Z38" s="4"/>
      <c r="AA38" s="4"/>
    </row>
    <row r="39" spans="1:27" ht="15.75" customHeight="1" x14ac:dyDescent="0.25">
      <c r="A39" s="695">
        <v>6</v>
      </c>
      <c r="B39" s="413" t="s">
        <v>859</v>
      </c>
      <c r="C39" s="440"/>
      <c r="D39" s="693"/>
      <c r="E39" s="693"/>
      <c r="F39" s="684" t="str">
        <f>M39</f>
        <v>rumus</v>
      </c>
      <c r="G39" s="684" t="str">
        <f>IF(N39&lt;&gt;"rumus",M39&amp;" x "&amp;N39&amp;" = "&amp;M39*N39,"rumus")</f>
        <v>rumus</v>
      </c>
      <c r="H39" s="683">
        <f>O39</f>
        <v>0</v>
      </c>
      <c r="I39" s="684"/>
      <c r="J39" s="693" t="s">
        <v>26</v>
      </c>
      <c r="K39" s="688"/>
      <c r="L39" s="688"/>
      <c r="M39" s="689" t="str">
        <f>IF(K39="1 Penulis (ke-1)",100%,IF(K39="2 Penulis (ke-1)",60%,IF(K39="2 Penulis (ke-2)",40%,IF(K39="3 Penulis (ke-1)",60%,IF(K39="3 Penulis (ke-2)",20%,IF(K39="3 Penulis (ke-3)",20%,IF(K39="4 Penulis (ke-1)",60%,IF(K39="4 Penulis (ke-2)",13.3%,IF(K39="4 Penulis (ke-3)",13.3%,IF(K39="4 Penulis (ke-4)",13.3%,"rumus"))))))))))</f>
        <v>rumus</v>
      </c>
      <c r="N39" s="689" t="str">
        <f>IF(L39&lt;&gt;"",VLOOKUP(L39,List!$E$2:$F$23,2,0),"rumus")</f>
        <v>rumus</v>
      </c>
      <c r="O39" s="694">
        <f>IFERROR(M39*N39,0)</f>
        <v>0</v>
      </c>
      <c r="P39" s="694" t="e">
        <f>VLOOKUP(L39,List!$E$2:$G$23,3,0)</f>
        <v>#N/A</v>
      </c>
      <c r="Q39" s="688" t="str">
        <f>IF(RIGHT(K39,6)="(ke-1)","Penulis Utama",IF(K39="","","Pendamping"))</f>
        <v/>
      </c>
      <c r="R39" s="4"/>
      <c r="S39" s="4"/>
      <c r="T39" s="4"/>
      <c r="U39" s="4"/>
      <c r="V39" s="4"/>
      <c r="W39" s="4"/>
      <c r="X39" s="4"/>
      <c r="Y39" s="4"/>
      <c r="Z39" s="4"/>
      <c r="AA39" s="4"/>
    </row>
    <row r="40" spans="1:27" ht="66" customHeight="1" x14ac:dyDescent="0.25">
      <c r="A40" s="631"/>
      <c r="B40" s="413" t="s">
        <v>864</v>
      </c>
      <c r="C40" s="440"/>
      <c r="D40" s="631"/>
      <c r="E40" s="631"/>
      <c r="F40" s="631"/>
      <c r="G40" s="631"/>
      <c r="H40" s="631"/>
      <c r="I40" s="631"/>
      <c r="J40" s="631"/>
      <c r="K40" s="631"/>
      <c r="L40" s="631"/>
      <c r="M40" s="631"/>
      <c r="N40" s="631"/>
      <c r="O40" s="613"/>
      <c r="P40" s="613"/>
      <c r="Q40" s="631"/>
      <c r="R40" s="4"/>
      <c r="S40" s="4"/>
      <c r="T40" s="4"/>
      <c r="U40" s="4"/>
      <c r="V40" s="4"/>
      <c r="W40" s="4"/>
      <c r="X40" s="4"/>
      <c r="Y40" s="4"/>
      <c r="Z40" s="4"/>
      <c r="AA40" s="4"/>
    </row>
    <row r="41" spans="1:27" ht="15.75" customHeight="1" x14ac:dyDescent="0.25">
      <c r="A41" s="695">
        <v>7</v>
      </c>
      <c r="B41" s="413" t="s">
        <v>859</v>
      </c>
      <c r="C41" s="416"/>
      <c r="D41" s="693"/>
      <c r="E41" s="693"/>
      <c r="F41" s="684" t="str">
        <f>M41</f>
        <v>rumus</v>
      </c>
      <c r="G41" s="684" t="str">
        <f>IF(N41&lt;&gt;"rumus",M41&amp;" x "&amp;N41&amp;" = "&amp;M41*N41,"rumus")</f>
        <v>rumus</v>
      </c>
      <c r="H41" s="683">
        <f>O41</f>
        <v>0</v>
      </c>
      <c r="I41" s="684"/>
      <c r="J41" s="693" t="s">
        <v>26</v>
      </c>
      <c r="K41" s="688"/>
      <c r="L41" s="688"/>
      <c r="M41" s="689" t="str">
        <f>IF(K41="1 Penulis (ke-1)",100%,IF(K41="2 Penulis (ke-1)",60%,IF(K41="2 Penulis (ke-2)",40%,IF(K41="3 Penulis (ke-1)",60%,IF(K41="3 Penulis (ke-2)",20%,IF(K41="3 Penulis (ke-3)",20%,IF(K41="4 Penulis (ke-1)",60%,IF(K41="4 Penulis (ke-2)",13.3%,IF(K41="4 Penulis (ke-3)",13.3%,IF(K41="4 Penulis (ke-4)",13.3%,"rumus"))))))))))</f>
        <v>rumus</v>
      </c>
      <c r="N41" s="689" t="str">
        <f>IF(L41&lt;&gt;"",VLOOKUP(L41,List!$E$2:$F$23,2,0),"rumus")</f>
        <v>rumus</v>
      </c>
      <c r="O41" s="694">
        <f>IFERROR(M41*N41,0)</f>
        <v>0</v>
      </c>
      <c r="P41" s="694" t="e">
        <f>VLOOKUP(L41,List!$E$2:$G$23,3,0)</f>
        <v>#N/A</v>
      </c>
      <c r="Q41" s="688" t="str">
        <f>IF(RIGHT(K41,6)="(ke-1)","Penulis Utama",IF(K41="","","Pendamping"))</f>
        <v/>
      </c>
      <c r="R41" s="4"/>
      <c r="S41" s="4"/>
      <c r="T41" s="4"/>
      <c r="U41" s="4"/>
      <c r="V41" s="4"/>
      <c r="W41" s="4"/>
      <c r="X41" s="4"/>
      <c r="Y41" s="4"/>
      <c r="Z41" s="4"/>
      <c r="AA41" s="4"/>
    </row>
    <row r="42" spans="1:27" ht="66" customHeight="1" x14ac:dyDescent="0.25">
      <c r="A42" s="631"/>
      <c r="B42" s="413" t="s">
        <v>864</v>
      </c>
      <c r="C42" s="440"/>
      <c r="D42" s="631"/>
      <c r="E42" s="631"/>
      <c r="F42" s="631"/>
      <c r="G42" s="631"/>
      <c r="H42" s="631"/>
      <c r="I42" s="631"/>
      <c r="J42" s="631"/>
      <c r="K42" s="631"/>
      <c r="L42" s="631"/>
      <c r="M42" s="631"/>
      <c r="N42" s="631"/>
      <c r="O42" s="613"/>
      <c r="P42" s="613"/>
      <c r="Q42" s="631"/>
      <c r="R42" s="4"/>
      <c r="S42" s="4"/>
      <c r="T42" s="4"/>
      <c r="U42" s="4"/>
      <c r="V42" s="4"/>
      <c r="W42" s="4"/>
      <c r="X42" s="4"/>
      <c r="Y42" s="4"/>
      <c r="Z42" s="4"/>
      <c r="AA42" s="4"/>
    </row>
    <row r="43" spans="1:27" ht="15.75" customHeight="1" x14ac:dyDescent="0.25">
      <c r="A43" s="695">
        <v>8</v>
      </c>
      <c r="B43" s="413" t="s">
        <v>859</v>
      </c>
      <c r="C43" s="416"/>
      <c r="D43" s="693"/>
      <c r="E43" s="693"/>
      <c r="F43" s="684" t="str">
        <f>M43</f>
        <v>rumus</v>
      </c>
      <c r="G43" s="684" t="str">
        <f>IF(N43&lt;&gt;"rumus",M43&amp;" x "&amp;N43&amp;" = "&amp;M43*N43,"rumus")</f>
        <v>rumus</v>
      </c>
      <c r="H43" s="683">
        <f>O43</f>
        <v>0</v>
      </c>
      <c r="I43" s="684"/>
      <c r="J43" s="693" t="s">
        <v>26</v>
      </c>
      <c r="K43" s="688"/>
      <c r="L43" s="688"/>
      <c r="M43" s="689" t="str">
        <f>IF(K43="1 Penulis (ke-1)",100%,IF(K43="2 Penulis (ke-1)",60%,IF(K43="2 Penulis (ke-2)",40%,IF(K43="3 Penulis (ke-1)",60%,IF(K43="3 Penulis (ke-2)",20%,IF(K43="3 Penulis (ke-3)",20%,IF(K43="4 Penulis (ke-1)",60%,IF(K43="4 Penulis (ke-2)",13.3%,IF(K43="4 Penulis (ke-3)",13.3%,IF(K43="4 Penulis (ke-4)",13.3%,"rumus"))))))))))</f>
        <v>rumus</v>
      </c>
      <c r="N43" s="689" t="str">
        <f>IF(L43&lt;&gt;"",VLOOKUP(L43,List!$E$2:$F$23,2,0),"rumus")</f>
        <v>rumus</v>
      </c>
      <c r="O43" s="694">
        <f>IFERROR(M43*N43,0)</f>
        <v>0</v>
      </c>
      <c r="P43" s="694" t="e">
        <f>VLOOKUP(L43,List!$E$2:$G$23,3,0)</f>
        <v>#N/A</v>
      </c>
      <c r="Q43" s="688" t="str">
        <f>IF(RIGHT(K43,6)="(ke-1)","Penulis Utama",IF(K43="","","Pendamping"))</f>
        <v/>
      </c>
      <c r="R43" s="4"/>
      <c r="S43" s="4"/>
      <c r="T43" s="4"/>
      <c r="U43" s="4"/>
      <c r="V43" s="4"/>
      <c r="W43" s="4"/>
      <c r="X43" s="4"/>
      <c r="Y43" s="4"/>
      <c r="Z43" s="4"/>
      <c r="AA43" s="4"/>
    </row>
    <row r="44" spans="1:27" ht="66" customHeight="1" x14ac:dyDescent="0.25">
      <c r="A44" s="631"/>
      <c r="B44" s="413" t="s">
        <v>864</v>
      </c>
      <c r="C44" s="440"/>
      <c r="D44" s="631"/>
      <c r="E44" s="631"/>
      <c r="F44" s="631"/>
      <c r="G44" s="631"/>
      <c r="H44" s="631"/>
      <c r="I44" s="631"/>
      <c r="J44" s="631"/>
      <c r="K44" s="631"/>
      <c r="L44" s="631"/>
      <c r="M44" s="631"/>
      <c r="N44" s="631"/>
      <c r="O44" s="613"/>
      <c r="P44" s="613"/>
      <c r="Q44" s="631"/>
      <c r="R44" s="4"/>
      <c r="S44" s="4"/>
      <c r="T44" s="4"/>
      <c r="U44" s="4"/>
      <c r="V44" s="4"/>
      <c r="W44" s="4"/>
      <c r="X44" s="4"/>
      <c r="Y44" s="4"/>
      <c r="Z44" s="4"/>
      <c r="AA44" s="4"/>
    </row>
    <row r="45" spans="1:27" ht="15" customHeight="1" x14ac:dyDescent="0.25">
      <c r="A45" s="695">
        <v>9</v>
      </c>
      <c r="B45" s="413" t="s">
        <v>859</v>
      </c>
      <c r="C45" s="416"/>
      <c r="D45" s="693"/>
      <c r="E45" s="693"/>
      <c r="F45" s="684" t="str">
        <f>M45</f>
        <v>rumus</v>
      </c>
      <c r="G45" s="684" t="str">
        <f>IF(N45&lt;&gt;"rumus",M45&amp;" x "&amp;N45&amp;" = "&amp;M45*N45,"rumus")</f>
        <v>rumus</v>
      </c>
      <c r="H45" s="683">
        <f>O45</f>
        <v>0</v>
      </c>
      <c r="I45" s="684"/>
      <c r="J45" s="693" t="s">
        <v>26</v>
      </c>
      <c r="K45" s="688"/>
      <c r="L45" s="688"/>
      <c r="M45" s="689" t="str">
        <f>IF(K45="1 Penulis (ke-1)",100%,IF(K45="2 Penulis (ke-1)",60%,IF(K45="2 Penulis (ke-2)",40%,IF(K45="3 Penulis (ke-1)",60%,IF(K45="3 Penulis (ke-2)",20%,IF(K45="3 Penulis (ke-3)",20%,IF(K45="4 Penulis (ke-1)",60%,IF(K45="4 Penulis (ke-2)",13.3%,IF(K45="4 Penulis (ke-3)",13.3%,IF(K45="4 Penulis (ke-4)",13.3%,"rumus"))))))))))</f>
        <v>rumus</v>
      </c>
      <c r="N45" s="689" t="str">
        <f>IF(L45&lt;&gt;"",VLOOKUP(L45,List!$E$2:$F$23,2,0),"rumus")</f>
        <v>rumus</v>
      </c>
      <c r="O45" s="694">
        <f>IFERROR(M45*N45,0)</f>
        <v>0</v>
      </c>
      <c r="P45" s="694" t="e">
        <f>VLOOKUP(L45,List!$E$2:$G$23,3,0)</f>
        <v>#N/A</v>
      </c>
      <c r="Q45" s="688" t="str">
        <f>IF(RIGHT(K45,6)="(ke-1)","Penulis Utama",IF(K45="","","Pendamping"))</f>
        <v/>
      </c>
      <c r="R45" s="4"/>
      <c r="S45" s="4"/>
      <c r="T45" s="4"/>
      <c r="U45" s="4"/>
      <c r="V45" s="4"/>
      <c r="W45" s="4"/>
      <c r="X45" s="4"/>
      <c r="Y45" s="4"/>
      <c r="Z45" s="4"/>
      <c r="AA45" s="4"/>
    </row>
    <row r="46" spans="1:27" ht="79.5" customHeight="1" x14ac:dyDescent="0.25">
      <c r="A46" s="631"/>
      <c r="B46" s="413" t="s">
        <v>864</v>
      </c>
      <c r="C46" s="440"/>
      <c r="D46" s="631"/>
      <c r="E46" s="631"/>
      <c r="F46" s="631"/>
      <c r="G46" s="631"/>
      <c r="H46" s="631"/>
      <c r="I46" s="631"/>
      <c r="J46" s="631"/>
      <c r="K46" s="631"/>
      <c r="L46" s="631"/>
      <c r="M46" s="631"/>
      <c r="N46" s="631"/>
      <c r="O46" s="613"/>
      <c r="P46" s="613"/>
      <c r="Q46" s="631"/>
      <c r="R46" s="4"/>
      <c r="S46" s="4"/>
      <c r="T46" s="4"/>
      <c r="U46" s="4"/>
      <c r="V46" s="4"/>
      <c r="W46" s="4"/>
      <c r="X46" s="4"/>
      <c r="Y46" s="4"/>
      <c r="Z46" s="4"/>
      <c r="AA46" s="4"/>
    </row>
    <row r="47" spans="1:27" ht="15" customHeight="1" x14ac:dyDescent="0.25">
      <c r="A47" s="695">
        <v>10</v>
      </c>
      <c r="B47" s="413" t="s">
        <v>859</v>
      </c>
      <c r="C47" s="416"/>
      <c r="D47" s="693"/>
      <c r="E47" s="693"/>
      <c r="F47" s="684" t="str">
        <f>M47</f>
        <v>rumus</v>
      </c>
      <c r="G47" s="684" t="str">
        <f>IF(N47&lt;&gt;"rumus",M47&amp;" x "&amp;N47&amp;" = "&amp;M47*N47,"rumus")</f>
        <v>rumus</v>
      </c>
      <c r="H47" s="683">
        <f>O47</f>
        <v>0</v>
      </c>
      <c r="I47" s="684"/>
      <c r="J47" s="693" t="s">
        <v>26</v>
      </c>
      <c r="K47" s="688"/>
      <c r="L47" s="688"/>
      <c r="M47" s="689" t="str">
        <f>IF(K47="1 Penulis (ke-1)",100%,IF(K47="2 Penulis (ke-1)",60%,IF(K47="2 Penulis (ke-2)",40%,IF(K47="3 Penulis (ke-1)",60%,IF(K47="3 Penulis (ke-2)",20%,IF(K47="3 Penulis (ke-3)",20%,IF(K47="4 Penulis (ke-1)",60%,IF(K47="4 Penulis (ke-2)",13.3%,IF(K47="4 Penulis (ke-3)",13.3%,IF(K47="4 Penulis (ke-4)",13.3%,"rumus"))))))))))</f>
        <v>rumus</v>
      </c>
      <c r="N47" s="689" t="str">
        <f>IF(L47&lt;&gt;"",VLOOKUP(L47,List!$E$2:$F$23,2,0),"rumus")</f>
        <v>rumus</v>
      </c>
      <c r="O47" s="694">
        <f>IFERROR(M47*N47,0)</f>
        <v>0</v>
      </c>
      <c r="P47" s="694" t="e">
        <f>VLOOKUP(L47,List!$E$2:$G$23,3,0)</f>
        <v>#N/A</v>
      </c>
      <c r="Q47" s="688" t="str">
        <f>IF(RIGHT(K47,6)="(ke-1)","Penulis Utama",IF(K47="","","Pendamping"))</f>
        <v/>
      </c>
      <c r="R47" s="4"/>
      <c r="S47" s="4"/>
      <c r="T47" s="4"/>
      <c r="U47" s="4"/>
      <c r="V47" s="4"/>
      <c r="W47" s="4"/>
      <c r="X47" s="4"/>
      <c r="Y47" s="4"/>
      <c r="Z47" s="4"/>
      <c r="AA47" s="4"/>
    </row>
    <row r="48" spans="1:27" ht="52.5" customHeight="1" x14ac:dyDescent="0.25">
      <c r="A48" s="631"/>
      <c r="B48" s="413" t="s">
        <v>864</v>
      </c>
      <c r="C48" s="440"/>
      <c r="D48" s="631"/>
      <c r="E48" s="631"/>
      <c r="F48" s="631"/>
      <c r="G48" s="631"/>
      <c r="H48" s="631"/>
      <c r="I48" s="631"/>
      <c r="J48" s="631"/>
      <c r="K48" s="631"/>
      <c r="L48" s="631"/>
      <c r="M48" s="631"/>
      <c r="N48" s="631"/>
      <c r="O48" s="613"/>
      <c r="P48" s="613"/>
      <c r="Q48" s="631"/>
      <c r="R48" s="4"/>
      <c r="S48" s="4"/>
      <c r="T48" s="4"/>
      <c r="U48" s="4"/>
      <c r="V48" s="4"/>
      <c r="W48" s="4"/>
      <c r="X48" s="4"/>
      <c r="Y48" s="4"/>
      <c r="Z48" s="4"/>
      <c r="AA48" s="4"/>
    </row>
    <row r="49" spans="1:27" ht="27.75" customHeight="1" x14ac:dyDescent="0.25">
      <c r="A49" s="142" t="s">
        <v>865</v>
      </c>
      <c r="B49" s="439"/>
      <c r="C49" s="439"/>
      <c r="D49" s="439"/>
      <c r="E49" s="439"/>
      <c r="F49" s="439"/>
      <c r="G49" s="439"/>
      <c r="H49" s="439"/>
      <c r="I49" s="439"/>
      <c r="J49" s="143"/>
      <c r="K49" s="106"/>
      <c r="L49" s="106"/>
      <c r="M49" s="441"/>
      <c r="N49" s="441"/>
      <c r="O49" s="144"/>
      <c r="P49" s="144"/>
      <c r="Q49" s="4"/>
      <c r="R49" s="4"/>
      <c r="S49" s="4"/>
      <c r="T49" s="4"/>
      <c r="U49" s="4"/>
      <c r="V49" s="4"/>
      <c r="W49" s="4"/>
      <c r="X49" s="4"/>
      <c r="Y49" s="4"/>
      <c r="Z49" s="4"/>
      <c r="AA49" s="4"/>
    </row>
    <row r="50" spans="1:27" ht="27" customHeight="1" x14ac:dyDescent="0.25">
      <c r="A50" s="695">
        <v>11</v>
      </c>
      <c r="B50" s="580" t="s">
        <v>859</v>
      </c>
      <c r="C50" s="581" t="s">
        <v>866</v>
      </c>
      <c r="D50" s="693"/>
      <c r="E50" s="693"/>
      <c r="F50" s="684">
        <f>M50</f>
        <v>0.2</v>
      </c>
      <c r="G50" s="684" t="str">
        <f>IF(N50&lt;&gt;"rumus",M50&amp;" x "&amp;N50&amp;" = "&amp;M50*N50,"rumus")</f>
        <v>0.2 x 25 = 5</v>
      </c>
      <c r="H50" s="683">
        <f>O50</f>
        <v>5</v>
      </c>
      <c r="I50" s="684"/>
      <c r="J50" s="697" t="s">
        <v>867</v>
      </c>
      <c r="K50" s="685" t="s">
        <v>868</v>
      </c>
      <c r="L50" s="685" t="s">
        <v>869</v>
      </c>
      <c r="M50" s="689">
        <f>IF(K50="1 Penulis (ke-1)",100%,IF(K50="2 Penulis (ke-1)",60%,IF(K50="2 Penulis (ke-2)",40%,IF(K50="3 Penulis (ke-1)",60%,IF(K50="3 Penulis (ke-2)",20%,IF(K50="3 Penulis (ke-3)",20%,IF(K50="4 Penulis (ke-1)",60%,IF(K50="4 Penulis (ke-2)",13.3%,IF(K50="4 Penulis (ke-3)",13.3%,IF(K50="4 Penulis (ke-4)",13.3%,"rumus"))))))))))</f>
        <v>0.2</v>
      </c>
      <c r="N50" s="689">
        <f>IF(L50&lt;&gt;"",VLOOKUP(L50,List!$E$2:$F$23,2,0),"rumus")</f>
        <v>25</v>
      </c>
      <c r="O50" s="694">
        <f>IFERROR(M50*N50,0)</f>
        <v>5</v>
      </c>
      <c r="P50" s="694" t="str">
        <f>VLOOKUP(L50,List!$E$2:$G$23,3,0)</f>
        <v>A.1.b.2</v>
      </c>
      <c r="Q50" s="688" t="str">
        <f>IF(RIGHT(K50,6)="(ke-1)","Penulis Utama",IF(K50="","","Pendamping"))</f>
        <v>Pendamping</v>
      </c>
      <c r="R50" s="688" t="str">
        <f>IF(RIGHT(L50,13)="terakreditasi","terakreditasi","tidak terakreditasi")</f>
        <v>tidak terakreditasi</v>
      </c>
      <c r="S50" s="4"/>
      <c r="T50" s="4"/>
      <c r="U50" s="4"/>
      <c r="V50" s="4"/>
      <c r="W50" s="4"/>
      <c r="X50" s="4"/>
      <c r="Y50" s="4"/>
      <c r="Z50" s="4"/>
      <c r="AA50" s="4"/>
    </row>
    <row r="51" spans="1:27" ht="201.75" customHeight="1" x14ac:dyDescent="0.25">
      <c r="A51" s="631"/>
      <c r="B51" s="582" t="s">
        <v>864</v>
      </c>
      <c r="C51" s="583" t="s">
        <v>870</v>
      </c>
      <c r="D51" s="631"/>
      <c r="E51" s="631"/>
      <c r="F51" s="631"/>
      <c r="G51" s="631"/>
      <c r="H51" s="631"/>
      <c r="I51" s="631"/>
      <c r="J51" s="698"/>
      <c r="K51" s="686"/>
      <c r="L51" s="686"/>
      <c r="M51" s="631"/>
      <c r="N51" s="631"/>
      <c r="O51" s="613"/>
      <c r="P51" s="613"/>
      <c r="Q51" s="631"/>
      <c r="R51" s="631"/>
      <c r="S51" s="4"/>
      <c r="T51" s="4"/>
      <c r="U51" s="4"/>
      <c r="V51" s="4"/>
      <c r="W51" s="4"/>
      <c r="X51" s="4"/>
      <c r="Y51" s="4"/>
      <c r="Z51" s="4"/>
      <c r="AA51" s="4"/>
    </row>
    <row r="52" spans="1:27" ht="15" customHeight="1" x14ac:dyDescent="0.25">
      <c r="A52" s="695">
        <v>12</v>
      </c>
      <c r="B52" s="413" t="s">
        <v>859</v>
      </c>
      <c r="C52" s="416"/>
      <c r="D52" s="693"/>
      <c r="E52" s="693"/>
      <c r="F52" s="684">
        <f>M52</f>
        <v>0.6</v>
      </c>
      <c r="G52" s="684" t="str">
        <f>IF(N52&lt;&gt;"rumus",M52&amp;" x "&amp;N52&amp;" = "&amp;M52*N52,"rumus")</f>
        <v>0.6 x 5 = 3</v>
      </c>
      <c r="H52" s="683">
        <f>O52</f>
        <v>3</v>
      </c>
      <c r="I52" s="684"/>
      <c r="J52" s="693" t="s">
        <v>26</v>
      </c>
      <c r="K52" s="688" t="s">
        <v>1473</v>
      </c>
      <c r="L52" s="688" t="s">
        <v>1023</v>
      </c>
      <c r="M52" s="689">
        <f>IF(K52="1 Penulis (ke-1)",100%,IF(K52="2 Penulis (ke-1)",60%,IF(K52="2 Penulis (ke-2)",40%,IF(K52="3 Penulis (ke-1)",60%,IF(K52="3 Penulis (ke-2)",20%,IF(K52="3 Penulis (ke-3)",20%,IF(K52="4 Penulis (ke-1)",60%,IF(K52="4 Penulis (ke-2)",13.3%,IF(K52="4 Penulis (ke-3)",13.3%,IF(K52="4 Penulis (ke-4)",13.3%,"rumus"))))))))))</f>
        <v>0.6</v>
      </c>
      <c r="N52" s="689">
        <f>IF(L52&lt;&gt;"",VLOOKUP(L52,List!$E$2:$F$23,2,0),"rumus")</f>
        <v>5</v>
      </c>
      <c r="O52" s="694">
        <f>IFERROR(M52*N52,0)</f>
        <v>3</v>
      </c>
      <c r="P52" s="694" t="str">
        <f>VLOOKUP(L52,List!$E$2:$G$23,3,0)</f>
        <v>A.1.c.1.a</v>
      </c>
      <c r="Q52" s="688" t="str">
        <f>IF(RIGHT(K52,6)="(ke-1)","Penulis Utama",IF(K52="","","Pendamping"))</f>
        <v>Penulis Utama</v>
      </c>
      <c r="R52" s="688" t="str">
        <f>IF(RIGHT(L52,13)="terakreditasi","terakreditasi","tidak terakreditasi")</f>
        <v>tidak terakreditasi</v>
      </c>
      <c r="S52" s="4"/>
      <c r="T52" s="4"/>
      <c r="U52" s="4"/>
      <c r="V52" s="4"/>
      <c r="W52" s="4"/>
      <c r="X52" s="4"/>
      <c r="Y52" s="4"/>
      <c r="Z52" s="4"/>
      <c r="AA52" s="4"/>
    </row>
    <row r="53" spans="1:27" ht="52.5" customHeight="1" x14ac:dyDescent="0.25">
      <c r="A53" s="631"/>
      <c r="B53" s="413" t="s">
        <v>864</v>
      </c>
      <c r="C53" s="440"/>
      <c r="D53" s="631"/>
      <c r="E53" s="631"/>
      <c r="F53" s="631"/>
      <c r="G53" s="631"/>
      <c r="H53" s="631"/>
      <c r="I53" s="631"/>
      <c r="J53" s="631"/>
      <c r="K53" s="631"/>
      <c r="L53" s="631"/>
      <c r="M53" s="631"/>
      <c r="N53" s="631"/>
      <c r="O53" s="613"/>
      <c r="P53" s="613"/>
      <c r="Q53" s="631"/>
      <c r="R53" s="631"/>
      <c r="S53" s="4"/>
      <c r="T53" s="4"/>
      <c r="U53" s="4"/>
      <c r="V53" s="4"/>
      <c r="W53" s="4"/>
      <c r="X53" s="4"/>
      <c r="Y53" s="4"/>
      <c r="Z53" s="4"/>
      <c r="AA53" s="4"/>
    </row>
    <row r="54" spans="1:27" ht="15" customHeight="1" x14ac:dyDescent="0.25">
      <c r="A54" s="695">
        <v>13</v>
      </c>
      <c r="B54" s="413" t="s">
        <v>859</v>
      </c>
      <c r="C54" s="416"/>
      <c r="D54" s="693"/>
      <c r="E54" s="693"/>
      <c r="F54" s="684" t="str">
        <f>M54</f>
        <v>rumus</v>
      </c>
      <c r="G54" s="684" t="str">
        <f>IF(N54&lt;&gt;"rumus",M54&amp;" x "&amp;N54&amp;" = "&amp;M54*N54,"rumus")</f>
        <v>rumus</v>
      </c>
      <c r="H54" s="683">
        <f>O54</f>
        <v>0</v>
      </c>
      <c r="I54" s="684"/>
      <c r="J54" s="693" t="s">
        <v>26</v>
      </c>
      <c r="K54" s="688"/>
      <c r="L54" s="688"/>
      <c r="M54" s="689" t="str">
        <f>IF(K54="1 Penulis (ke-1)",100%,IF(K54="2 Penulis (ke-1)",60%,IF(K54="2 Penulis (ke-2)",40%,IF(K54="3 Penulis (ke-1)",60%,IF(K54="3 Penulis (ke-2)",20%,IF(K54="3 Penulis (ke-3)",20%,IF(K54="4 Penulis (ke-1)",60%,IF(K54="4 Penulis (ke-2)",13.3%,IF(K54="4 Penulis (ke-3)",13.3%,IF(K54="4 Penulis (ke-4)",13.3%,"rumus"))))))))))</f>
        <v>rumus</v>
      </c>
      <c r="N54" s="689" t="str">
        <f>IF(L54&lt;&gt;"",VLOOKUP(L54,List!$E$2:$F$23,2,0),"rumus")</f>
        <v>rumus</v>
      </c>
      <c r="O54" s="694">
        <f>IFERROR(M54*N54,0)</f>
        <v>0</v>
      </c>
      <c r="P54" s="694" t="e">
        <f>VLOOKUP(L54,List!$E$2:$G$23,3,0)</f>
        <v>#N/A</v>
      </c>
      <c r="Q54" s="688" t="str">
        <f>IF(RIGHT(K54,6)="(ke-1)","Penulis Utama",IF(K54="","","Pendamping"))</f>
        <v/>
      </c>
      <c r="R54" s="688" t="str">
        <f>IF(RIGHT(L54,13)="terakreditasi","terakreditasi","tidak terakreditasi")</f>
        <v>tidak terakreditasi</v>
      </c>
      <c r="S54" s="4"/>
      <c r="T54" s="4"/>
      <c r="U54" s="4"/>
      <c r="V54" s="4"/>
      <c r="W54" s="4"/>
      <c r="X54" s="4"/>
      <c r="Y54" s="4"/>
      <c r="Z54" s="4"/>
      <c r="AA54" s="4"/>
    </row>
    <row r="55" spans="1:27" ht="52.5" customHeight="1" x14ac:dyDescent="0.25">
      <c r="A55" s="631"/>
      <c r="B55" s="413" t="s">
        <v>864</v>
      </c>
      <c r="C55" s="440"/>
      <c r="D55" s="631"/>
      <c r="E55" s="631"/>
      <c r="F55" s="631"/>
      <c r="G55" s="631"/>
      <c r="H55" s="631"/>
      <c r="I55" s="631"/>
      <c r="J55" s="631"/>
      <c r="K55" s="631"/>
      <c r="L55" s="631"/>
      <c r="M55" s="631"/>
      <c r="N55" s="631"/>
      <c r="O55" s="613"/>
      <c r="P55" s="613"/>
      <c r="Q55" s="631"/>
      <c r="R55" s="631"/>
      <c r="S55" s="4"/>
      <c r="T55" s="4"/>
      <c r="U55" s="4"/>
      <c r="V55" s="4"/>
      <c r="W55" s="4"/>
      <c r="X55" s="4"/>
      <c r="Y55" s="4"/>
      <c r="Z55" s="4"/>
      <c r="AA55" s="4"/>
    </row>
    <row r="56" spans="1:27" ht="15" customHeight="1" x14ac:dyDescent="0.25">
      <c r="A56" s="695">
        <v>14</v>
      </c>
      <c r="B56" s="413" t="s">
        <v>859</v>
      </c>
      <c r="C56" s="416"/>
      <c r="D56" s="693"/>
      <c r="E56" s="693"/>
      <c r="F56" s="684" t="str">
        <f>M56</f>
        <v>rumus</v>
      </c>
      <c r="G56" s="684" t="str">
        <f>IF(N56&lt;&gt;"rumus",M56&amp;" x "&amp;N56&amp;" = "&amp;M56*N56,"rumus")</f>
        <v>rumus</v>
      </c>
      <c r="H56" s="683">
        <f>O56</f>
        <v>0</v>
      </c>
      <c r="I56" s="684"/>
      <c r="J56" s="693" t="s">
        <v>26</v>
      </c>
      <c r="K56" s="688"/>
      <c r="L56" s="688"/>
      <c r="M56" s="689" t="str">
        <f>IF(K56="1 Penulis (ke-1)",100%,IF(K56="2 Penulis (ke-1)",60%,IF(K56="2 Penulis (ke-2)",40%,IF(K56="3 Penulis (ke-1)",60%,IF(K56="3 Penulis (ke-2)",20%,IF(K56="3 Penulis (ke-3)",20%,IF(K56="4 Penulis (ke-1)",60%,IF(K56="4 Penulis (ke-2)",13.3%,IF(K56="4 Penulis (ke-3)",13.3%,IF(K56="4 Penulis (ke-4)",13.3%,"rumus"))))))))))</f>
        <v>rumus</v>
      </c>
      <c r="N56" s="689" t="str">
        <f>IF(L56&lt;&gt;"",VLOOKUP(L56,List!$E$2:$F$23,2,0),"rumus")</f>
        <v>rumus</v>
      </c>
      <c r="O56" s="694">
        <f>IFERROR(M56*N56,0)</f>
        <v>0</v>
      </c>
      <c r="P56" s="694" t="e">
        <f>VLOOKUP(L56,List!$E$2:$G$23,3,0)</f>
        <v>#N/A</v>
      </c>
      <c r="Q56" s="688" t="str">
        <f>IF(RIGHT(K56,6)="(ke-1)","Penulis Utama",IF(K56="","","Pendamping"))</f>
        <v/>
      </c>
      <c r="R56" s="688" t="str">
        <f>IF(RIGHT(L56,13)="terakreditasi","terakreditasi","tidak terakreditasi")</f>
        <v>tidak terakreditasi</v>
      </c>
      <c r="S56" s="4"/>
      <c r="T56" s="4"/>
      <c r="U56" s="4"/>
      <c r="V56" s="4"/>
      <c r="W56" s="4"/>
      <c r="X56" s="4"/>
      <c r="Y56" s="4"/>
      <c r="Z56" s="4"/>
      <c r="AA56" s="4"/>
    </row>
    <row r="57" spans="1:27" ht="52.5" customHeight="1" x14ac:dyDescent="0.25">
      <c r="A57" s="631"/>
      <c r="B57" s="413" t="s">
        <v>864</v>
      </c>
      <c r="C57" s="440"/>
      <c r="D57" s="631"/>
      <c r="E57" s="631"/>
      <c r="F57" s="631"/>
      <c r="G57" s="631"/>
      <c r="H57" s="631"/>
      <c r="I57" s="631"/>
      <c r="J57" s="631"/>
      <c r="K57" s="631"/>
      <c r="L57" s="631"/>
      <c r="M57" s="631"/>
      <c r="N57" s="631"/>
      <c r="O57" s="613"/>
      <c r="P57" s="613"/>
      <c r="Q57" s="631"/>
      <c r="R57" s="631"/>
      <c r="S57" s="4"/>
      <c r="T57" s="4"/>
      <c r="U57" s="4"/>
      <c r="V57" s="4"/>
      <c r="W57" s="4"/>
      <c r="X57" s="4"/>
      <c r="Y57" s="4"/>
      <c r="Z57" s="4"/>
      <c r="AA57" s="4"/>
    </row>
    <row r="58" spans="1:27" ht="33" customHeight="1" x14ac:dyDescent="0.25">
      <c r="A58" s="695">
        <v>15</v>
      </c>
      <c r="B58" s="413" t="s">
        <v>859</v>
      </c>
      <c r="C58" s="440"/>
      <c r="D58" s="693"/>
      <c r="E58" s="693"/>
      <c r="F58" s="684" t="str">
        <f>M58</f>
        <v>rumus</v>
      </c>
      <c r="G58" s="684" t="str">
        <f>IF(N58&lt;&gt;"rumus",M58&amp;" x "&amp;N58&amp;" = "&amp;M58*N58,"rumus")</f>
        <v>rumus</v>
      </c>
      <c r="H58" s="683">
        <f>O58</f>
        <v>0</v>
      </c>
      <c r="I58" s="684"/>
      <c r="J58" s="693" t="s">
        <v>26</v>
      </c>
      <c r="K58" s="688"/>
      <c r="L58" s="688"/>
      <c r="M58" s="689" t="str">
        <f>IF(K58="1 Penulis (ke-1)",100%,IF(K58="2 Penulis (ke-1)",60%,IF(K58="2 Penulis (ke-2)",40%,IF(K58="3 Penulis (ke-1)",60%,IF(K58="3 Penulis (ke-2)",20%,IF(K58="3 Penulis (ke-3)",20%,IF(K58="4 Penulis (ke-1)",60%,IF(K58="4 Penulis (ke-2)",13.3%,IF(K58="4 Penulis (ke-3)",13.3%,IF(K58="4 Penulis (ke-4)",13.3%,"rumus"))))))))))</f>
        <v>rumus</v>
      </c>
      <c r="N58" s="689" t="str">
        <f>IF(L58&lt;&gt;"",VLOOKUP(L58,List!$E$2:$F$23,2,0),"rumus")</f>
        <v>rumus</v>
      </c>
      <c r="O58" s="694">
        <f>IFERROR(M58*N58,0)</f>
        <v>0</v>
      </c>
      <c r="P58" s="694" t="e">
        <f>VLOOKUP(L58,List!$E$2:$G$23,3,0)</f>
        <v>#N/A</v>
      </c>
      <c r="Q58" s="688" t="str">
        <f>IF(RIGHT(K58,6)="(ke-1)","Penulis Utama",IF(K58="","","Pendamping"))</f>
        <v/>
      </c>
      <c r="R58" s="688" t="str">
        <f>IF(RIGHT(L58,13)="terakreditasi","terakreditasi","tidak terakreditasi")</f>
        <v>tidak terakreditasi</v>
      </c>
      <c r="S58" s="4"/>
      <c r="T58" s="4"/>
      <c r="U58" s="4"/>
      <c r="V58" s="4"/>
      <c r="W58" s="4"/>
      <c r="X58" s="4"/>
      <c r="Y58" s="4"/>
      <c r="Z58" s="4"/>
      <c r="AA58" s="4"/>
    </row>
    <row r="59" spans="1:27" ht="52.5" customHeight="1" x14ac:dyDescent="0.25">
      <c r="A59" s="631"/>
      <c r="B59" s="413" t="s">
        <v>864</v>
      </c>
      <c r="C59" s="440"/>
      <c r="D59" s="631"/>
      <c r="E59" s="631"/>
      <c r="F59" s="631"/>
      <c r="G59" s="631"/>
      <c r="H59" s="631"/>
      <c r="I59" s="631"/>
      <c r="J59" s="631"/>
      <c r="K59" s="631"/>
      <c r="L59" s="631"/>
      <c r="M59" s="631"/>
      <c r="N59" s="631"/>
      <c r="O59" s="613"/>
      <c r="P59" s="613"/>
      <c r="Q59" s="631"/>
      <c r="R59" s="631"/>
      <c r="S59" s="4"/>
      <c r="T59" s="4"/>
      <c r="U59" s="4"/>
      <c r="V59" s="4"/>
      <c r="W59" s="4"/>
      <c r="X59" s="4"/>
      <c r="Y59" s="4"/>
      <c r="Z59" s="4"/>
      <c r="AA59" s="4"/>
    </row>
    <row r="60" spans="1:27" ht="29.25" customHeight="1" x14ac:dyDescent="0.25">
      <c r="A60" s="695">
        <v>16</v>
      </c>
      <c r="B60" s="413" t="s">
        <v>859</v>
      </c>
      <c r="C60" s="440"/>
      <c r="D60" s="693"/>
      <c r="E60" s="693"/>
      <c r="F60" s="684" t="str">
        <f>M60</f>
        <v>rumus</v>
      </c>
      <c r="G60" s="684" t="str">
        <f>IF(N60&lt;&gt;"rumus",M60&amp;" x "&amp;N60&amp;" = "&amp;M60*N60,"rumus")</f>
        <v>rumus</v>
      </c>
      <c r="H60" s="683">
        <f>O60</f>
        <v>0</v>
      </c>
      <c r="I60" s="684"/>
      <c r="J60" s="693" t="s">
        <v>26</v>
      </c>
      <c r="K60" s="688"/>
      <c r="L60" s="688"/>
      <c r="M60" s="689" t="str">
        <f>IF(K60="1 Penulis (ke-1)",100%,IF(K60="2 Penulis (ke-1)",60%,IF(K60="2 Penulis (ke-2)",40%,IF(K60="3 Penulis (ke-1)",60%,IF(K60="3 Penulis (ke-2)",20%,IF(K60="3 Penulis (ke-3)",20%,IF(K60="4 Penulis (ke-1)",60%,IF(K60="4 Penulis (ke-2)",13.3%,IF(K60="4 Penulis (ke-3)",13.3%,IF(K60="4 Penulis (ke-4)",13.3%,"rumus"))))))))))</f>
        <v>rumus</v>
      </c>
      <c r="N60" s="689" t="str">
        <f>IF(L60&lt;&gt;"",VLOOKUP(L60,List!$E$2:$F$23,2,0),"rumus")</f>
        <v>rumus</v>
      </c>
      <c r="O60" s="694">
        <f>IFERROR(M60*N60,0)</f>
        <v>0</v>
      </c>
      <c r="P60" s="694" t="e">
        <f>VLOOKUP(L60,List!$E$2:$G$23,3,0)</f>
        <v>#N/A</v>
      </c>
      <c r="Q60" s="688" t="str">
        <f>IF(RIGHT(K60,6)="(ke-1)","Penulis Utama",IF(K60="","","Pendamping"))</f>
        <v/>
      </c>
      <c r="R60" s="688" t="str">
        <f>IF(RIGHT(L60,13)="terakreditasi","terakreditasi","tidak terakreditasi")</f>
        <v>tidak terakreditasi</v>
      </c>
      <c r="S60" s="4"/>
      <c r="T60" s="4"/>
      <c r="U60" s="4"/>
      <c r="V60" s="4"/>
      <c r="W60" s="4"/>
      <c r="X60" s="4"/>
      <c r="Y60" s="4"/>
      <c r="Z60" s="4"/>
      <c r="AA60" s="4"/>
    </row>
    <row r="61" spans="1:27" ht="52.5" customHeight="1" x14ac:dyDescent="0.25">
      <c r="A61" s="631"/>
      <c r="B61" s="413" t="s">
        <v>864</v>
      </c>
      <c r="C61" s="440"/>
      <c r="D61" s="631"/>
      <c r="E61" s="631"/>
      <c r="F61" s="631"/>
      <c r="G61" s="631"/>
      <c r="H61" s="631"/>
      <c r="I61" s="631"/>
      <c r="J61" s="631"/>
      <c r="K61" s="631"/>
      <c r="L61" s="631"/>
      <c r="M61" s="631"/>
      <c r="N61" s="631"/>
      <c r="O61" s="613"/>
      <c r="P61" s="613"/>
      <c r="Q61" s="631"/>
      <c r="R61" s="631"/>
      <c r="S61" s="4"/>
      <c r="T61" s="4"/>
      <c r="U61" s="4"/>
      <c r="V61" s="4"/>
      <c r="W61" s="4"/>
      <c r="X61" s="4"/>
      <c r="Y61" s="4"/>
      <c r="Z61" s="4"/>
      <c r="AA61" s="4"/>
    </row>
    <row r="62" spans="1:27" ht="15" customHeight="1" x14ac:dyDescent="0.25">
      <c r="A62" s="695">
        <v>17</v>
      </c>
      <c r="B62" s="413" t="s">
        <v>859</v>
      </c>
      <c r="C62" s="416"/>
      <c r="D62" s="693"/>
      <c r="E62" s="693"/>
      <c r="F62" s="684" t="str">
        <f>M62</f>
        <v>rumus</v>
      </c>
      <c r="G62" s="684" t="str">
        <f>IF(N62&lt;&gt;"rumus",M62&amp;" x "&amp;N62&amp;" = "&amp;M62*N62,"rumus")</f>
        <v>rumus</v>
      </c>
      <c r="H62" s="683">
        <f>O62</f>
        <v>0</v>
      </c>
      <c r="I62" s="684"/>
      <c r="J62" s="693" t="s">
        <v>26</v>
      </c>
      <c r="K62" s="688"/>
      <c r="L62" s="688"/>
      <c r="M62" s="689" t="str">
        <f>IF(K62="1 Penulis (ke-1)",100%,IF(K62="2 Penulis (ke-1)",60%,IF(K62="2 Penulis (ke-2)",40%,IF(K62="3 Penulis (ke-1)",60%,IF(K62="3 Penulis (ke-2)",20%,IF(K62="3 Penulis (ke-3)",20%,IF(K62="4 Penulis (ke-1)",60%,IF(K62="4 Penulis (ke-2)",13.3%,IF(K62="4 Penulis (ke-3)",13.3%,IF(K62="4 Penulis (ke-4)",13.3%,"rumus"))))))))))</f>
        <v>rumus</v>
      </c>
      <c r="N62" s="689" t="str">
        <f>IF(L62&lt;&gt;"",VLOOKUP(L62,List!$E$2:$F$23,2,0),"rumus")</f>
        <v>rumus</v>
      </c>
      <c r="O62" s="694">
        <f>IFERROR(M62*N62,0)</f>
        <v>0</v>
      </c>
      <c r="P62" s="694" t="e">
        <f>VLOOKUP(L62,List!$E$2:$G$23,3,0)</f>
        <v>#N/A</v>
      </c>
      <c r="Q62" s="688" t="str">
        <f>IF(RIGHT(K62,6)="(ke-1)","Penulis Utama",IF(K62="","","Pendamping"))</f>
        <v/>
      </c>
      <c r="R62" s="688" t="str">
        <f>IF(RIGHT(L62,13)="terakreditasi","terakreditasi","tidak terakreditasi")</f>
        <v>tidak terakreditasi</v>
      </c>
      <c r="S62" s="4"/>
      <c r="T62" s="4"/>
      <c r="U62" s="4"/>
      <c r="V62" s="4"/>
      <c r="W62" s="4"/>
      <c r="X62" s="4"/>
      <c r="Y62" s="4"/>
      <c r="Z62" s="4"/>
      <c r="AA62" s="4"/>
    </row>
    <row r="63" spans="1:27" ht="102.75" customHeight="1" x14ac:dyDescent="0.25">
      <c r="A63" s="631"/>
      <c r="B63" s="413" t="s">
        <v>864</v>
      </c>
      <c r="C63" s="440"/>
      <c r="D63" s="631"/>
      <c r="E63" s="631"/>
      <c r="F63" s="631"/>
      <c r="G63" s="631"/>
      <c r="H63" s="631"/>
      <c r="I63" s="631"/>
      <c r="J63" s="631"/>
      <c r="K63" s="631"/>
      <c r="L63" s="631"/>
      <c r="M63" s="631"/>
      <c r="N63" s="631"/>
      <c r="O63" s="613"/>
      <c r="P63" s="613"/>
      <c r="Q63" s="631"/>
      <c r="R63" s="631"/>
      <c r="S63" s="4"/>
      <c r="T63" s="4"/>
      <c r="U63" s="4"/>
      <c r="V63" s="4"/>
      <c r="W63" s="4"/>
      <c r="X63" s="4"/>
      <c r="Y63" s="4"/>
      <c r="Z63" s="4"/>
      <c r="AA63" s="4"/>
    </row>
    <row r="64" spans="1:27" ht="15" customHeight="1" x14ac:dyDescent="0.25">
      <c r="A64" s="695">
        <v>18</v>
      </c>
      <c r="B64" s="413" t="s">
        <v>859</v>
      </c>
      <c r="C64" s="416"/>
      <c r="D64" s="693"/>
      <c r="E64" s="693"/>
      <c r="F64" s="684" t="str">
        <f>M64</f>
        <v>rumus</v>
      </c>
      <c r="G64" s="684" t="str">
        <f>IF(N64&lt;&gt;"rumus",M64&amp;" x "&amp;N64&amp;" = "&amp;M64*N64,"rumus")</f>
        <v>rumus</v>
      </c>
      <c r="H64" s="683">
        <f>O64</f>
        <v>0</v>
      </c>
      <c r="I64" s="684"/>
      <c r="J64" s="693" t="s">
        <v>26</v>
      </c>
      <c r="K64" s="688"/>
      <c r="L64" s="688"/>
      <c r="M64" s="689" t="str">
        <f>IF(K64="1 Penulis (ke-1)",100%,IF(K64="2 Penulis (ke-1)",60%,IF(K64="2 Penulis (ke-2)",40%,IF(K64="3 Penulis (ke-1)",60%,IF(K64="3 Penulis (ke-2)",20%,IF(K64="3 Penulis (ke-3)",20%,IF(K64="4 Penulis (ke-1)",60%,IF(K64="4 Penulis (ke-2)",13.3%,IF(K64="4 Penulis (ke-3)",13.3%,IF(K64="4 Penulis (ke-4)",13.3%,"rumus"))))))))))</f>
        <v>rumus</v>
      </c>
      <c r="N64" s="689" t="str">
        <f>IF(L64&lt;&gt;"",VLOOKUP(L64,List!$E$2:$F$23,2,0),"rumus")</f>
        <v>rumus</v>
      </c>
      <c r="O64" s="694">
        <f>IFERROR(M64*N64,0)</f>
        <v>0</v>
      </c>
      <c r="P64" s="694" t="e">
        <f>VLOOKUP(L64,List!$E$2:$G$23,3,0)</f>
        <v>#N/A</v>
      </c>
      <c r="Q64" s="688" t="str">
        <f>IF(RIGHT(K64,6)="(ke-1)","Penulis Utama",IF(K64="","","Pendamping"))</f>
        <v/>
      </c>
      <c r="R64" s="688" t="str">
        <f>IF(RIGHT(L64,13)="terakreditasi","terakreditasi","tidak terakreditasi")</f>
        <v>tidak terakreditasi</v>
      </c>
      <c r="S64" s="4"/>
      <c r="T64" s="4"/>
      <c r="U64" s="4"/>
      <c r="V64" s="4"/>
      <c r="W64" s="4"/>
      <c r="X64" s="4"/>
      <c r="Y64" s="4"/>
      <c r="Z64" s="4"/>
      <c r="AA64" s="4"/>
    </row>
    <row r="65" spans="1:27" ht="91.5" customHeight="1" x14ac:dyDescent="0.25">
      <c r="A65" s="631"/>
      <c r="B65" s="413" t="s">
        <v>864</v>
      </c>
      <c r="C65" s="440"/>
      <c r="D65" s="631"/>
      <c r="E65" s="631"/>
      <c r="F65" s="631"/>
      <c r="G65" s="631"/>
      <c r="H65" s="631"/>
      <c r="I65" s="631"/>
      <c r="J65" s="631"/>
      <c r="K65" s="631"/>
      <c r="L65" s="631"/>
      <c r="M65" s="631"/>
      <c r="N65" s="631"/>
      <c r="O65" s="613"/>
      <c r="P65" s="613"/>
      <c r="Q65" s="631"/>
      <c r="R65" s="631"/>
      <c r="S65" s="4"/>
      <c r="T65" s="4"/>
      <c r="U65" s="4"/>
      <c r="V65" s="4"/>
      <c r="W65" s="4"/>
      <c r="X65" s="4"/>
      <c r="Y65" s="4"/>
      <c r="Z65" s="4"/>
      <c r="AA65" s="4"/>
    </row>
    <row r="66" spans="1:27" ht="15" customHeight="1" x14ac:dyDescent="0.25">
      <c r="A66" s="695">
        <v>19</v>
      </c>
      <c r="B66" s="413" t="s">
        <v>859</v>
      </c>
      <c r="C66" s="416"/>
      <c r="D66" s="693"/>
      <c r="E66" s="693"/>
      <c r="F66" s="684" t="str">
        <f>M66</f>
        <v>rumus</v>
      </c>
      <c r="G66" s="684" t="str">
        <f>IF(N66&lt;&gt;"rumus",M66&amp;" x "&amp;N66&amp;" = "&amp;M66*N66,"rumus")</f>
        <v>rumus</v>
      </c>
      <c r="H66" s="683">
        <f>O66</f>
        <v>0</v>
      </c>
      <c r="I66" s="684"/>
      <c r="J66" s="693" t="s">
        <v>26</v>
      </c>
      <c r="K66" s="688"/>
      <c r="L66" s="688"/>
      <c r="M66" s="689" t="str">
        <f>IF(K66="1 Penulis (ke-1)",100%,IF(K66="2 Penulis (ke-1)",60%,IF(K66="2 Penulis (ke-2)",40%,IF(K66="3 Penulis (ke-1)",60%,IF(K66="3 Penulis (ke-2)",20%,IF(K66="3 Penulis (ke-3)",20%,IF(K66="4 Penulis (ke-1)",60%,IF(K66="4 Penulis (ke-2)",13.3%,IF(K66="4 Penulis (ke-3)",13.3%,IF(K66="4 Penulis (ke-4)",13.3%,"rumus"))))))))))</f>
        <v>rumus</v>
      </c>
      <c r="N66" s="689" t="str">
        <f>IF(L66&lt;&gt;"",VLOOKUP(L66,List!$E$2:$F$23,2,0),"rumus")</f>
        <v>rumus</v>
      </c>
      <c r="O66" s="694">
        <f>IFERROR(M66*N66,0)</f>
        <v>0</v>
      </c>
      <c r="P66" s="694" t="e">
        <f>VLOOKUP(L66,List!$E$2:$G$23,3,0)</f>
        <v>#N/A</v>
      </c>
      <c r="Q66" s="688" t="str">
        <f>IF(RIGHT(K66,6)="(ke-1)","Penulis Utama",IF(K66="","","Pendamping"))</f>
        <v/>
      </c>
      <c r="R66" s="688" t="str">
        <f>IF(RIGHT(L66,13)="terakreditasi","terakreditasi","tidak terakreditasi")</f>
        <v>tidak terakreditasi</v>
      </c>
      <c r="S66" s="4"/>
      <c r="T66" s="4"/>
      <c r="U66" s="4"/>
      <c r="V66" s="4"/>
      <c r="W66" s="4"/>
      <c r="X66" s="4"/>
      <c r="Y66" s="4"/>
      <c r="Z66" s="4"/>
      <c r="AA66" s="4"/>
    </row>
    <row r="67" spans="1:27" ht="82.5" customHeight="1" x14ac:dyDescent="0.25">
      <c r="A67" s="631"/>
      <c r="B67" s="413" t="s">
        <v>864</v>
      </c>
      <c r="C67" s="440"/>
      <c r="D67" s="631"/>
      <c r="E67" s="631"/>
      <c r="F67" s="631"/>
      <c r="G67" s="631"/>
      <c r="H67" s="631"/>
      <c r="I67" s="631"/>
      <c r="J67" s="631"/>
      <c r="K67" s="631"/>
      <c r="L67" s="631"/>
      <c r="M67" s="631"/>
      <c r="N67" s="631"/>
      <c r="O67" s="613"/>
      <c r="P67" s="613"/>
      <c r="Q67" s="631"/>
      <c r="R67" s="631"/>
      <c r="S67" s="4"/>
      <c r="T67" s="4"/>
      <c r="U67" s="4"/>
      <c r="V67" s="4"/>
      <c r="W67" s="4"/>
      <c r="X67" s="4"/>
      <c r="Y67" s="4"/>
      <c r="Z67" s="4"/>
      <c r="AA67" s="4"/>
    </row>
    <row r="68" spans="1:27" ht="15" customHeight="1" x14ac:dyDescent="0.25">
      <c r="A68" s="695">
        <v>20</v>
      </c>
      <c r="B68" s="413" t="s">
        <v>859</v>
      </c>
      <c r="C68" s="416"/>
      <c r="D68" s="693"/>
      <c r="E68" s="693"/>
      <c r="F68" s="684" t="str">
        <f>M68</f>
        <v>rumus</v>
      </c>
      <c r="G68" s="684" t="str">
        <f>IF(N68&lt;&gt;"rumus",M68&amp;" x "&amp;N68&amp;" = "&amp;M68*N68,"rumus")</f>
        <v>rumus</v>
      </c>
      <c r="H68" s="683">
        <f>O68</f>
        <v>0</v>
      </c>
      <c r="I68" s="684"/>
      <c r="J68" s="693" t="s">
        <v>26</v>
      </c>
      <c r="K68" s="688"/>
      <c r="L68" s="688"/>
      <c r="M68" s="689" t="str">
        <f>IF(K68="1 Penulis (ke-1)",100%,IF(K68="2 Penulis (ke-1)",60%,IF(K68="2 Penulis (ke-2)",40%,IF(K68="3 Penulis (ke-1)",60%,IF(K68="3 Penulis (ke-2)",20%,IF(K68="3 Penulis (ke-3)",20%,IF(K68="4 Penulis (ke-1)",60%,IF(K68="4 Penulis (ke-2)",13.3%,IF(K68="4 Penulis (ke-3)",13.3%,IF(K68="4 Penulis (ke-4)",13.3%,"rumus"))))))))))</f>
        <v>rumus</v>
      </c>
      <c r="N68" s="689" t="str">
        <f>IF(L68&lt;&gt;"",VLOOKUP(L68,List!$E$2:$F$23,2,0),"rumus")</f>
        <v>rumus</v>
      </c>
      <c r="O68" s="694">
        <f>IFERROR(M68*N68,0)</f>
        <v>0</v>
      </c>
      <c r="P68" s="694" t="e">
        <f>VLOOKUP(L68,List!$E$2:$G$23,3,0)</f>
        <v>#N/A</v>
      </c>
      <c r="Q68" s="688" t="str">
        <f>IF(RIGHT(K68,6)="(ke-1)","Penulis Utama",IF(K68="","","Pendamping"))</f>
        <v/>
      </c>
      <c r="R68" s="688" t="str">
        <f>IF(RIGHT(L68,13)="terakreditasi","terakreditasi","tidak terakreditasi")</f>
        <v>tidak terakreditasi</v>
      </c>
      <c r="S68" s="4"/>
      <c r="T68" s="4"/>
      <c r="U68" s="4"/>
      <c r="V68" s="4"/>
      <c r="W68" s="4"/>
      <c r="X68" s="4"/>
      <c r="Y68" s="4"/>
      <c r="Z68" s="4"/>
      <c r="AA68" s="4"/>
    </row>
    <row r="69" spans="1:27" ht="86.25" customHeight="1" x14ac:dyDescent="0.25">
      <c r="A69" s="631"/>
      <c r="B69" s="413" t="s">
        <v>864</v>
      </c>
      <c r="C69" s="440"/>
      <c r="D69" s="631"/>
      <c r="E69" s="631"/>
      <c r="F69" s="631"/>
      <c r="G69" s="631"/>
      <c r="H69" s="631"/>
      <c r="I69" s="631"/>
      <c r="J69" s="631"/>
      <c r="K69" s="631"/>
      <c r="L69" s="631"/>
      <c r="M69" s="631"/>
      <c r="N69" s="631"/>
      <c r="O69" s="613"/>
      <c r="P69" s="613"/>
      <c r="Q69" s="631"/>
      <c r="R69" s="631"/>
      <c r="S69" s="4"/>
      <c r="T69" s="4"/>
      <c r="U69" s="4"/>
      <c r="V69" s="4"/>
      <c r="W69" s="4"/>
      <c r="X69" s="4"/>
      <c r="Y69" s="4"/>
      <c r="Z69" s="4"/>
      <c r="AA69" s="4"/>
    </row>
    <row r="70" spans="1:27" ht="27.75" customHeight="1" x14ac:dyDescent="0.25">
      <c r="A70" s="142" t="s">
        <v>871</v>
      </c>
      <c r="B70" s="439"/>
      <c r="C70" s="439"/>
      <c r="D70" s="439"/>
      <c r="E70" s="439"/>
      <c r="F70" s="439"/>
      <c r="G70" s="439"/>
      <c r="H70" s="439"/>
      <c r="I70" s="439"/>
      <c r="J70" s="143"/>
      <c r="K70" s="106"/>
      <c r="L70" s="106"/>
      <c r="M70" s="441"/>
      <c r="N70" s="441"/>
      <c r="O70" s="144"/>
      <c r="P70" s="144"/>
      <c r="Q70" s="4"/>
      <c r="R70" s="4"/>
      <c r="S70" s="4"/>
      <c r="T70" s="4"/>
      <c r="U70" s="4"/>
      <c r="V70" s="4"/>
      <c r="W70" s="4"/>
      <c r="X70" s="4"/>
      <c r="Y70" s="4"/>
      <c r="Z70" s="4"/>
      <c r="AA70" s="4"/>
    </row>
    <row r="71" spans="1:27" ht="15" customHeight="1" x14ac:dyDescent="0.25">
      <c r="A71" s="695">
        <v>21</v>
      </c>
      <c r="B71" s="413" t="s">
        <v>859</v>
      </c>
      <c r="C71" s="416"/>
      <c r="D71" s="693"/>
      <c r="E71" s="693"/>
      <c r="F71" s="684" t="str">
        <f>M71</f>
        <v>rumus</v>
      </c>
      <c r="G71" s="684" t="str">
        <f>IF(N71&lt;&gt;"rumus",M71&amp;" x "&amp;N71&amp;" = "&amp;M71*N71,"rumus")</f>
        <v>rumus</v>
      </c>
      <c r="H71" s="683">
        <f>O71</f>
        <v>0</v>
      </c>
      <c r="I71" s="684"/>
      <c r="J71" s="693" t="s">
        <v>872</v>
      </c>
      <c r="K71" s="688"/>
      <c r="L71" s="688"/>
      <c r="M71" s="689" t="str">
        <f>IF(K71="1 Penulis (ke-1)",100%,IF(K71="2 Penulis (ke-1)",60%,IF(K71="2 Penulis (ke-2)",40%,IF(K71="3 Penulis (ke-1)",60%,IF(K71="3 Penulis (ke-2)",20%,IF(K71="3 Penulis (ke-3)",20%,IF(K71="4 Penulis (ke-1)",60%,IF(K71="4 Penulis (ke-2)",13.3%,IF(K71="4 Penulis (ke-3)",13.3%,IF(K71="4 Penulis (ke-4)",13.3%,"rumus"))))))))))</f>
        <v>rumus</v>
      </c>
      <c r="N71" s="689" t="str">
        <f>IF(L71&lt;&gt;"",VLOOKUP(L71,List!$E$2:$F$23,2,0),"rumus")</f>
        <v>rumus</v>
      </c>
      <c r="O71" s="694">
        <f>IFERROR(M71*N71,0)</f>
        <v>0</v>
      </c>
      <c r="P71" s="694" t="e">
        <f>VLOOKUP(L71,List!$E$2:$G$23,3,0)</f>
        <v>#N/A</v>
      </c>
      <c r="Q71" s="688" t="str">
        <f>IF(RIGHT(K71,6)="(ke-1)","Penulis Utama",IF(K71="","","Pendamping"))</f>
        <v/>
      </c>
      <c r="R71" s="4"/>
      <c r="S71" s="4"/>
      <c r="T71" s="4"/>
      <c r="U71" s="4"/>
      <c r="V71" s="4"/>
      <c r="W71" s="4"/>
      <c r="X71" s="4"/>
      <c r="Y71" s="4"/>
      <c r="Z71" s="4"/>
      <c r="AA71" s="4"/>
    </row>
    <row r="72" spans="1:27" ht="99.75" customHeight="1" x14ac:dyDescent="0.25">
      <c r="A72" s="631"/>
      <c r="B72" s="413" t="s">
        <v>864</v>
      </c>
      <c r="C72" s="440"/>
      <c r="D72" s="631"/>
      <c r="E72" s="631"/>
      <c r="F72" s="631"/>
      <c r="G72" s="631"/>
      <c r="H72" s="631"/>
      <c r="I72" s="631"/>
      <c r="J72" s="631"/>
      <c r="K72" s="631"/>
      <c r="L72" s="631"/>
      <c r="M72" s="631"/>
      <c r="N72" s="631"/>
      <c r="O72" s="613"/>
      <c r="P72" s="613"/>
      <c r="Q72" s="631"/>
      <c r="R72" s="4"/>
      <c r="S72" s="4"/>
      <c r="T72" s="4"/>
      <c r="U72" s="4"/>
      <c r="V72" s="4"/>
      <c r="W72" s="4"/>
      <c r="X72" s="4"/>
      <c r="Y72" s="4"/>
      <c r="Z72" s="4"/>
      <c r="AA72" s="4"/>
    </row>
    <row r="73" spans="1:27" ht="15" customHeight="1" x14ac:dyDescent="0.25">
      <c r="A73" s="695">
        <v>22</v>
      </c>
      <c r="B73" s="413" t="s">
        <v>859</v>
      </c>
      <c r="C73" s="416"/>
      <c r="D73" s="693"/>
      <c r="E73" s="693"/>
      <c r="F73" s="684" t="str">
        <f>M73</f>
        <v>rumus</v>
      </c>
      <c r="G73" s="684" t="str">
        <f>IF(N73&lt;&gt;"rumus",M73&amp;" x "&amp;N73&amp;" = "&amp;M73*N73,"rumus")</f>
        <v>rumus</v>
      </c>
      <c r="H73" s="683">
        <f>O73</f>
        <v>0</v>
      </c>
      <c r="I73" s="684"/>
      <c r="J73" s="693" t="s">
        <v>26</v>
      </c>
      <c r="K73" s="688"/>
      <c r="L73" s="688"/>
      <c r="M73" s="689" t="str">
        <f>IF(K73="1 Penulis (ke-1)",100%,IF(K73="2 Penulis (ke-1)",60%,IF(K73="2 Penulis (ke-2)",40%,IF(K73="3 Penulis (ke-1)",60%,IF(K73="3 Penulis (ke-2)",20%,IF(K73="3 Penulis (ke-3)",20%,IF(K73="4 Penulis (ke-1)",60%,IF(K73="4 Penulis (ke-2)",13.3%,IF(K73="4 Penulis (ke-3)",13.3%,IF(K73="4 Penulis (ke-4)",13.3%,"rumus"))))))))))</f>
        <v>rumus</v>
      </c>
      <c r="N73" s="689" t="str">
        <f>IF(L73&lt;&gt;"",VLOOKUP(L73,List!$E$2:$F$23,2,0),"rumus")</f>
        <v>rumus</v>
      </c>
      <c r="O73" s="694">
        <f>IFERROR(M73*N73,0)</f>
        <v>0</v>
      </c>
      <c r="P73" s="694" t="e">
        <f>VLOOKUP(L73,List!$E$2:$G$23,3,0)</f>
        <v>#N/A</v>
      </c>
      <c r="Q73" s="688" t="str">
        <f>IF(RIGHT(K73,6)="(ke-1)","Penulis Utama",IF(K73="","","Pendamping"))</f>
        <v/>
      </c>
      <c r="R73" s="4"/>
      <c r="S73" s="4"/>
      <c r="T73" s="4"/>
      <c r="U73" s="4"/>
      <c r="V73" s="4"/>
      <c r="W73" s="4"/>
      <c r="X73" s="4"/>
      <c r="Y73" s="4"/>
      <c r="Z73" s="4"/>
      <c r="AA73" s="4"/>
    </row>
    <row r="74" spans="1:27" ht="75.75" customHeight="1" x14ac:dyDescent="0.25">
      <c r="A74" s="631"/>
      <c r="B74" s="413" t="s">
        <v>864</v>
      </c>
      <c r="C74" s="440"/>
      <c r="D74" s="631"/>
      <c r="E74" s="631"/>
      <c r="F74" s="631"/>
      <c r="G74" s="631"/>
      <c r="H74" s="631"/>
      <c r="I74" s="631"/>
      <c r="J74" s="631"/>
      <c r="K74" s="631"/>
      <c r="L74" s="631"/>
      <c r="M74" s="631"/>
      <c r="N74" s="631"/>
      <c r="O74" s="613"/>
      <c r="P74" s="613"/>
      <c r="Q74" s="631"/>
      <c r="R74" s="4"/>
      <c r="S74" s="4"/>
      <c r="T74" s="4"/>
      <c r="U74" s="4"/>
      <c r="V74" s="4"/>
      <c r="W74" s="4"/>
      <c r="X74" s="4"/>
      <c r="Y74" s="4"/>
      <c r="Z74" s="4"/>
      <c r="AA74" s="4"/>
    </row>
    <row r="75" spans="1:27" ht="15" customHeight="1" x14ac:dyDescent="0.25">
      <c r="A75" s="695">
        <v>23</v>
      </c>
      <c r="B75" s="413" t="s">
        <v>859</v>
      </c>
      <c r="C75" s="416"/>
      <c r="D75" s="693"/>
      <c r="E75" s="693"/>
      <c r="F75" s="684" t="str">
        <f>M75</f>
        <v>rumus</v>
      </c>
      <c r="G75" s="684" t="str">
        <f>IF(N75&lt;&gt;"rumus",M75&amp;" x "&amp;N75&amp;" = "&amp;M75*N75,"rumus")</f>
        <v>rumus</v>
      </c>
      <c r="H75" s="683">
        <f>O75</f>
        <v>0</v>
      </c>
      <c r="I75" s="684"/>
      <c r="J75" s="693" t="s">
        <v>26</v>
      </c>
      <c r="K75" s="688"/>
      <c r="L75" s="688"/>
      <c r="M75" s="689" t="str">
        <f>IF(K75="1 Penulis (ke-1)",100%,IF(K75="2 Penulis (ke-1)",60%,IF(K75="2 Penulis (ke-2)",40%,IF(K75="3 Penulis (ke-1)",60%,IF(K75="3 Penulis (ke-2)",20%,IF(K75="3 Penulis (ke-3)",20%,IF(K75="4 Penulis (ke-1)",60%,IF(K75="4 Penulis (ke-2)",13.3%,IF(K75="4 Penulis (ke-3)",13.3%,IF(K75="4 Penulis (ke-4)",13.3%,"rumus"))))))))))</f>
        <v>rumus</v>
      </c>
      <c r="N75" s="689" t="str">
        <f>IF(L75&lt;&gt;"",VLOOKUP(L75,List!$E$2:$F$23,2,0),"rumus")</f>
        <v>rumus</v>
      </c>
      <c r="O75" s="694">
        <f>IFERROR(M75*N75,0)</f>
        <v>0</v>
      </c>
      <c r="P75" s="694" t="e">
        <f>VLOOKUP(L75,List!$E$2:$G$23,3,0)</f>
        <v>#N/A</v>
      </c>
      <c r="Q75" s="688" t="str">
        <f>IF(RIGHT(K75,6)="(ke-1)","Penulis Utama",IF(K75="","","Pendamping"))</f>
        <v/>
      </c>
      <c r="R75" s="4"/>
      <c r="S75" s="4"/>
      <c r="T75" s="4"/>
      <c r="U75" s="4"/>
      <c r="V75" s="4"/>
      <c r="W75" s="4"/>
      <c r="X75" s="4"/>
      <c r="Y75" s="4"/>
      <c r="Z75" s="4"/>
      <c r="AA75" s="4"/>
    </row>
    <row r="76" spans="1:27" ht="80.25" customHeight="1" x14ac:dyDescent="0.25">
      <c r="A76" s="631"/>
      <c r="B76" s="413" t="s">
        <v>864</v>
      </c>
      <c r="C76" s="440"/>
      <c r="D76" s="631"/>
      <c r="E76" s="631"/>
      <c r="F76" s="631"/>
      <c r="G76" s="631"/>
      <c r="H76" s="631"/>
      <c r="I76" s="631"/>
      <c r="J76" s="631"/>
      <c r="K76" s="631"/>
      <c r="L76" s="631"/>
      <c r="M76" s="631"/>
      <c r="N76" s="631"/>
      <c r="O76" s="613"/>
      <c r="P76" s="613"/>
      <c r="Q76" s="631"/>
      <c r="R76" s="4"/>
      <c r="S76" s="4"/>
      <c r="T76" s="4"/>
      <c r="U76" s="4"/>
      <c r="V76" s="4"/>
      <c r="W76" s="4"/>
      <c r="X76" s="4"/>
      <c r="Y76" s="4"/>
      <c r="Z76" s="4"/>
      <c r="AA76" s="4"/>
    </row>
    <row r="77" spans="1:27" ht="32.25" customHeight="1" x14ac:dyDescent="0.25">
      <c r="A77" s="695">
        <v>24</v>
      </c>
      <c r="B77" s="413" t="s">
        <v>859</v>
      </c>
      <c r="C77" s="440"/>
      <c r="D77" s="693"/>
      <c r="E77" s="693"/>
      <c r="F77" s="684" t="str">
        <f>M77</f>
        <v>rumus</v>
      </c>
      <c r="G77" s="684" t="str">
        <f>IF(N77&lt;&gt;"rumus",M77&amp;" x "&amp;N77&amp;" = "&amp;M77*N77,"rumus")</f>
        <v>rumus</v>
      </c>
      <c r="H77" s="683">
        <f>O77</f>
        <v>0</v>
      </c>
      <c r="I77" s="684"/>
      <c r="J77" s="693" t="s">
        <v>26</v>
      </c>
      <c r="K77" s="688"/>
      <c r="L77" s="688"/>
      <c r="M77" s="689" t="str">
        <f>IF(K77="1 Penulis (ke-1)",100%,IF(K77="2 Penulis (ke-1)",60%,IF(K77="2 Penulis (ke-2)",40%,IF(K77="3 Penulis (ke-1)",60%,IF(K77="3 Penulis (ke-2)",20%,IF(K77="3 Penulis (ke-3)",20%,IF(K77="4 Penulis (ke-1)",60%,IF(K77="4 Penulis (ke-2)",13.3%,IF(K77="4 Penulis (ke-3)",13.3%,IF(K77="4 Penulis (ke-4)",13.3%,"rumus"))))))))))</f>
        <v>rumus</v>
      </c>
      <c r="N77" s="689" t="str">
        <f>IF(L77&lt;&gt;"",VLOOKUP(L77,List!$E$2:$F$23,2,0),"rumus")</f>
        <v>rumus</v>
      </c>
      <c r="O77" s="694">
        <f>IFERROR(M77*N77,0)</f>
        <v>0</v>
      </c>
      <c r="P77" s="694" t="e">
        <f>VLOOKUP(L77,List!$E$2:$G$23,3,0)</f>
        <v>#N/A</v>
      </c>
      <c r="Q77" s="688" t="str">
        <f>IF(RIGHT(K77,6)="(ke-1)","Penulis Utama",IF(K77="","","Pendamping"))</f>
        <v/>
      </c>
      <c r="R77" s="4"/>
      <c r="S77" s="4"/>
      <c r="T77" s="4"/>
      <c r="U77" s="4"/>
      <c r="V77" s="4"/>
      <c r="W77" s="4"/>
      <c r="X77" s="4"/>
      <c r="Y77" s="4"/>
      <c r="Z77" s="4"/>
      <c r="AA77" s="4"/>
    </row>
    <row r="78" spans="1:27" ht="58.5" customHeight="1" x14ac:dyDescent="0.25">
      <c r="A78" s="631"/>
      <c r="B78" s="413" t="s">
        <v>864</v>
      </c>
      <c r="C78" s="440"/>
      <c r="D78" s="631"/>
      <c r="E78" s="631"/>
      <c r="F78" s="631"/>
      <c r="G78" s="631"/>
      <c r="H78" s="631"/>
      <c r="I78" s="631"/>
      <c r="J78" s="631"/>
      <c r="K78" s="631"/>
      <c r="L78" s="631"/>
      <c r="M78" s="631"/>
      <c r="N78" s="631"/>
      <c r="O78" s="613"/>
      <c r="P78" s="613"/>
      <c r="Q78" s="631"/>
      <c r="R78" s="4"/>
      <c r="S78" s="4"/>
      <c r="T78" s="4"/>
      <c r="U78" s="4"/>
      <c r="V78" s="4"/>
      <c r="W78" s="4"/>
      <c r="X78" s="4"/>
      <c r="Y78" s="4"/>
      <c r="Z78" s="4"/>
      <c r="AA78" s="4"/>
    </row>
    <row r="79" spans="1:27" ht="28.5" customHeight="1" x14ac:dyDescent="0.25">
      <c r="A79" s="695">
        <v>25</v>
      </c>
      <c r="B79" s="413" t="s">
        <v>859</v>
      </c>
      <c r="C79" s="440"/>
      <c r="D79" s="693"/>
      <c r="E79" s="693"/>
      <c r="F79" s="684" t="str">
        <f>M79</f>
        <v>rumus</v>
      </c>
      <c r="G79" s="684" t="str">
        <f>IF(N79&lt;&gt;"rumus",M79&amp;" x "&amp;N79&amp;" = "&amp;M79*N79,"rumus")</f>
        <v>rumus</v>
      </c>
      <c r="H79" s="683">
        <f>O79</f>
        <v>0</v>
      </c>
      <c r="I79" s="684"/>
      <c r="J79" s="693" t="s">
        <v>26</v>
      </c>
      <c r="K79" s="688"/>
      <c r="L79" s="688"/>
      <c r="M79" s="689" t="str">
        <f>IF(K79="1 Penulis (ke-1)",100%,IF(K79="2 Penulis (ke-1)",60%,IF(K79="2 Penulis (ke-2)",40%,IF(K79="3 Penulis (ke-1)",60%,IF(K79="3 Penulis (ke-2)",20%,IF(K79="3 Penulis (ke-3)",20%,IF(K79="4 Penulis (ke-1)",60%,IF(K79="4 Penulis (ke-2)",13.3%,IF(K79="4 Penulis (ke-3)",13.3%,IF(K79="4 Penulis (ke-4)",13.3%,"rumus"))))))))))</f>
        <v>rumus</v>
      </c>
      <c r="N79" s="689" t="str">
        <f>IF(L79&lt;&gt;"",VLOOKUP(L79,List!$E$2:$F$23,2,0),"rumus")</f>
        <v>rumus</v>
      </c>
      <c r="O79" s="694">
        <f>IFERROR(M79*N79,0)</f>
        <v>0</v>
      </c>
      <c r="P79" s="694" t="e">
        <f>VLOOKUP(L79,List!$E$2:$G$23,3,0)</f>
        <v>#N/A</v>
      </c>
      <c r="Q79" s="688" t="str">
        <f>IF(RIGHT(K79,6)="(ke-1)","Penulis Utama",IF(K79="","","Pendamping"))</f>
        <v/>
      </c>
      <c r="R79" s="4"/>
      <c r="S79" s="4"/>
      <c r="T79" s="4"/>
      <c r="U79" s="4"/>
      <c r="V79" s="4"/>
      <c r="W79" s="4"/>
      <c r="X79" s="4"/>
      <c r="Y79" s="4"/>
      <c r="Z79" s="4"/>
      <c r="AA79" s="4"/>
    </row>
    <row r="80" spans="1:27" ht="79.5" customHeight="1" x14ac:dyDescent="0.25">
      <c r="A80" s="631"/>
      <c r="B80" s="413" t="s">
        <v>864</v>
      </c>
      <c r="C80" s="440"/>
      <c r="D80" s="631"/>
      <c r="E80" s="631"/>
      <c r="F80" s="631"/>
      <c r="G80" s="631"/>
      <c r="H80" s="631"/>
      <c r="I80" s="631"/>
      <c r="J80" s="631"/>
      <c r="K80" s="631"/>
      <c r="L80" s="631"/>
      <c r="M80" s="631"/>
      <c r="N80" s="631"/>
      <c r="O80" s="613"/>
      <c r="P80" s="613"/>
      <c r="Q80" s="631"/>
      <c r="R80" s="4"/>
      <c r="S80" s="4"/>
      <c r="T80" s="4"/>
      <c r="U80" s="4"/>
      <c r="V80" s="4"/>
      <c r="W80" s="4"/>
      <c r="X80" s="4"/>
      <c r="Y80" s="4"/>
      <c r="Z80" s="4"/>
      <c r="AA80" s="4"/>
    </row>
    <row r="81" spans="1:27" ht="15" customHeight="1" x14ac:dyDescent="0.25">
      <c r="A81" s="695">
        <v>26</v>
      </c>
      <c r="B81" s="413" t="s">
        <v>859</v>
      </c>
      <c r="C81" s="416"/>
      <c r="D81" s="693"/>
      <c r="E81" s="693"/>
      <c r="F81" s="684" t="str">
        <f>M81</f>
        <v>rumus</v>
      </c>
      <c r="G81" s="684" t="str">
        <f>IF(N81&lt;&gt;"rumus",M81&amp;" x "&amp;N81&amp;" = "&amp;M81*N81,"rumus")</f>
        <v>rumus</v>
      </c>
      <c r="H81" s="683">
        <f>O81</f>
        <v>0</v>
      </c>
      <c r="I81" s="684"/>
      <c r="J81" s="693" t="s">
        <v>26</v>
      </c>
      <c r="K81" s="688"/>
      <c r="L81" s="688"/>
      <c r="M81" s="689" t="str">
        <f>IF(K81="1 Penulis (ke-1)",100%,IF(K81="2 Penulis (ke-1)",60%,IF(K81="2 Penulis (ke-2)",40%,IF(K81="3 Penulis (ke-1)",60%,IF(K81="3 Penulis (ke-2)",20%,IF(K81="3 Penulis (ke-3)",20%,IF(K81="4 Penulis (ke-1)",60%,IF(K81="4 Penulis (ke-2)",13.3%,IF(K81="4 Penulis (ke-3)",13.3%,IF(K81="4 Penulis (ke-4)",13.3%,"rumus"))))))))))</f>
        <v>rumus</v>
      </c>
      <c r="N81" s="689" t="str">
        <f>IF(L81&lt;&gt;"",VLOOKUP(L81,List!$E$2:$F$23,2,0),"rumus")</f>
        <v>rumus</v>
      </c>
      <c r="O81" s="694">
        <f>IFERROR(M81*N81,0)</f>
        <v>0</v>
      </c>
      <c r="P81" s="694" t="e">
        <f>VLOOKUP(L81,List!$E$2:$G$23,3,0)</f>
        <v>#N/A</v>
      </c>
      <c r="Q81" s="688" t="str">
        <f>IF(RIGHT(K81,6)="(ke-1)","Penulis Utama",IF(K81="","","Pendamping"))</f>
        <v/>
      </c>
      <c r="R81" s="4"/>
      <c r="S81" s="4"/>
      <c r="T81" s="4"/>
      <c r="U81" s="4"/>
      <c r="V81" s="4"/>
      <c r="W81" s="4"/>
      <c r="X81" s="4"/>
      <c r="Y81" s="4"/>
      <c r="Z81" s="4"/>
      <c r="AA81" s="4"/>
    </row>
    <row r="82" spans="1:27" ht="67.5" customHeight="1" x14ac:dyDescent="0.25">
      <c r="A82" s="631"/>
      <c r="B82" s="413" t="s">
        <v>864</v>
      </c>
      <c r="C82" s="440"/>
      <c r="D82" s="631"/>
      <c r="E82" s="631"/>
      <c r="F82" s="631"/>
      <c r="G82" s="631"/>
      <c r="H82" s="631"/>
      <c r="I82" s="631"/>
      <c r="J82" s="631"/>
      <c r="K82" s="631"/>
      <c r="L82" s="631"/>
      <c r="M82" s="631"/>
      <c r="N82" s="631"/>
      <c r="O82" s="613"/>
      <c r="P82" s="613"/>
      <c r="Q82" s="631"/>
      <c r="R82" s="4"/>
      <c r="S82" s="4"/>
      <c r="T82" s="4"/>
      <c r="U82" s="4"/>
      <c r="V82" s="4"/>
      <c r="W82" s="4"/>
      <c r="X82" s="4"/>
      <c r="Y82" s="4"/>
      <c r="Z82" s="4"/>
      <c r="AA82" s="4"/>
    </row>
    <row r="83" spans="1:27" ht="30" customHeight="1" x14ac:dyDescent="0.25">
      <c r="A83" s="695">
        <v>27</v>
      </c>
      <c r="B83" s="413" t="s">
        <v>859</v>
      </c>
      <c r="C83" s="440"/>
      <c r="D83" s="693"/>
      <c r="E83" s="693"/>
      <c r="F83" s="684" t="str">
        <f>M83</f>
        <v>rumus</v>
      </c>
      <c r="G83" s="684" t="str">
        <f>IF(N83&lt;&gt;"rumus",M83&amp;" x "&amp;N83&amp;" = "&amp;M83*N83,"rumus")</f>
        <v>rumus</v>
      </c>
      <c r="H83" s="683">
        <f>O83</f>
        <v>0</v>
      </c>
      <c r="I83" s="684"/>
      <c r="J83" s="693" t="s">
        <v>26</v>
      </c>
      <c r="K83" s="688"/>
      <c r="L83" s="688"/>
      <c r="M83" s="689" t="str">
        <f>IF(K83="1 Penulis (ke-1)",100%,IF(K83="2 Penulis (ke-1)",60%,IF(K83="2 Penulis (ke-2)",40%,IF(K83="3 Penulis (ke-1)",60%,IF(K83="3 Penulis (ke-2)",20%,IF(K83="3 Penulis (ke-3)",20%,IF(K83="4 Penulis (ke-1)",60%,IF(K83="4 Penulis (ke-2)",13.3%,IF(K83="4 Penulis (ke-3)",13.3%,IF(K83="4 Penulis (ke-4)",13.3%,"rumus"))))))))))</f>
        <v>rumus</v>
      </c>
      <c r="N83" s="689" t="str">
        <f>IF(L83&lt;&gt;"",VLOOKUP(L83,List!$E$2:$F$23,2,0),"rumus")</f>
        <v>rumus</v>
      </c>
      <c r="O83" s="694">
        <f>IFERROR(M83*N83,0)</f>
        <v>0</v>
      </c>
      <c r="P83" s="694" t="e">
        <f>VLOOKUP(L83,List!$E$2:$G$23,3,0)</f>
        <v>#N/A</v>
      </c>
      <c r="Q83" s="688" t="str">
        <f>IF(RIGHT(K83,6)="(ke-1)","Penulis Utama",IF(K83="","","Pendamping"))</f>
        <v/>
      </c>
      <c r="R83" s="4"/>
      <c r="S83" s="4"/>
      <c r="T83" s="4"/>
      <c r="U83" s="4"/>
      <c r="V83" s="4"/>
      <c r="W83" s="4"/>
      <c r="X83" s="4"/>
      <c r="Y83" s="4"/>
      <c r="Z83" s="4"/>
      <c r="AA83" s="4"/>
    </row>
    <row r="84" spans="1:27" ht="67.5" customHeight="1" x14ac:dyDescent="0.25">
      <c r="A84" s="631"/>
      <c r="B84" s="413" t="s">
        <v>864</v>
      </c>
      <c r="C84" s="440"/>
      <c r="D84" s="631"/>
      <c r="E84" s="631"/>
      <c r="F84" s="631"/>
      <c r="G84" s="631"/>
      <c r="H84" s="631"/>
      <c r="I84" s="631"/>
      <c r="J84" s="631"/>
      <c r="K84" s="631"/>
      <c r="L84" s="631"/>
      <c r="M84" s="631"/>
      <c r="N84" s="631"/>
      <c r="O84" s="613"/>
      <c r="P84" s="613"/>
      <c r="Q84" s="631"/>
      <c r="R84" s="4"/>
      <c r="S84" s="4"/>
      <c r="T84" s="4"/>
      <c r="U84" s="4"/>
      <c r="V84" s="4"/>
      <c r="W84" s="4"/>
      <c r="X84" s="4"/>
      <c r="Y84" s="4"/>
      <c r="Z84" s="4"/>
      <c r="AA84" s="4"/>
    </row>
    <row r="85" spans="1:27" ht="29.25" customHeight="1" x14ac:dyDescent="0.25">
      <c r="A85" s="695">
        <v>28</v>
      </c>
      <c r="B85" s="413" t="s">
        <v>859</v>
      </c>
      <c r="C85" s="440"/>
      <c r="D85" s="693"/>
      <c r="E85" s="693"/>
      <c r="F85" s="684" t="str">
        <f>M85</f>
        <v>rumus</v>
      </c>
      <c r="G85" s="684" t="str">
        <f>IF(N85&lt;&gt;"rumus",M85&amp;" x "&amp;N85&amp;" = "&amp;M85*N85,"rumus")</f>
        <v>rumus</v>
      </c>
      <c r="H85" s="683">
        <f>O85</f>
        <v>0</v>
      </c>
      <c r="I85" s="684"/>
      <c r="J85" s="693" t="s">
        <v>26</v>
      </c>
      <c r="K85" s="688"/>
      <c r="L85" s="688"/>
      <c r="M85" s="689" t="str">
        <f>IF(K85="1 Penulis (ke-1)",100%,IF(K85="2 Penulis (ke-1)",60%,IF(K85="2 Penulis (ke-2)",40%,IF(K85="3 Penulis (ke-1)",60%,IF(K85="3 Penulis (ke-2)",20%,IF(K85="3 Penulis (ke-3)",20%,IF(K85="4 Penulis (ke-1)",60%,IF(K85="4 Penulis (ke-2)",13.3%,IF(K85="4 Penulis (ke-3)",13.3%,IF(K85="4 Penulis (ke-4)",13.3%,"rumus"))))))))))</f>
        <v>rumus</v>
      </c>
      <c r="N85" s="689" t="str">
        <f>IF(L85&lt;&gt;"",VLOOKUP(L85,List!$E$2:$F$23,2,0),"rumus")</f>
        <v>rumus</v>
      </c>
      <c r="O85" s="694">
        <f>IFERROR(M85*N85,0)</f>
        <v>0</v>
      </c>
      <c r="P85" s="694" t="e">
        <f>VLOOKUP(L85,List!$E$2:$G$23,3,0)</f>
        <v>#N/A</v>
      </c>
      <c r="Q85" s="688" t="str">
        <f>IF(RIGHT(K85,6)="(ke-1)","Penulis Utama",IF(K85="","","Pendamping"))</f>
        <v/>
      </c>
      <c r="R85" s="4"/>
      <c r="S85" s="4"/>
      <c r="T85" s="4"/>
      <c r="U85" s="4"/>
      <c r="V85" s="4"/>
      <c r="W85" s="4"/>
      <c r="X85" s="4"/>
      <c r="Y85" s="4"/>
      <c r="Z85" s="4"/>
      <c r="AA85" s="4"/>
    </row>
    <row r="86" spans="1:27" ht="52.5" customHeight="1" x14ac:dyDescent="0.25">
      <c r="A86" s="631"/>
      <c r="B86" s="413" t="s">
        <v>864</v>
      </c>
      <c r="C86" s="440"/>
      <c r="D86" s="631"/>
      <c r="E86" s="631"/>
      <c r="F86" s="631"/>
      <c r="G86" s="631"/>
      <c r="H86" s="631"/>
      <c r="I86" s="631"/>
      <c r="J86" s="631"/>
      <c r="K86" s="631"/>
      <c r="L86" s="631"/>
      <c r="M86" s="631"/>
      <c r="N86" s="631"/>
      <c r="O86" s="613"/>
      <c r="P86" s="613"/>
      <c r="Q86" s="631"/>
      <c r="R86" s="4"/>
      <c r="S86" s="4"/>
      <c r="T86" s="4"/>
      <c r="U86" s="4"/>
      <c r="V86" s="4"/>
      <c r="W86" s="4"/>
      <c r="X86" s="4"/>
      <c r="Y86" s="4"/>
      <c r="Z86" s="4"/>
      <c r="AA86" s="4"/>
    </row>
    <row r="87" spans="1:27" ht="33.75" customHeight="1" x14ac:dyDescent="0.25">
      <c r="A87" s="695">
        <v>29</v>
      </c>
      <c r="B87" s="413" t="s">
        <v>859</v>
      </c>
      <c r="C87" s="440"/>
      <c r="D87" s="693"/>
      <c r="E87" s="693"/>
      <c r="F87" s="684" t="str">
        <f>M87</f>
        <v>rumus</v>
      </c>
      <c r="G87" s="684" t="str">
        <f>IF(N87&lt;&gt;"rumus",M87&amp;" x "&amp;N87&amp;" = "&amp;M87*N87,"rumus")</f>
        <v>rumus</v>
      </c>
      <c r="H87" s="683">
        <f>O87</f>
        <v>0</v>
      </c>
      <c r="I87" s="684"/>
      <c r="J87" s="693" t="s">
        <v>26</v>
      </c>
      <c r="K87" s="688"/>
      <c r="L87" s="688"/>
      <c r="M87" s="689" t="str">
        <f>IF(K87="1 Penulis (ke-1)",100%,IF(K87="2 Penulis (ke-1)",60%,IF(K87="2 Penulis (ke-2)",40%,IF(K87="3 Penulis (ke-1)",60%,IF(K87="3 Penulis (ke-2)",20%,IF(K87="3 Penulis (ke-3)",20%,IF(K87="4 Penulis (ke-1)",60%,IF(K87="4 Penulis (ke-2)",13.3%,IF(K87="4 Penulis (ke-3)",13.3%,IF(K87="4 Penulis (ke-4)",13.3%,"rumus"))))))))))</f>
        <v>rumus</v>
      </c>
      <c r="N87" s="689" t="str">
        <f>IF(L87&lt;&gt;"",VLOOKUP(L87,List!$E$2:$F$23,2,0),"rumus")</f>
        <v>rumus</v>
      </c>
      <c r="O87" s="694">
        <f>IFERROR(M87*N87,0)</f>
        <v>0</v>
      </c>
      <c r="P87" s="694" t="e">
        <f>VLOOKUP(L87,List!$E$2:$G$23,3,0)</f>
        <v>#N/A</v>
      </c>
      <c r="Q87" s="688" t="str">
        <f>IF(RIGHT(K87,6)="(ke-1)","Penulis Utama",IF(K87="","","Pendamping"))</f>
        <v/>
      </c>
      <c r="R87" s="4"/>
      <c r="S87" s="4"/>
      <c r="T87" s="4"/>
      <c r="U87" s="4"/>
      <c r="V87" s="4"/>
      <c r="W87" s="4"/>
      <c r="X87" s="4"/>
      <c r="Y87" s="4"/>
      <c r="Z87" s="4"/>
      <c r="AA87" s="4"/>
    </row>
    <row r="88" spans="1:27" ht="72.75" customHeight="1" x14ac:dyDescent="0.25">
      <c r="A88" s="631"/>
      <c r="B88" s="413" t="s">
        <v>864</v>
      </c>
      <c r="C88" s="440"/>
      <c r="D88" s="631"/>
      <c r="E88" s="631"/>
      <c r="F88" s="631"/>
      <c r="G88" s="631"/>
      <c r="H88" s="631"/>
      <c r="I88" s="631"/>
      <c r="J88" s="631"/>
      <c r="K88" s="631"/>
      <c r="L88" s="631"/>
      <c r="M88" s="631"/>
      <c r="N88" s="631"/>
      <c r="O88" s="613"/>
      <c r="P88" s="613"/>
      <c r="Q88" s="631"/>
      <c r="R88" s="4"/>
      <c r="S88" s="4"/>
      <c r="T88" s="4"/>
      <c r="U88" s="4"/>
      <c r="V88" s="4"/>
      <c r="W88" s="4"/>
      <c r="X88" s="4"/>
      <c r="Y88" s="4"/>
      <c r="Z88" s="4"/>
      <c r="AA88" s="4"/>
    </row>
    <row r="89" spans="1:27" ht="26.25" customHeight="1" x14ac:dyDescent="0.25">
      <c r="A89" s="695">
        <v>30</v>
      </c>
      <c r="B89" s="413" t="s">
        <v>859</v>
      </c>
      <c r="C89" s="440"/>
      <c r="D89" s="693"/>
      <c r="E89" s="693"/>
      <c r="F89" s="684" t="str">
        <f>M89</f>
        <v>rumus</v>
      </c>
      <c r="G89" s="684" t="str">
        <f>IF(N89&lt;&gt;"rumus",M89&amp;" x "&amp;N89&amp;" = "&amp;M89*N89,"rumus")</f>
        <v>rumus</v>
      </c>
      <c r="H89" s="683">
        <f>O89</f>
        <v>0</v>
      </c>
      <c r="I89" s="684"/>
      <c r="J89" s="693" t="s">
        <v>26</v>
      </c>
      <c r="K89" s="688"/>
      <c r="L89" s="688"/>
      <c r="M89" s="689" t="str">
        <f>IF(K89="1 Penulis (ke-1)",100%,IF(K89="2 Penulis (ke-1)",60%,IF(K89="2 Penulis (ke-2)",40%,IF(K89="3 Penulis (ke-1)",60%,IF(K89="3 Penulis (ke-2)",20%,IF(K89="3 Penulis (ke-3)",20%,IF(K89="4 Penulis (ke-1)",60%,IF(K89="4 Penulis (ke-2)",13.3%,IF(K89="4 Penulis (ke-3)",13.3%,IF(K89="4 Penulis (ke-4)",13.3%,"rumus"))))))))))</f>
        <v>rumus</v>
      </c>
      <c r="N89" s="689" t="str">
        <f>IF(L89&lt;&gt;"",VLOOKUP(L89,List!$E$2:$F$23,2,0),"rumus")</f>
        <v>rumus</v>
      </c>
      <c r="O89" s="694">
        <f>IFERROR(M89*N89,0)</f>
        <v>0</v>
      </c>
      <c r="P89" s="694" t="e">
        <f>VLOOKUP(L89,List!$E$2:$G$23,3,0)</f>
        <v>#N/A</v>
      </c>
      <c r="Q89" s="688" t="str">
        <f>IF(RIGHT(K89,6)="(ke-1)","Penulis Utama",IF(K89="","","Pendamping"))</f>
        <v/>
      </c>
      <c r="R89" s="4"/>
      <c r="S89" s="4"/>
      <c r="T89" s="4"/>
      <c r="U89" s="4"/>
      <c r="V89" s="4"/>
      <c r="W89" s="4"/>
      <c r="X89" s="4"/>
      <c r="Y89" s="4"/>
      <c r="Z89" s="4"/>
      <c r="AA89" s="4"/>
    </row>
    <row r="90" spans="1:27" ht="52.5" customHeight="1" x14ac:dyDescent="0.25">
      <c r="A90" s="631"/>
      <c r="B90" s="413" t="s">
        <v>864</v>
      </c>
      <c r="C90" s="440"/>
      <c r="D90" s="631"/>
      <c r="E90" s="631"/>
      <c r="F90" s="631"/>
      <c r="G90" s="631"/>
      <c r="H90" s="631"/>
      <c r="I90" s="631"/>
      <c r="J90" s="631"/>
      <c r="K90" s="631"/>
      <c r="L90" s="631"/>
      <c r="M90" s="631"/>
      <c r="N90" s="631"/>
      <c r="O90" s="613"/>
      <c r="P90" s="613"/>
      <c r="Q90" s="631"/>
      <c r="R90" s="4"/>
      <c r="S90" s="4"/>
      <c r="T90" s="4"/>
      <c r="U90" s="4"/>
      <c r="V90" s="4"/>
      <c r="W90" s="4"/>
      <c r="X90" s="4"/>
      <c r="Y90" s="4"/>
      <c r="Z90" s="4"/>
      <c r="AA90" s="4"/>
    </row>
    <row r="91" spans="1:27" ht="27.75" customHeight="1" x14ac:dyDescent="0.25">
      <c r="A91" s="142" t="s">
        <v>873</v>
      </c>
      <c r="B91" s="439"/>
      <c r="C91" s="439"/>
      <c r="D91" s="439"/>
      <c r="E91" s="439"/>
      <c r="F91" s="439"/>
      <c r="G91" s="439"/>
      <c r="H91" s="439"/>
      <c r="I91" s="439"/>
      <c r="J91" s="143"/>
      <c r="K91" s="106"/>
      <c r="L91" s="106"/>
      <c r="M91" s="441"/>
      <c r="N91" s="441"/>
      <c r="O91" s="144"/>
      <c r="P91" s="144"/>
      <c r="Q91" s="4"/>
      <c r="R91" s="4"/>
      <c r="S91" s="4"/>
      <c r="T91" s="4"/>
      <c r="U91" s="4"/>
      <c r="V91" s="4"/>
      <c r="W91" s="4"/>
      <c r="X91" s="4"/>
      <c r="Y91" s="4"/>
      <c r="Z91" s="4"/>
      <c r="AA91" s="4"/>
    </row>
    <row r="92" spans="1:27" ht="24.75" customHeight="1" x14ac:dyDescent="0.25">
      <c r="A92" s="695">
        <v>31</v>
      </c>
      <c r="B92" s="580" t="s">
        <v>859</v>
      </c>
      <c r="C92" s="584" t="s">
        <v>874</v>
      </c>
      <c r="D92" s="693"/>
      <c r="E92" s="693"/>
      <c r="F92" s="684">
        <f>M92</f>
        <v>1</v>
      </c>
      <c r="G92" s="684" t="str">
        <f>IF(N92&lt;&gt;"rumus",M92&amp;" x "&amp;N92&amp;" = "&amp;M92*N92,"rumus")</f>
        <v>1 x 10 = 10</v>
      </c>
      <c r="H92" s="683">
        <f>O92</f>
        <v>10</v>
      </c>
      <c r="I92" s="684"/>
      <c r="J92" s="697" t="s">
        <v>875</v>
      </c>
      <c r="K92" s="685" t="s">
        <v>876</v>
      </c>
      <c r="L92" s="685" t="s">
        <v>877</v>
      </c>
      <c r="M92" s="689">
        <f>IF(K92="1 Penulis (ke-1)",100%,IF(K92="2 Penulis (ke-1)",60%,IF(K92="2 Penulis (ke-2)",40%,IF(K92="3 Penulis (ke-1)",60%,IF(K92="3 Penulis (ke-2)",20%,IF(K92="3 Penulis (ke-3)",20%,IF(K92="4 Penulis (ke-1)",60%,IF(K92="4 Penulis (ke-2)",13.3%,IF(K92="4 Penulis (ke-3)",13.3%,IF(K92="4 Penulis (ke-4)",13.3%,"rumus"))))))))))</f>
        <v>1</v>
      </c>
      <c r="N92" s="689">
        <f>IF(L92&lt;&gt;"",VLOOKUP(L92,List!$E$2:$F$23,2,0),"rumus")</f>
        <v>10</v>
      </c>
      <c r="O92" s="694">
        <f>IFERROR(M92*N92,0)</f>
        <v>10</v>
      </c>
      <c r="P92" s="694" t="str">
        <f>VLOOKUP(L92,List!$E$2:$G$23,3,0)</f>
        <v>A.1.c.1.b</v>
      </c>
      <c r="Q92" s="688" t="str">
        <f>IF(RIGHT(K92,6)="(ke-1)","Penulis Utama",IF(K92="","","Pendamping"))</f>
        <v>Penulis Utama</v>
      </c>
      <c r="R92" s="4"/>
      <c r="S92" s="4"/>
      <c r="T92" s="4"/>
      <c r="U92" s="4"/>
      <c r="V92" s="4"/>
      <c r="W92" s="4"/>
      <c r="X92" s="4"/>
      <c r="Y92" s="4"/>
      <c r="Z92" s="4"/>
      <c r="AA92" s="4"/>
    </row>
    <row r="93" spans="1:27" ht="69.75" customHeight="1" x14ac:dyDescent="0.25">
      <c r="A93" s="631"/>
      <c r="B93" s="582" t="s">
        <v>864</v>
      </c>
      <c r="C93" s="583" t="s">
        <v>878</v>
      </c>
      <c r="D93" s="631"/>
      <c r="E93" s="631"/>
      <c r="F93" s="631"/>
      <c r="G93" s="631"/>
      <c r="H93" s="631"/>
      <c r="I93" s="631"/>
      <c r="J93" s="698"/>
      <c r="K93" s="686"/>
      <c r="L93" s="686"/>
      <c r="M93" s="631"/>
      <c r="N93" s="631"/>
      <c r="O93" s="613"/>
      <c r="P93" s="613"/>
      <c r="Q93" s="631"/>
      <c r="R93" s="4"/>
      <c r="S93" s="4"/>
      <c r="T93" s="4"/>
      <c r="U93" s="4"/>
      <c r="V93" s="4"/>
      <c r="W93" s="4"/>
      <c r="X93" s="4"/>
      <c r="Y93" s="4"/>
      <c r="Z93" s="4"/>
      <c r="AA93" s="4"/>
    </row>
    <row r="94" spans="1:27" ht="24.75" customHeight="1" x14ac:dyDescent="0.25">
      <c r="A94" s="695">
        <v>32</v>
      </c>
      <c r="B94" s="582" t="s">
        <v>859</v>
      </c>
      <c r="C94" s="583" t="s">
        <v>879</v>
      </c>
      <c r="D94" s="693"/>
      <c r="E94" s="693"/>
      <c r="F94" s="684">
        <f>M94</f>
        <v>0.2</v>
      </c>
      <c r="G94" s="684" t="str">
        <f>IF(N94&lt;&gt;"rumus",M94&amp;" x "&amp;N94&amp;" = "&amp;M94*N94,"rumus")</f>
        <v>0,2 x 5 = 1</v>
      </c>
      <c r="H94" s="683">
        <f>O94</f>
        <v>1</v>
      </c>
      <c r="I94" s="684"/>
      <c r="J94" s="699" t="s">
        <v>880</v>
      </c>
      <c r="K94" s="691" t="s">
        <v>881</v>
      </c>
      <c r="L94" s="691" t="s">
        <v>882</v>
      </c>
      <c r="M94" s="689">
        <f>IF(K94="1 Penulis (ke-1)",100%,IF(K94="2 Penulis (ke-1)",60%,IF(K94="2 Penulis (ke-2)",40%,IF(K94="3 Penulis (ke-1)",60%,IF(K94="3 Penulis (ke-2)",20%,IF(K94="3 Penulis (ke-3)",20%,IF(K94="4 Penulis (ke-1)",60%,IF(K94="4 Penulis (ke-2)",13.3%,IF(K94="4 Penulis (ke-3)",13.3%,IF(K94="4 Penulis (ke-4)",13.3%,"rumus"))))))))))</f>
        <v>0.2</v>
      </c>
      <c r="N94" s="689">
        <f>IF(L94&lt;&gt;"",VLOOKUP(L94,List!$E$2:$F$23,2,0),"rumus")</f>
        <v>5</v>
      </c>
      <c r="O94" s="696">
        <f>IFERROR(M94*N94,0)</f>
        <v>1</v>
      </c>
      <c r="P94" s="694" t="str">
        <f>VLOOKUP(L94,List!$E$2:$G$23,3,0)</f>
        <v>A.1.c.1.b</v>
      </c>
      <c r="Q94" s="688" t="str">
        <f>IF(RIGHT(K94,6)="(ke-1)","Penulis Utama",IF(K94="","","Pendamping"))</f>
        <v>Pendamping</v>
      </c>
      <c r="R94" s="4"/>
      <c r="S94" s="4"/>
      <c r="T94" s="4"/>
      <c r="U94" s="4"/>
      <c r="V94" s="4"/>
      <c r="W94" s="4"/>
      <c r="X94" s="4"/>
      <c r="Y94" s="4"/>
      <c r="Z94" s="4"/>
      <c r="AA94" s="4"/>
    </row>
    <row r="95" spans="1:27" ht="52.5" customHeight="1" x14ac:dyDescent="0.25">
      <c r="A95" s="631"/>
      <c r="B95" s="582" t="s">
        <v>864</v>
      </c>
      <c r="C95" s="583" t="s">
        <v>883</v>
      </c>
      <c r="D95" s="631"/>
      <c r="E95" s="631"/>
      <c r="F95" s="631"/>
      <c r="G95" s="631"/>
      <c r="H95" s="631"/>
      <c r="I95" s="631"/>
      <c r="J95" s="698"/>
      <c r="K95" s="686"/>
      <c r="L95" s="686"/>
      <c r="M95" s="631"/>
      <c r="N95" s="631"/>
      <c r="O95" s="635"/>
      <c r="P95" s="613"/>
      <c r="Q95" s="631"/>
      <c r="R95" s="4"/>
      <c r="S95" s="4"/>
      <c r="T95" s="4"/>
      <c r="U95" s="4"/>
      <c r="V95" s="4"/>
      <c r="W95" s="4"/>
      <c r="X95" s="4"/>
      <c r="Y95" s="4"/>
      <c r="Z95" s="4"/>
      <c r="AA95" s="4"/>
    </row>
    <row r="96" spans="1:27" ht="15" customHeight="1" x14ac:dyDescent="0.25">
      <c r="A96" s="695">
        <v>33</v>
      </c>
      <c r="B96" s="582" t="s">
        <v>859</v>
      </c>
      <c r="C96" s="585" t="s">
        <v>879</v>
      </c>
      <c r="D96" s="693"/>
      <c r="E96" s="693"/>
      <c r="F96" s="684">
        <f>M96</f>
        <v>0.2</v>
      </c>
      <c r="G96" s="684" t="str">
        <f>IF(N96&lt;&gt;"rumus",M96&amp;" x "&amp;N96&amp;" = "&amp;M96*N96,"rumus")</f>
        <v>0,2 x 5 = 1</v>
      </c>
      <c r="H96" s="683">
        <f>O96</f>
        <v>1</v>
      </c>
      <c r="I96" s="684"/>
      <c r="J96" s="699" t="s">
        <v>880</v>
      </c>
      <c r="K96" s="691" t="s">
        <v>868</v>
      </c>
      <c r="L96" s="691" t="s">
        <v>882</v>
      </c>
      <c r="M96" s="689">
        <f>IF(K96="1 Penulis (ke-1)",100%,IF(K96="2 Penulis (ke-1)",60%,IF(K96="2 Penulis (ke-2)",40%,IF(K96="3 Penulis (ke-1)",60%,IF(K96="3 Penulis (ke-2)",20%,IF(K96="3 Penulis (ke-3)",20%,IF(K96="4 Penulis (ke-1)",60%,IF(K96="4 Penulis (ke-2)",13.3%,IF(K96="4 Penulis (ke-3)",13.3%,IF(K96="4 Penulis (ke-4)",13.3%,"rumus"))))))))))</f>
        <v>0.2</v>
      </c>
      <c r="N96" s="689">
        <f>IF(L96&lt;&gt;"",VLOOKUP(L96,List!$E$2:$F$23,2,0),"rumus")</f>
        <v>5</v>
      </c>
      <c r="O96" s="696">
        <f>IFERROR(M96*N96,0)</f>
        <v>1</v>
      </c>
      <c r="P96" s="694" t="str">
        <f>VLOOKUP(L96,List!$E$2:$G$23,3,0)</f>
        <v>A.1.c.1.b</v>
      </c>
      <c r="Q96" s="688" t="str">
        <f>IF(RIGHT(K96,6)="(ke-1)","Penulis Utama",IF(K96="","","Pendamping"))</f>
        <v>Pendamping</v>
      </c>
      <c r="R96" s="4"/>
      <c r="S96" s="4"/>
      <c r="T96" s="4"/>
      <c r="U96" s="4"/>
      <c r="V96" s="4"/>
      <c r="W96" s="4"/>
      <c r="X96" s="4"/>
      <c r="Y96" s="4"/>
      <c r="Z96" s="4"/>
      <c r="AA96" s="4"/>
    </row>
    <row r="97" spans="1:27" ht="55.5" customHeight="1" x14ac:dyDescent="0.25">
      <c r="A97" s="631"/>
      <c r="B97" s="582" t="s">
        <v>864</v>
      </c>
      <c r="C97" s="583" t="s">
        <v>884</v>
      </c>
      <c r="D97" s="631"/>
      <c r="E97" s="631"/>
      <c r="F97" s="631"/>
      <c r="G97" s="631"/>
      <c r="H97" s="631"/>
      <c r="I97" s="631"/>
      <c r="J97" s="698"/>
      <c r="K97" s="686"/>
      <c r="L97" s="686"/>
      <c r="M97" s="631"/>
      <c r="N97" s="631"/>
      <c r="O97" s="635"/>
      <c r="P97" s="613"/>
      <c r="Q97" s="631"/>
      <c r="R97" s="4"/>
      <c r="S97" s="4"/>
      <c r="T97" s="4"/>
      <c r="U97" s="4"/>
      <c r="V97" s="4"/>
      <c r="W97" s="4"/>
      <c r="X97" s="4"/>
      <c r="Y97" s="4"/>
      <c r="Z97" s="4"/>
      <c r="AA97" s="4"/>
    </row>
    <row r="98" spans="1:27" ht="15" customHeight="1" x14ac:dyDescent="0.25">
      <c r="A98" s="695">
        <v>34</v>
      </c>
      <c r="B98" s="413" t="s">
        <v>859</v>
      </c>
      <c r="C98" s="440"/>
      <c r="D98" s="693"/>
      <c r="E98" s="693"/>
      <c r="F98" s="684" t="str">
        <f>M98</f>
        <v>rumus</v>
      </c>
      <c r="G98" s="684" t="str">
        <f>IF(N98&lt;&gt;"rumus",M98&amp;" x "&amp;N98&amp;" = "&amp;M98*N98,"rumus")</f>
        <v>rumus</v>
      </c>
      <c r="H98" s="683">
        <f>O98</f>
        <v>0</v>
      </c>
      <c r="I98" s="684"/>
      <c r="J98" s="693" t="s">
        <v>26</v>
      </c>
      <c r="K98" s="688"/>
      <c r="L98" s="688"/>
      <c r="M98" s="689" t="str">
        <f>IF(K98="1 Penulis (ke-1)",100%,IF(K98="2 Penulis (ke-1)",60%,IF(K98="2 Penulis (ke-2)",40%,IF(K98="3 Penulis (ke-1)",60%,IF(K98="3 Penulis (ke-2)",20%,IF(K98="3 Penulis (ke-3)",20%,IF(K98="4 Penulis (ke-1)",60%,IF(K98="4 Penulis (ke-2)",13.3%,IF(K98="4 Penulis (ke-3)",13.3%,IF(K98="4 Penulis (ke-4)",13.3%,"rumus"))))))))))</f>
        <v>rumus</v>
      </c>
      <c r="N98" s="689" t="str">
        <f>IF(L98&lt;&gt;"",VLOOKUP(L98,List!$E$2:$F$23,2,0),"rumus")</f>
        <v>rumus</v>
      </c>
      <c r="O98" s="696">
        <f>IFERROR(M98*N98,0)</f>
        <v>0</v>
      </c>
      <c r="P98" s="694" t="e">
        <f>VLOOKUP(L98,List!$E$2:$G$23,3,0)</f>
        <v>#N/A</v>
      </c>
      <c r="Q98" s="688" t="str">
        <f>IF(RIGHT(K98,6)="(ke-1)","Penulis Utama",IF(K98="","","Pendamping"))</f>
        <v/>
      </c>
      <c r="R98" s="4"/>
      <c r="S98" s="4"/>
      <c r="T98" s="4"/>
      <c r="U98" s="4"/>
      <c r="V98" s="4"/>
      <c r="W98" s="4"/>
      <c r="X98" s="4"/>
      <c r="Y98" s="4"/>
      <c r="Z98" s="4"/>
      <c r="AA98" s="4"/>
    </row>
    <row r="99" spans="1:27" ht="52.5" customHeight="1" x14ac:dyDescent="0.25">
      <c r="A99" s="631"/>
      <c r="B99" s="413" t="s">
        <v>864</v>
      </c>
      <c r="C99" s="440"/>
      <c r="D99" s="631"/>
      <c r="E99" s="631"/>
      <c r="F99" s="631"/>
      <c r="G99" s="631"/>
      <c r="H99" s="631"/>
      <c r="I99" s="631"/>
      <c r="J99" s="631"/>
      <c r="K99" s="631"/>
      <c r="L99" s="631"/>
      <c r="M99" s="631"/>
      <c r="N99" s="631"/>
      <c r="O99" s="635"/>
      <c r="P99" s="613"/>
      <c r="Q99" s="631"/>
      <c r="R99" s="4"/>
      <c r="S99" s="4"/>
      <c r="T99" s="4"/>
      <c r="U99" s="4"/>
      <c r="V99" s="4"/>
      <c r="W99" s="4"/>
      <c r="X99" s="4"/>
      <c r="Y99" s="4"/>
      <c r="Z99" s="4"/>
      <c r="AA99" s="4"/>
    </row>
    <row r="100" spans="1:27" ht="15" customHeight="1" x14ac:dyDescent="0.25">
      <c r="A100" s="695">
        <v>35</v>
      </c>
      <c r="B100" s="413" t="s">
        <v>859</v>
      </c>
      <c r="C100" s="442"/>
      <c r="D100" s="693"/>
      <c r="E100" s="693"/>
      <c r="F100" s="684" t="str">
        <f>M100</f>
        <v>rumus</v>
      </c>
      <c r="G100" s="684" t="str">
        <f>IF(N100&lt;&gt;"rumus",M100&amp;" x "&amp;N100&amp;" = "&amp;M100*N100,"rumus")</f>
        <v>rumus</v>
      </c>
      <c r="H100" s="683">
        <f>O100</f>
        <v>0</v>
      </c>
      <c r="I100" s="684"/>
      <c r="J100" s="693" t="s">
        <v>26</v>
      </c>
      <c r="K100" s="688"/>
      <c r="L100" s="688"/>
      <c r="M100" s="689" t="str">
        <f>IF(K100="1 Penulis (ke-1)",100%,IF(K100="2 Penulis (ke-1)",60%,IF(K100="2 Penulis (ke-2)",40%,IF(K100="3 Penulis (ke-1)",60%,IF(K100="3 Penulis (ke-2)",20%,IF(K100="3 Penulis (ke-3)",20%,IF(K100="4 Penulis (ke-1)",60%,IF(K100="4 Penulis (ke-2)",13.3%,IF(K100="4 Penulis (ke-3)",13.3%,IF(K100="4 Penulis (ke-4)",13.3%,"rumus"))))))))))</f>
        <v>rumus</v>
      </c>
      <c r="N100" s="689" t="str">
        <f>IF(L100&lt;&gt;"",VLOOKUP(L100,List!$E$2:$F$23,2,0),"rumus")</f>
        <v>rumus</v>
      </c>
      <c r="O100" s="696">
        <f>IFERROR(M100*N100,0)</f>
        <v>0</v>
      </c>
      <c r="P100" s="694" t="e">
        <f>VLOOKUP(L100,List!$E$2:$G$23,3,0)</f>
        <v>#N/A</v>
      </c>
      <c r="Q100" s="688" t="str">
        <f>IF(RIGHT(K100,6)="(ke-1)","Penulis Utama",IF(K100="","","Pendamping"))</f>
        <v/>
      </c>
      <c r="R100" s="4"/>
      <c r="S100" s="4"/>
      <c r="T100" s="4"/>
      <c r="U100" s="4"/>
      <c r="V100" s="4"/>
      <c r="W100" s="4"/>
      <c r="X100" s="4"/>
      <c r="Y100" s="4"/>
      <c r="Z100" s="4"/>
      <c r="AA100" s="4"/>
    </row>
    <row r="101" spans="1:27" ht="55.5" customHeight="1" x14ac:dyDescent="0.25">
      <c r="A101" s="631"/>
      <c r="B101" s="413" t="s">
        <v>864</v>
      </c>
      <c r="C101" s="440"/>
      <c r="D101" s="631"/>
      <c r="E101" s="631"/>
      <c r="F101" s="631"/>
      <c r="G101" s="631"/>
      <c r="H101" s="631"/>
      <c r="I101" s="631"/>
      <c r="J101" s="631"/>
      <c r="K101" s="631"/>
      <c r="L101" s="631"/>
      <c r="M101" s="631"/>
      <c r="N101" s="631"/>
      <c r="O101" s="635"/>
      <c r="P101" s="613"/>
      <c r="Q101" s="631"/>
      <c r="R101" s="4"/>
      <c r="S101" s="4"/>
      <c r="T101" s="4"/>
      <c r="U101" s="4"/>
      <c r="V101" s="4"/>
      <c r="W101" s="4"/>
      <c r="X101" s="4"/>
      <c r="Y101" s="4"/>
      <c r="Z101" s="4"/>
      <c r="AA101" s="4"/>
    </row>
    <row r="102" spans="1:27" ht="15" customHeight="1" x14ac:dyDescent="0.25">
      <c r="A102" s="695">
        <v>36</v>
      </c>
      <c r="B102" s="413" t="s">
        <v>859</v>
      </c>
      <c r="C102" s="440"/>
      <c r="D102" s="693"/>
      <c r="E102" s="693"/>
      <c r="F102" s="684" t="str">
        <f>M102</f>
        <v>rumus</v>
      </c>
      <c r="G102" s="684" t="str">
        <f>IF(N102&lt;&gt;"rumus",M102&amp;" x "&amp;N102&amp;" = "&amp;M102*N102,"rumus")</f>
        <v>rumus</v>
      </c>
      <c r="H102" s="683">
        <f>O102</f>
        <v>0</v>
      </c>
      <c r="I102" s="684"/>
      <c r="J102" s="693" t="s">
        <v>26</v>
      </c>
      <c r="K102" s="688"/>
      <c r="L102" s="688"/>
      <c r="M102" s="689" t="str">
        <f>IF(K102="1 Penulis (ke-1)",100%,IF(K102="2 Penulis (ke-1)",60%,IF(K102="2 Penulis (ke-2)",40%,IF(K102="3 Penulis (ke-1)",60%,IF(K102="3 Penulis (ke-2)",20%,IF(K102="3 Penulis (ke-3)",20%,IF(K102="4 Penulis (ke-1)",60%,IF(K102="4 Penulis (ke-2)",13.3%,IF(K102="4 Penulis (ke-3)",13.3%,IF(K102="4 Penulis (ke-4)",13.3%,"rumus"))))))))))</f>
        <v>rumus</v>
      </c>
      <c r="N102" s="689" t="str">
        <f>IF(L102&lt;&gt;"",VLOOKUP(L102,List!$E$2:$F$23,2,0),"rumus")</f>
        <v>rumus</v>
      </c>
      <c r="O102" s="696">
        <f>IFERROR(M102*N102,0)</f>
        <v>0</v>
      </c>
      <c r="P102" s="694" t="e">
        <f>VLOOKUP(L102,List!$E$2:$G$23,3,0)</f>
        <v>#N/A</v>
      </c>
      <c r="Q102" s="688" t="str">
        <f>IF(RIGHT(K102,6)="(ke-1)","Penulis Utama",IF(K102="","","Pendamping"))</f>
        <v/>
      </c>
      <c r="R102" s="4"/>
      <c r="S102" s="4"/>
      <c r="T102" s="4"/>
      <c r="U102" s="4"/>
      <c r="V102" s="4"/>
      <c r="W102" s="4"/>
      <c r="X102" s="4"/>
      <c r="Y102" s="4"/>
      <c r="Z102" s="4"/>
      <c r="AA102" s="4"/>
    </row>
    <row r="103" spans="1:27" ht="52.5" customHeight="1" x14ac:dyDescent="0.25">
      <c r="A103" s="631"/>
      <c r="B103" s="413" t="s">
        <v>864</v>
      </c>
      <c r="C103" s="440"/>
      <c r="D103" s="631"/>
      <c r="E103" s="631"/>
      <c r="F103" s="631"/>
      <c r="G103" s="631"/>
      <c r="H103" s="631"/>
      <c r="I103" s="631"/>
      <c r="J103" s="631"/>
      <c r="K103" s="631"/>
      <c r="L103" s="631"/>
      <c r="M103" s="631"/>
      <c r="N103" s="631"/>
      <c r="O103" s="635"/>
      <c r="P103" s="613"/>
      <c r="Q103" s="631"/>
      <c r="R103" s="4"/>
      <c r="S103" s="4"/>
      <c r="T103" s="4"/>
      <c r="U103" s="4"/>
      <c r="V103" s="4"/>
      <c r="W103" s="4"/>
      <c r="X103" s="4"/>
      <c r="Y103" s="4"/>
      <c r="Z103" s="4"/>
      <c r="AA103" s="4"/>
    </row>
    <row r="104" spans="1:27" ht="15" customHeight="1" x14ac:dyDescent="0.25">
      <c r="A104" s="695">
        <v>37</v>
      </c>
      <c r="B104" s="413" t="s">
        <v>859</v>
      </c>
      <c r="C104" s="442"/>
      <c r="D104" s="693"/>
      <c r="E104" s="693"/>
      <c r="F104" s="684" t="str">
        <f>M104</f>
        <v>rumus</v>
      </c>
      <c r="G104" s="684" t="str">
        <f>IF(N104&lt;&gt;"rumus",M104&amp;" x "&amp;N104&amp;" = "&amp;M104*N104,"rumus")</f>
        <v>rumus</v>
      </c>
      <c r="H104" s="683">
        <f>O104</f>
        <v>0</v>
      </c>
      <c r="I104" s="684"/>
      <c r="J104" s="693" t="s">
        <v>26</v>
      </c>
      <c r="K104" s="688"/>
      <c r="L104" s="688"/>
      <c r="M104" s="689" t="str">
        <f>IF(K104="1 Penulis (ke-1)",100%,IF(K104="2 Penulis (ke-1)",60%,IF(K104="2 Penulis (ke-2)",40%,IF(K104="3 Penulis (ke-1)",60%,IF(K104="3 Penulis (ke-2)",20%,IF(K104="3 Penulis (ke-3)",20%,IF(K104="4 Penulis (ke-1)",60%,IF(K104="4 Penulis (ke-2)",13.3%,IF(K104="4 Penulis (ke-3)",13.3%,IF(K104="4 Penulis (ke-4)",13.3%,"rumus"))))))))))</f>
        <v>rumus</v>
      </c>
      <c r="N104" s="689" t="str">
        <f>IF(L104&lt;&gt;"",VLOOKUP(L104,List!$E$2:$F$23,2,0),"rumus")</f>
        <v>rumus</v>
      </c>
      <c r="O104" s="696">
        <f>IFERROR(M104*N104,0)</f>
        <v>0</v>
      </c>
      <c r="P104" s="694" t="e">
        <f>VLOOKUP(L104,List!$E$2:$G$23,3,0)</f>
        <v>#N/A</v>
      </c>
      <c r="Q104" s="688" t="str">
        <f>IF(RIGHT(K104,6)="(ke-1)","Penulis Utama",IF(K104="","","Pendamping"))</f>
        <v/>
      </c>
      <c r="R104" s="4"/>
      <c r="S104" s="4"/>
      <c r="T104" s="4"/>
      <c r="U104" s="4"/>
      <c r="V104" s="4"/>
      <c r="W104" s="4"/>
      <c r="X104" s="4"/>
      <c r="Y104" s="4"/>
      <c r="Z104" s="4"/>
      <c r="AA104" s="4"/>
    </row>
    <row r="105" spans="1:27" ht="55.5" customHeight="1" x14ac:dyDescent="0.25">
      <c r="A105" s="631"/>
      <c r="B105" s="413" t="s">
        <v>864</v>
      </c>
      <c r="C105" s="440"/>
      <c r="D105" s="631"/>
      <c r="E105" s="631"/>
      <c r="F105" s="631"/>
      <c r="G105" s="631"/>
      <c r="H105" s="631"/>
      <c r="I105" s="631"/>
      <c r="J105" s="631"/>
      <c r="K105" s="631"/>
      <c r="L105" s="631"/>
      <c r="M105" s="631"/>
      <c r="N105" s="631"/>
      <c r="O105" s="635"/>
      <c r="P105" s="613"/>
      <c r="Q105" s="631"/>
      <c r="R105" s="4"/>
      <c r="S105" s="4"/>
      <c r="T105" s="4"/>
      <c r="U105" s="4"/>
      <c r="V105" s="4"/>
      <c r="W105" s="4"/>
      <c r="X105" s="4"/>
      <c r="Y105" s="4"/>
      <c r="Z105" s="4"/>
      <c r="AA105" s="4"/>
    </row>
    <row r="106" spans="1:27" ht="15" customHeight="1" x14ac:dyDescent="0.25">
      <c r="A106" s="695">
        <v>38</v>
      </c>
      <c r="B106" s="413" t="s">
        <v>859</v>
      </c>
      <c r="C106" s="440"/>
      <c r="D106" s="693"/>
      <c r="E106" s="693"/>
      <c r="F106" s="684" t="str">
        <f>M106</f>
        <v>rumus</v>
      </c>
      <c r="G106" s="684" t="str">
        <f>IF(N106&lt;&gt;"rumus",M106&amp;" x "&amp;N106&amp;" = "&amp;M106*N106,"rumus")</f>
        <v>rumus</v>
      </c>
      <c r="H106" s="683">
        <f>O106</f>
        <v>0</v>
      </c>
      <c r="I106" s="684"/>
      <c r="J106" s="693" t="s">
        <v>26</v>
      </c>
      <c r="K106" s="688"/>
      <c r="L106" s="688"/>
      <c r="M106" s="689" t="str">
        <f>IF(K106="1 Penulis (ke-1)",100%,IF(K106="2 Penulis (ke-1)",60%,IF(K106="2 Penulis (ke-2)",40%,IF(K106="3 Penulis (ke-1)",60%,IF(K106="3 Penulis (ke-2)",20%,IF(K106="3 Penulis (ke-3)",20%,IF(K106="4 Penulis (ke-1)",60%,IF(K106="4 Penulis (ke-2)",13.3%,IF(K106="4 Penulis (ke-3)",13.3%,IF(K106="4 Penulis (ke-4)",13.3%,"rumus"))))))))))</f>
        <v>rumus</v>
      </c>
      <c r="N106" s="689" t="str">
        <f>IF(L106&lt;&gt;"",VLOOKUP(L106,List!$E$2:$F$23,2,0),"rumus")</f>
        <v>rumus</v>
      </c>
      <c r="O106" s="696">
        <f>IFERROR(M106*N106,0)</f>
        <v>0</v>
      </c>
      <c r="P106" s="694" t="e">
        <f>VLOOKUP(L106,List!$E$2:$G$23,3,0)</f>
        <v>#N/A</v>
      </c>
      <c r="Q106" s="688" t="str">
        <f>IF(RIGHT(K106,6)="(ke-1)","Penulis Utama",IF(K106="","","Pendamping"))</f>
        <v/>
      </c>
      <c r="R106" s="4"/>
      <c r="S106" s="4"/>
      <c r="T106" s="4"/>
      <c r="U106" s="4"/>
      <c r="V106" s="4"/>
      <c r="W106" s="4"/>
      <c r="X106" s="4"/>
      <c r="Y106" s="4"/>
      <c r="Z106" s="4"/>
      <c r="AA106" s="4"/>
    </row>
    <row r="107" spans="1:27" ht="52.5" customHeight="1" x14ac:dyDescent="0.25">
      <c r="A107" s="631"/>
      <c r="B107" s="413" t="s">
        <v>864</v>
      </c>
      <c r="C107" s="440"/>
      <c r="D107" s="631"/>
      <c r="E107" s="631"/>
      <c r="F107" s="631"/>
      <c r="G107" s="631"/>
      <c r="H107" s="631"/>
      <c r="I107" s="631"/>
      <c r="J107" s="631"/>
      <c r="K107" s="631"/>
      <c r="L107" s="631"/>
      <c r="M107" s="631"/>
      <c r="N107" s="631"/>
      <c r="O107" s="635"/>
      <c r="P107" s="613"/>
      <c r="Q107" s="631"/>
      <c r="R107" s="4"/>
      <c r="S107" s="4"/>
      <c r="T107" s="4"/>
      <c r="U107" s="4"/>
      <c r="V107" s="4"/>
      <c r="W107" s="4"/>
      <c r="X107" s="4"/>
      <c r="Y107" s="4"/>
      <c r="Z107" s="4"/>
      <c r="AA107" s="4"/>
    </row>
    <row r="108" spans="1:27" ht="24.75" customHeight="1" x14ac:dyDescent="0.25">
      <c r="A108" s="695">
        <v>39</v>
      </c>
      <c r="B108" s="413" t="s">
        <v>859</v>
      </c>
      <c r="C108" s="440"/>
      <c r="D108" s="693"/>
      <c r="E108" s="693"/>
      <c r="F108" s="684" t="str">
        <f>M108</f>
        <v>rumus</v>
      </c>
      <c r="G108" s="684" t="str">
        <f>IF(N108&lt;&gt;"rumus",M108&amp;" x "&amp;N108&amp;" = "&amp;M108*N108,"rumus")</f>
        <v>rumus</v>
      </c>
      <c r="H108" s="683">
        <f>O108</f>
        <v>0</v>
      </c>
      <c r="I108" s="684"/>
      <c r="J108" s="693" t="s">
        <v>26</v>
      </c>
      <c r="K108" s="688"/>
      <c r="L108" s="688"/>
      <c r="M108" s="689" t="str">
        <f>IF(K108="1 Penulis (ke-1)",100%,IF(K108="2 Penulis (ke-1)",60%,IF(K108="2 Penulis (ke-2)",40%,IF(K108="3 Penulis (ke-1)",60%,IF(K108="3 Penulis (ke-2)",20%,IF(K108="3 Penulis (ke-3)",20%,IF(K108="4 Penulis (ke-1)",60%,IF(K108="4 Penulis (ke-2)",13.3%,IF(K108="4 Penulis (ke-3)",13.3%,IF(K108="4 Penulis (ke-4)",13.3%,"rumus"))))))))))</f>
        <v>rumus</v>
      </c>
      <c r="N108" s="689" t="str">
        <f>IF(L108&lt;&gt;"",VLOOKUP(L108,List!$E$2:$F$23,2,0),"rumus")</f>
        <v>rumus</v>
      </c>
      <c r="O108" s="696">
        <f>IFERROR(M108*N108,0)</f>
        <v>0</v>
      </c>
      <c r="P108" s="694" t="e">
        <f>VLOOKUP(L108,List!$E$2:$G$23,3,0)</f>
        <v>#N/A</v>
      </c>
      <c r="Q108" s="688" t="str">
        <f>IF(RIGHT(K108,6)="(ke-1)","Penulis Utama",IF(K108="","","Pendamping"))</f>
        <v/>
      </c>
      <c r="R108" s="4"/>
      <c r="S108" s="4"/>
      <c r="T108" s="4"/>
      <c r="U108" s="4"/>
      <c r="V108" s="4"/>
      <c r="W108" s="4"/>
      <c r="X108" s="4"/>
      <c r="Y108" s="4"/>
      <c r="Z108" s="4"/>
      <c r="AA108" s="4"/>
    </row>
    <row r="109" spans="1:27" ht="69.75" customHeight="1" x14ac:dyDescent="0.25">
      <c r="A109" s="631"/>
      <c r="B109" s="413" t="s">
        <v>864</v>
      </c>
      <c r="C109" s="440"/>
      <c r="D109" s="631"/>
      <c r="E109" s="631"/>
      <c r="F109" s="631"/>
      <c r="G109" s="631"/>
      <c r="H109" s="631"/>
      <c r="I109" s="631"/>
      <c r="J109" s="631"/>
      <c r="K109" s="631"/>
      <c r="L109" s="631"/>
      <c r="M109" s="631"/>
      <c r="N109" s="631"/>
      <c r="O109" s="635"/>
      <c r="P109" s="613"/>
      <c r="Q109" s="631"/>
      <c r="R109" s="4"/>
      <c r="S109" s="4"/>
      <c r="T109" s="4"/>
      <c r="U109" s="4"/>
      <c r="V109" s="4"/>
      <c r="W109" s="4"/>
      <c r="X109" s="4"/>
      <c r="Y109" s="4"/>
      <c r="Z109" s="4"/>
      <c r="AA109" s="4"/>
    </row>
    <row r="110" spans="1:27" ht="24.75" customHeight="1" x14ac:dyDescent="0.25">
      <c r="A110" s="695">
        <v>40</v>
      </c>
      <c r="B110" s="413" t="s">
        <v>859</v>
      </c>
      <c r="C110" s="440"/>
      <c r="D110" s="693"/>
      <c r="E110" s="693"/>
      <c r="F110" s="684" t="str">
        <f>M110</f>
        <v>rumus</v>
      </c>
      <c r="G110" s="684" t="str">
        <f>IF(N110&lt;&gt;"rumus",M110&amp;" x "&amp;N110&amp;" = "&amp;M110*N110,"rumus")</f>
        <v>rumus</v>
      </c>
      <c r="H110" s="683">
        <f>O110</f>
        <v>0</v>
      </c>
      <c r="I110" s="684"/>
      <c r="J110" s="693" t="s">
        <v>26</v>
      </c>
      <c r="K110" s="688"/>
      <c r="L110" s="688"/>
      <c r="M110" s="689" t="str">
        <f>IF(K110="1 Penulis (ke-1)",100%,IF(K110="2 Penulis (ke-1)",60%,IF(K110="2 Penulis (ke-2)",40%,IF(K110="3 Penulis (ke-1)",60%,IF(K110="3 Penulis (ke-2)",20%,IF(K110="3 Penulis (ke-3)",20%,IF(K110="4 Penulis (ke-1)",60%,IF(K110="4 Penulis (ke-2)",13.3%,IF(K110="4 Penulis (ke-3)",13.3%,IF(K110="4 Penulis (ke-4)",13.3%,"rumus"))))))))))</f>
        <v>rumus</v>
      </c>
      <c r="N110" s="689" t="str">
        <f>IF(L110&lt;&gt;"",VLOOKUP(L110,List!$E$2:$F$23,2,0),"rumus")</f>
        <v>rumus</v>
      </c>
      <c r="O110" s="696">
        <f>IFERROR(M110*N110,0)</f>
        <v>0</v>
      </c>
      <c r="P110" s="694" t="e">
        <f>VLOOKUP(L110,List!$E$2:$G$23,3,0)</f>
        <v>#N/A</v>
      </c>
      <c r="Q110" s="688" t="str">
        <f>IF(RIGHT(K110,6)="(ke-1)","Penulis Utama",IF(K110="","","Pendamping"))</f>
        <v/>
      </c>
      <c r="R110" s="4"/>
      <c r="S110" s="4"/>
      <c r="T110" s="4"/>
      <c r="U110" s="4"/>
      <c r="V110" s="4"/>
      <c r="W110" s="4"/>
      <c r="X110" s="4"/>
      <c r="Y110" s="4"/>
      <c r="Z110" s="4"/>
      <c r="AA110" s="4"/>
    </row>
    <row r="111" spans="1:27" ht="52.5" customHeight="1" x14ac:dyDescent="0.25">
      <c r="A111" s="631"/>
      <c r="B111" s="413" t="s">
        <v>864</v>
      </c>
      <c r="C111" s="440"/>
      <c r="D111" s="631"/>
      <c r="E111" s="631"/>
      <c r="F111" s="631"/>
      <c r="G111" s="631"/>
      <c r="H111" s="631"/>
      <c r="I111" s="631"/>
      <c r="J111" s="631"/>
      <c r="K111" s="631"/>
      <c r="L111" s="631"/>
      <c r="M111" s="631"/>
      <c r="N111" s="631"/>
      <c r="O111" s="635"/>
      <c r="P111" s="613"/>
      <c r="Q111" s="631"/>
      <c r="R111" s="4"/>
      <c r="S111" s="4"/>
      <c r="T111" s="4"/>
      <c r="U111" s="4"/>
      <c r="V111" s="4"/>
      <c r="W111" s="4"/>
      <c r="X111" s="4"/>
      <c r="Y111" s="4"/>
      <c r="Z111" s="4"/>
      <c r="AA111" s="4"/>
    </row>
    <row r="112" spans="1:27" ht="27.75" customHeight="1" x14ac:dyDescent="0.25">
      <c r="A112" s="142" t="s">
        <v>885</v>
      </c>
      <c r="B112" s="439"/>
      <c r="C112" s="439"/>
      <c r="D112" s="439"/>
      <c r="E112" s="439"/>
      <c r="F112" s="439"/>
      <c r="G112" s="439"/>
      <c r="H112" s="439"/>
      <c r="I112" s="439"/>
      <c r="J112" s="143"/>
      <c r="K112" s="106"/>
      <c r="L112" s="106"/>
      <c r="M112" s="441"/>
      <c r="N112" s="441"/>
      <c r="O112" s="144"/>
      <c r="P112" s="144"/>
      <c r="Q112" s="4"/>
      <c r="R112" s="4"/>
      <c r="S112" s="4"/>
      <c r="T112" s="4"/>
      <c r="U112" s="4"/>
      <c r="V112" s="4"/>
      <c r="W112" s="4"/>
      <c r="X112" s="4"/>
      <c r="Y112" s="4"/>
      <c r="Z112" s="4"/>
      <c r="AA112" s="4"/>
    </row>
    <row r="113" spans="1:27" ht="24.75" customHeight="1" x14ac:dyDescent="0.25">
      <c r="A113" s="695">
        <v>41</v>
      </c>
      <c r="B113" s="413" t="s">
        <v>859</v>
      </c>
      <c r="C113" s="440"/>
      <c r="D113" s="693"/>
      <c r="E113" s="693"/>
      <c r="F113" s="684" t="str">
        <f>M113</f>
        <v>rumus</v>
      </c>
      <c r="G113" s="684" t="str">
        <f>IF(N113&lt;&gt;"rumus",M113&amp;" x "&amp;N113&amp;" = "&amp;M113*N113,"rumus")</f>
        <v>rumus</v>
      </c>
      <c r="H113" s="683">
        <f>O113</f>
        <v>0</v>
      </c>
      <c r="I113" s="684"/>
      <c r="J113" s="693" t="s">
        <v>26</v>
      </c>
      <c r="K113" s="688"/>
      <c r="L113" s="688"/>
      <c r="M113" s="689" t="str">
        <f>IF(K113="1 Penulis (ke-1)",100%,IF(K113="2 Penulis (ke-1)",60%,IF(K113="2 Penulis (ke-2)",40%,IF(K113="3 Penulis (ke-1)",60%,IF(K113="3 Penulis (ke-2)",20%,IF(K113="3 Penulis (ke-3)",20%,IF(K113="4 Penulis (ke-1)",60%,IF(K113="4 Penulis (ke-2)",13.3%,IF(K113="4 Penulis (ke-3)",13.3%,IF(K113="4 Penulis (ke-4)",13.3%,"rumus"))))))))))</f>
        <v>rumus</v>
      </c>
      <c r="N113" s="689" t="str">
        <f>IF(L113&lt;&gt;"",VLOOKUP(L113,List!$E$2:$F$23,2,0),"rumus")</f>
        <v>rumus</v>
      </c>
      <c r="O113" s="696">
        <f>IFERROR(M113*N113,0)</f>
        <v>0</v>
      </c>
      <c r="P113" s="694" t="e">
        <f>VLOOKUP(L113,List!$E$2:$G$23,3,0)</f>
        <v>#N/A</v>
      </c>
      <c r="Q113" s="688" t="str">
        <f>IF(RIGHT(K113,6)="(ke-1)","Penulis Utama",IF(K113="","","Pendamping"))</f>
        <v/>
      </c>
      <c r="R113" s="4"/>
      <c r="S113" s="4"/>
      <c r="T113" s="4"/>
      <c r="U113" s="4"/>
      <c r="V113" s="4"/>
      <c r="W113" s="4"/>
      <c r="X113" s="4"/>
      <c r="Y113" s="4"/>
      <c r="Z113" s="4"/>
      <c r="AA113" s="4"/>
    </row>
    <row r="114" spans="1:27" ht="52.5" customHeight="1" x14ac:dyDescent="0.25">
      <c r="A114" s="631"/>
      <c r="B114" s="413" t="s">
        <v>864</v>
      </c>
      <c r="C114" s="440"/>
      <c r="D114" s="631"/>
      <c r="E114" s="631"/>
      <c r="F114" s="631"/>
      <c r="G114" s="631"/>
      <c r="H114" s="631"/>
      <c r="I114" s="631"/>
      <c r="J114" s="631"/>
      <c r="K114" s="631"/>
      <c r="L114" s="631"/>
      <c r="M114" s="631"/>
      <c r="N114" s="631"/>
      <c r="O114" s="635"/>
      <c r="P114" s="613"/>
      <c r="Q114" s="631"/>
      <c r="R114" s="4"/>
      <c r="S114" s="4"/>
      <c r="T114" s="4"/>
      <c r="U114" s="4"/>
      <c r="V114" s="4"/>
      <c r="W114" s="4"/>
      <c r="X114" s="4"/>
      <c r="Y114" s="4"/>
      <c r="Z114" s="4"/>
      <c r="AA114" s="4"/>
    </row>
    <row r="115" spans="1:27" ht="24.75" customHeight="1" x14ac:dyDescent="0.25">
      <c r="A115" s="695">
        <v>42</v>
      </c>
      <c r="B115" s="413" t="s">
        <v>859</v>
      </c>
      <c r="C115" s="440"/>
      <c r="D115" s="693"/>
      <c r="E115" s="693"/>
      <c r="F115" s="684" t="str">
        <f>M115</f>
        <v>rumus</v>
      </c>
      <c r="G115" s="684" t="str">
        <f>IF(N115&lt;&gt;"rumus",M115&amp;" x "&amp;N115&amp;" = "&amp;M115*N115,"rumus")</f>
        <v>rumus</v>
      </c>
      <c r="H115" s="683">
        <f>O115</f>
        <v>0</v>
      </c>
      <c r="I115" s="684"/>
      <c r="J115" s="693" t="s">
        <v>26</v>
      </c>
      <c r="K115" s="688"/>
      <c r="L115" s="688"/>
      <c r="M115" s="689" t="str">
        <f>IF(K115="1 Penulis (ke-1)",100%,IF(K115="2 Penulis (ke-1)",60%,IF(K115="2 Penulis (ke-2)",40%,IF(K115="3 Penulis (ke-1)",60%,IF(K115="3 Penulis (ke-2)",20%,IF(K115="3 Penulis (ke-3)",20%,IF(K115="4 Penulis (ke-1)",60%,IF(K115="4 Penulis (ke-2)",13.3%,IF(K115="4 Penulis (ke-3)",13.3%,IF(K115="4 Penulis (ke-4)",13.3%,"rumus"))))))))))</f>
        <v>rumus</v>
      </c>
      <c r="N115" s="689" t="str">
        <f>IF(L115&lt;&gt;"",VLOOKUP(L115,List!$E$2:$F$23,2,0),"rumus")</f>
        <v>rumus</v>
      </c>
      <c r="O115" s="696">
        <f>IFERROR(M115*N115,0)</f>
        <v>0</v>
      </c>
      <c r="P115" s="694" t="e">
        <f>VLOOKUP(L115,List!$E$2:$G$23,3,0)</f>
        <v>#N/A</v>
      </c>
      <c r="Q115" s="688" t="str">
        <f>IF(RIGHT(K115,6)="(ke-1)","Penulis Utama",IF(K115="","","Pendamping"))</f>
        <v/>
      </c>
      <c r="R115" s="4"/>
      <c r="S115" s="4"/>
      <c r="T115" s="4"/>
      <c r="U115" s="4"/>
      <c r="V115" s="4"/>
      <c r="W115" s="4"/>
      <c r="X115" s="4"/>
      <c r="Y115" s="4"/>
      <c r="Z115" s="4"/>
      <c r="AA115" s="4"/>
    </row>
    <row r="116" spans="1:27" ht="52.5" customHeight="1" x14ac:dyDescent="0.25">
      <c r="A116" s="631"/>
      <c r="B116" s="413" t="s">
        <v>864</v>
      </c>
      <c r="C116" s="440"/>
      <c r="D116" s="631"/>
      <c r="E116" s="631"/>
      <c r="F116" s="631"/>
      <c r="G116" s="631"/>
      <c r="H116" s="631"/>
      <c r="I116" s="631"/>
      <c r="J116" s="631"/>
      <c r="K116" s="631"/>
      <c r="L116" s="631"/>
      <c r="M116" s="631"/>
      <c r="N116" s="631"/>
      <c r="O116" s="635"/>
      <c r="P116" s="613"/>
      <c r="Q116" s="631"/>
      <c r="R116" s="4"/>
      <c r="S116" s="4"/>
      <c r="T116" s="4"/>
      <c r="U116" s="4"/>
      <c r="V116" s="4"/>
      <c r="W116" s="4"/>
      <c r="X116" s="4"/>
      <c r="Y116" s="4"/>
      <c r="Z116" s="4"/>
      <c r="AA116" s="4"/>
    </row>
    <row r="117" spans="1:27" ht="24.75" customHeight="1" x14ac:dyDescent="0.25">
      <c r="A117" s="695">
        <v>43</v>
      </c>
      <c r="B117" s="413" t="s">
        <v>859</v>
      </c>
      <c r="C117" s="440"/>
      <c r="D117" s="693"/>
      <c r="E117" s="693"/>
      <c r="F117" s="684" t="str">
        <f>M117</f>
        <v>rumus</v>
      </c>
      <c r="G117" s="684" t="str">
        <f>IF(N117&lt;&gt;"rumus",M117&amp;" x "&amp;N117&amp;" = "&amp;M117*N117,"rumus")</f>
        <v>rumus</v>
      </c>
      <c r="H117" s="683">
        <f>O117</f>
        <v>0</v>
      </c>
      <c r="I117" s="684"/>
      <c r="J117" s="693" t="s">
        <v>26</v>
      </c>
      <c r="K117" s="688"/>
      <c r="L117" s="688"/>
      <c r="M117" s="689" t="str">
        <f>IF(K117="1 Penulis (ke-1)",100%,IF(K117="2 Penulis (ke-1)",60%,IF(K117="2 Penulis (ke-2)",40%,IF(K117="3 Penulis (ke-1)",60%,IF(K117="3 Penulis (ke-2)",20%,IF(K117="3 Penulis (ke-3)",20%,IF(K117="4 Penulis (ke-1)",60%,IF(K117="4 Penulis (ke-2)",13.3%,IF(K117="4 Penulis (ke-3)",13.3%,IF(K117="4 Penulis (ke-4)",13.3%,"rumus"))))))))))</f>
        <v>rumus</v>
      </c>
      <c r="N117" s="689" t="str">
        <f>IF(L117&lt;&gt;"",VLOOKUP(L117,List!$E$2:$F$23,2,0),"rumus")</f>
        <v>rumus</v>
      </c>
      <c r="O117" s="696">
        <f>IFERROR(M117*N117,0)</f>
        <v>0</v>
      </c>
      <c r="P117" s="694" t="e">
        <f>VLOOKUP(L117,List!$E$2:$G$23,3,0)</f>
        <v>#N/A</v>
      </c>
      <c r="Q117" s="688" t="str">
        <f>IF(RIGHT(K117,6)="(ke-1)","Penulis Utama",IF(K117="","","Pendamping"))</f>
        <v/>
      </c>
      <c r="R117" s="4"/>
      <c r="S117" s="4"/>
      <c r="T117" s="4"/>
      <c r="U117" s="4"/>
      <c r="V117" s="4"/>
      <c r="W117" s="4"/>
      <c r="X117" s="4"/>
      <c r="Y117" s="4"/>
      <c r="Z117" s="4"/>
      <c r="AA117" s="4"/>
    </row>
    <row r="118" spans="1:27" ht="52.5" customHeight="1" x14ac:dyDescent="0.25">
      <c r="A118" s="631"/>
      <c r="B118" s="413" t="s">
        <v>864</v>
      </c>
      <c r="C118" s="440"/>
      <c r="D118" s="631"/>
      <c r="E118" s="631"/>
      <c r="F118" s="631"/>
      <c r="G118" s="631"/>
      <c r="H118" s="631"/>
      <c r="I118" s="631"/>
      <c r="J118" s="631"/>
      <c r="K118" s="631"/>
      <c r="L118" s="631"/>
      <c r="M118" s="631"/>
      <c r="N118" s="631"/>
      <c r="O118" s="635"/>
      <c r="P118" s="613"/>
      <c r="Q118" s="631"/>
      <c r="R118" s="4"/>
      <c r="S118" s="4"/>
      <c r="T118" s="4"/>
      <c r="U118" s="4"/>
      <c r="V118" s="4"/>
      <c r="W118" s="4"/>
      <c r="X118" s="4"/>
      <c r="Y118" s="4"/>
      <c r="Z118" s="4"/>
      <c r="AA118" s="4"/>
    </row>
    <row r="119" spans="1:27" ht="24.75" customHeight="1" x14ac:dyDescent="0.25">
      <c r="A119" s="695">
        <v>44</v>
      </c>
      <c r="B119" s="413" t="s">
        <v>859</v>
      </c>
      <c r="C119" s="440"/>
      <c r="D119" s="693"/>
      <c r="E119" s="693"/>
      <c r="F119" s="684" t="str">
        <f>M119</f>
        <v>rumus</v>
      </c>
      <c r="G119" s="684" t="str">
        <f>IF(N119&lt;&gt;"rumus",M119&amp;" x "&amp;N119&amp;" = "&amp;M119*N119,"rumus")</f>
        <v>rumus</v>
      </c>
      <c r="H119" s="683">
        <f>O119</f>
        <v>0</v>
      </c>
      <c r="I119" s="684"/>
      <c r="J119" s="693" t="s">
        <v>26</v>
      </c>
      <c r="K119" s="688"/>
      <c r="L119" s="688"/>
      <c r="M119" s="689" t="str">
        <f>IF(K119="1 Penulis (ke-1)",100%,IF(K119="2 Penulis (ke-1)",60%,IF(K119="2 Penulis (ke-2)",40%,IF(K119="3 Penulis (ke-1)",60%,IF(K119="3 Penulis (ke-2)",20%,IF(K119="3 Penulis (ke-3)",20%,IF(K119="4 Penulis (ke-1)",60%,IF(K119="4 Penulis (ke-2)",13.3%,IF(K119="4 Penulis (ke-3)",13.3%,IF(K119="4 Penulis (ke-4)",13.3%,"rumus"))))))))))</f>
        <v>rumus</v>
      </c>
      <c r="N119" s="689" t="str">
        <f>IF(L119&lt;&gt;"",VLOOKUP(L119,List!$E$2:$F$23,2,0),"rumus")</f>
        <v>rumus</v>
      </c>
      <c r="O119" s="696">
        <f>IFERROR(M119*N119,0)</f>
        <v>0</v>
      </c>
      <c r="P119" s="694" t="e">
        <f>VLOOKUP(L119,List!$E$2:$G$23,3,0)</f>
        <v>#N/A</v>
      </c>
      <c r="Q119" s="688" t="str">
        <f>IF(RIGHT(K119,6)="(ke-1)","Penulis Utama",IF(K119="","","Pendamping"))</f>
        <v/>
      </c>
      <c r="R119" s="4"/>
      <c r="S119" s="4"/>
      <c r="T119" s="4"/>
      <c r="U119" s="4"/>
      <c r="V119" s="4"/>
      <c r="W119" s="4"/>
      <c r="X119" s="4"/>
      <c r="Y119" s="4"/>
      <c r="Z119" s="4"/>
      <c r="AA119" s="4"/>
    </row>
    <row r="120" spans="1:27" ht="52.5" customHeight="1" x14ac:dyDescent="0.25">
      <c r="A120" s="631"/>
      <c r="B120" s="413" t="s">
        <v>864</v>
      </c>
      <c r="C120" s="440"/>
      <c r="D120" s="631"/>
      <c r="E120" s="631"/>
      <c r="F120" s="631"/>
      <c r="G120" s="631"/>
      <c r="H120" s="631"/>
      <c r="I120" s="631"/>
      <c r="J120" s="631"/>
      <c r="K120" s="631"/>
      <c r="L120" s="631"/>
      <c r="M120" s="631"/>
      <c r="N120" s="631"/>
      <c r="O120" s="635"/>
      <c r="P120" s="613"/>
      <c r="Q120" s="631"/>
      <c r="R120" s="4"/>
      <c r="S120" s="4"/>
      <c r="T120" s="4"/>
      <c r="U120" s="4"/>
      <c r="V120" s="4"/>
      <c r="W120" s="4"/>
      <c r="X120" s="4"/>
      <c r="Y120" s="4"/>
      <c r="Z120" s="4"/>
      <c r="AA120" s="4"/>
    </row>
    <row r="121" spans="1:27" ht="24.75" customHeight="1" x14ac:dyDescent="0.25">
      <c r="A121" s="695">
        <v>45</v>
      </c>
      <c r="B121" s="413" t="s">
        <v>859</v>
      </c>
      <c r="C121" s="440"/>
      <c r="D121" s="693"/>
      <c r="E121" s="693"/>
      <c r="F121" s="684" t="str">
        <f>M121</f>
        <v>rumus</v>
      </c>
      <c r="G121" s="684" t="str">
        <f>IF(N121&lt;&gt;"rumus",M121&amp;" x "&amp;N121&amp;" = "&amp;M121*N121,"rumus")</f>
        <v>rumus</v>
      </c>
      <c r="H121" s="683">
        <f>O121</f>
        <v>0</v>
      </c>
      <c r="I121" s="684"/>
      <c r="J121" s="693" t="s">
        <v>26</v>
      </c>
      <c r="K121" s="688"/>
      <c r="L121" s="688"/>
      <c r="M121" s="689" t="str">
        <f>IF(K121="1 Penulis (ke-1)",100%,IF(K121="2 Penulis (ke-1)",60%,IF(K121="2 Penulis (ke-2)",40%,IF(K121="3 Penulis (ke-1)",60%,IF(K121="3 Penulis (ke-2)",20%,IF(K121="3 Penulis (ke-3)",20%,IF(K121="4 Penulis (ke-1)",60%,IF(K121="4 Penulis (ke-2)",13.3%,IF(K121="4 Penulis (ke-3)",13.3%,IF(K121="4 Penulis (ke-4)",13.3%,"rumus"))))))))))</f>
        <v>rumus</v>
      </c>
      <c r="N121" s="689" t="str">
        <f>IF(L121&lt;&gt;"",VLOOKUP(L121,List!$E$2:$F$23,2,0),"rumus")</f>
        <v>rumus</v>
      </c>
      <c r="O121" s="696">
        <f>IFERROR(M121*N121,0)</f>
        <v>0</v>
      </c>
      <c r="P121" s="694" t="e">
        <f>VLOOKUP(L121,List!$E$2:$G$23,3,0)</f>
        <v>#N/A</v>
      </c>
      <c r="Q121" s="688" t="str">
        <f>IF(RIGHT(K121,6)="(ke-1)","Penulis Utama",IF(K121="","","Pendamping"))</f>
        <v/>
      </c>
      <c r="R121" s="4"/>
      <c r="S121" s="4"/>
      <c r="T121" s="4"/>
      <c r="U121" s="4"/>
      <c r="V121" s="4"/>
      <c r="W121" s="4"/>
      <c r="X121" s="4"/>
      <c r="Y121" s="4"/>
      <c r="Z121" s="4"/>
      <c r="AA121" s="4"/>
    </row>
    <row r="122" spans="1:27" ht="52.5" customHeight="1" x14ac:dyDescent="0.25">
      <c r="A122" s="631"/>
      <c r="B122" s="413" t="s">
        <v>864</v>
      </c>
      <c r="C122" s="440"/>
      <c r="D122" s="631"/>
      <c r="E122" s="631"/>
      <c r="F122" s="631"/>
      <c r="G122" s="631"/>
      <c r="H122" s="631"/>
      <c r="I122" s="631"/>
      <c r="J122" s="631"/>
      <c r="K122" s="631"/>
      <c r="L122" s="631"/>
      <c r="M122" s="631"/>
      <c r="N122" s="631"/>
      <c r="O122" s="635"/>
      <c r="P122" s="613"/>
      <c r="Q122" s="631"/>
      <c r="R122" s="4"/>
      <c r="S122" s="4"/>
      <c r="T122" s="4"/>
      <c r="U122" s="4"/>
      <c r="V122" s="4"/>
      <c r="W122" s="4"/>
      <c r="X122" s="4"/>
      <c r="Y122" s="4"/>
      <c r="Z122" s="4"/>
      <c r="AA122" s="4"/>
    </row>
    <row r="123" spans="1:27" ht="27.75" customHeight="1" x14ac:dyDescent="0.25">
      <c r="A123" s="142" t="s">
        <v>886</v>
      </c>
      <c r="B123" s="439"/>
      <c r="C123" s="439"/>
      <c r="D123" s="439"/>
      <c r="E123" s="439"/>
      <c r="F123" s="439"/>
      <c r="G123" s="439"/>
      <c r="H123" s="439"/>
      <c r="I123" s="439"/>
      <c r="J123" s="143"/>
      <c r="K123" s="106"/>
      <c r="L123" s="106"/>
      <c r="M123" s="441"/>
      <c r="N123" s="441"/>
      <c r="O123" s="144"/>
      <c r="P123" s="144"/>
      <c r="Q123" s="4"/>
      <c r="R123" s="4"/>
      <c r="S123" s="4"/>
      <c r="T123" s="4"/>
      <c r="U123" s="4"/>
      <c r="V123" s="4"/>
      <c r="W123" s="4"/>
      <c r="X123" s="4"/>
      <c r="Y123" s="4"/>
      <c r="Z123" s="4"/>
      <c r="AA123" s="4"/>
    </row>
    <row r="124" spans="1:27" ht="15" customHeight="1" x14ac:dyDescent="0.25">
      <c r="A124" s="695">
        <v>46</v>
      </c>
      <c r="B124" s="413" t="s">
        <v>859</v>
      </c>
      <c r="C124" s="442"/>
      <c r="D124" s="693"/>
      <c r="E124" s="693"/>
      <c r="F124" s="684" t="str">
        <f>M124</f>
        <v>rumus</v>
      </c>
      <c r="G124" s="684" t="str">
        <f>IF(N124&lt;&gt;"rumus",M124&amp;" x "&amp;N124&amp;" = "&amp;M124*N124,"rumus")</f>
        <v>rumus</v>
      </c>
      <c r="H124" s="683">
        <f>O124</f>
        <v>0</v>
      </c>
      <c r="I124" s="684"/>
      <c r="J124" s="693" t="s">
        <v>887</v>
      </c>
      <c r="K124" s="688"/>
      <c r="L124" s="688"/>
      <c r="M124" s="689" t="str">
        <f>IF(K124="1 Penulis (ke-1)",100%,IF(K124="2 Penulis (ke-1)",60%,IF(K124="2 Penulis (ke-2)",40%,IF(K124="3 Penulis (ke-1)",60%,IF(K124="3 Penulis (ke-2)",20%,IF(K124="3 Penulis (ke-3)",20%,IF(K124="4 Penulis (ke-1)",60%,IF(K124="4 Penulis (ke-2)",13.3%,IF(K124="4 Penulis (ke-3)",13.3%,IF(K124="4 Penulis (ke-4)",13.3%,"rumus"))))))))))</f>
        <v>rumus</v>
      </c>
      <c r="N124" s="689" t="str">
        <f>IF(L124&lt;&gt;"",VLOOKUP(L124,List!$E$2:$F$23,2,0),"rumus")</f>
        <v>rumus</v>
      </c>
      <c r="O124" s="696">
        <f>IFERROR(M124*N124,0)</f>
        <v>0</v>
      </c>
      <c r="P124" s="694" t="e">
        <f>VLOOKUP(L124,List!$E$2:$G$23,3,0)</f>
        <v>#N/A</v>
      </c>
      <c r="Q124" s="688" t="str">
        <f>IF(RIGHT(K124,6)="(ke-1)","Penulis Utama",IF(K124="","","Pendamping"))</f>
        <v/>
      </c>
      <c r="R124" s="4"/>
      <c r="S124" s="4"/>
      <c r="T124" s="4"/>
      <c r="U124" s="4"/>
      <c r="V124" s="4"/>
      <c r="W124" s="4"/>
      <c r="X124" s="4"/>
      <c r="Y124" s="4"/>
      <c r="Z124" s="4"/>
      <c r="AA124" s="4"/>
    </row>
    <row r="125" spans="1:27" ht="55.5" customHeight="1" x14ac:dyDescent="0.25">
      <c r="A125" s="631"/>
      <c r="B125" s="413" t="s">
        <v>864</v>
      </c>
      <c r="C125" s="440"/>
      <c r="D125" s="631"/>
      <c r="E125" s="631"/>
      <c r="F125" s="631"/>
      <c r="G125" s="631"/>
      <c r="H125" s="631"/>
      <c r="I125" s="631"/>
      <c r="J125" s="631"/>
      <c r="K125" s="631"/>
      <c r="L125" s="631"/>
      <c r="M125" s="631"/>
      <c r="N125" s="631"/>
      <c r="O125" s="635"/>
      <c r="P125" s="613"/>
      <c r="Q125" s="631"/>
      <c r="R125" s="4"/>
      <c r="S125" s="4"/>
      <c r="T125" s="4"/>
      <c r="U125" s="4"/>
      <c r="V125" s="4"/>
      <c r="W125" s="4"/>
      <c r="X125" s="4"/>
      <c r="Y125" s="4"/>
      <c r="Z125" s="4"/>
      <c r="AA125" s="4"/>
    </row>
    <row r="126" spans="1:27" ht="15" customHeight="1" x14ac:dyDescent="0.25">
      <c r="A126" s="695">
        <v>47</v>
      </c>
      <c r="B126" s="413" t="s">
        <v>859</v>
      </c>
      <c r="C126" s="440"/>
      <c r="D126" s="693"/>
      <c r="E126" s="693"/>
      <c r="F126" s="684" t="str">
        <f>M126</f>
        <v>rumus</v>
      </c>
      <c r="G126" s="684" t="str">
        <f>IF(N126&lt;&gt;"rumus",M126&amp;" x "&amp;N126&amp;" = "&amp;M126*N126,"rumus")</f>
        <v>rumus</v>
      </c>
      <c r="H126" s="683">
        <f>O126</f>
        <v>0</v>
      </c>
      <c r="I126" s="684"/>
      <c r="J126" s="693" t="s">
        <v>26</v>
      </c>
      <c r="K126" s="688"/>
      <c r="L126" s="688"/>
      <c r="M126" s="689" t="str">
        <f>IF(K126="1 Penulis (ke-1)",100%,IF(K126="2 Penulis (ke-1)",60%,IF(K126="2 Penulis (ke-2)",40%,IF(K126="3 Penulis (ke-1)",60%,IF(K126="3 Penulis (ke-2)",20%,IF(K126="3 Penulis (ke-3)",20%,IF(K126="4 Penulis (ke-1)",60%,IF(K126="4 Penulis (ke-2)",13.3%,IF(K126="4 Penulis (ke-3)",13.3%,IF(K126="4 Penulis (ke-4)",13.3%,"rumus"))))))))))</f>
        <v>rumus</v>
      </c>
      <c r="N126" s="689" t="str">
        <f>IF(L126&lt;&gt;"",VLOOKUP(L126,List!$E$2:$F$23,2,0),"rumus")</f>
        <v>rumus</v>
      </c>
      <c r="O126" s="696">
        <f>IFERROR(M126*N126,0)</f>
        <v>0</v>
      </c>
      <c r="P126" s="694" t="e">
        <f>VLOOKUP(L126,List!$E$2:$G$23,3,0)</f>
        <v>#N/A</v>
      </c>
      <c r="Q126" s="688" t="str">
        <f>IF(RIGHT(K126,6)="(ke-1)","Penulis Utama",IF(K126="","","Pendamping"))</f>
        <v/>
      </c>
      <c r="R126" s="4"/>
      <c r="S126" s="4"/>
      <c r="T126" s="4"/>
      <c r="U126" s="4"/>
      <c r="V126" s="4"/>
      <c r="W126" s="4"/>
      <c r="X126" s="4"/>
      <c r="Y126" s="4"/>
      <c r="Z126" s="4"/>
      <c r="AA126" s="4"/>
    </row>
    <row r="127" spans="1:27" ht="52.5" customHeight="1" x14ac:dyDescent="0.25">
      <c r="A127" s="631"/>
      <c r="B127" s="413" t="s">
        <v>864</v>
      </c>
      <c r="C127" s="440"/>
      <c r="D127" s="631"/>
      <c r="E127" s="631"/>
      <c r="F127" s="631"/>
      <c r="G127" s="631"/>
      <c r="H127" s="631"/>
      <c r="I127" s="631"/>
      <c r="J127" s="631"/>
      <c r="K127" s="631"/>
      <c r="L127" s="631"/>
      <c r="M127" s="631"/>
      <c r="N127" s="631"/>
      <c r="O127" s="635"/>
      <c r="P127" s="613"/>
      <c r="Q127" s="631"/>
      <c r="R127" s="4"/>
      <c r="S127" s="4"/>
      <c r="T127" s="4"/>
      <c r="U127" s="4"/>
      <c r="V127" s="4"/>
      <c r="W127" s="4"/>
      <c r="X127" s="4"/>
      <c r="Y127" s="4"/>
      <c r="Z127" s="4"/>
      <c r="AA127" s="4"/>
    </row>
    <row r="128" spans="1:27" ht="15" customHeight="1" x14ac:dyDescent="0.25">
      <c r="A128" s="695">
        <v>48</v>
      </c>
      <c r="B128" s="413" t="s">
        <v>859</v>
      </c>
      <c r="C128" s="442"/>
      <c r="D128" s="693"/>
      <c r="E128" s="693"/>
      <c r="F128" s="684" t="str">
        <f>M128</f>
        <v>rumus</v>
      </c>
      <c r="G128" s="684" t="str">
        <f>IF(N128&lt;&gt;"rumus",M128&amp;" x "&amp;N128&amp;" = "&amp;M128*N128,"rumus")</f>
        <v>rumus</v>
      </c>
      <c r="H128" s="683">
        <f>O128</f>
        <v>0</v>
      </c>
      <c r="I128" s="684"/>
      <c r="J128" s="693" t="s">
        <v>26</v>
      </c>
      <c r="K128" s="688"/>
      <c r="L128" s="688"/>
      <c r="M128" s="689" t="str">
        <f>IF(K128="1 Penulis (ke-1)",100%,IF(K128="2 Penulis (ke-1)",60%,IF(K128="2 Penulis (ke-2)",40%,IF(K128="3 Penulis (ke-1)",60%,IF(K128="3 Penulis (ke-2)",20%,IF(K128="3 Penulis (ke-3)",20%,IF(K128="4 Penulis (ke-1)",60%,IF(K128="4 Penulis (ke-2)",13.3%,IF(K128="4 Penulis (ke-3)",13.3%,IF(K128="4 Penulis (ke-4)",13.3%,"rumus"))))))))))</f>
        <v>rumus</v>
      </c>
      <c r="N128" s="689" t="str">
        <f>IF(L128&lt;&gt;"",VLOOKUP(L128,List!$E$2:$F$23,2,0),"rumus")</f>
        <v>rumus</v>
      </c>
      <c r="O128" s="696">
        <f>IFERROR(M128*N128,0)</f>
        <v>0</v>
      </c>
      <c r="P128" s="694" t="e">
        <f>VLOOKUP(L128,List!$E$2:$G$23,3,0)</f>
        <v>#N/A</v>
      </c>
      <c r="Q128" s="688" t="str">
        <f>IF(RIGHT(K128,6)="(ke-1)","Penulis Utama",IF(K128="","","Pendamping"))</f>
        <v/>
      </c>
      <c r="R128" s="4"/>
      <c r="S128" s="4"/>
      <c r="T128" s="4"/>
      <c r="U128" s="4"/>
      <c r="V128" s="4"/>
      <c r="W128" s="4"/>
      <c r="X128" s="4"/>
      <c r="Y128" s="4"/>
      <c r="Z128" s="4"/>
      <c r="AA128" s="4"/>
    </row>
    <row r="129" spans="1:27" ht="55.5" customHeight="1" x14ac:dyDescent="0.25">
      <c r="A129" s="631"/>
      <c r="B129" s="413" t="s">
        <v>864</v>
      </c>
      <c r="C129" s="440"/>
      <c r="D129" s="631"/>
      <c r="E129" s="631"/>
      <c r="F129" s="631"/>
      <c r="G129" s="631"/>
      <c r="H129" s="631"/>
      <c r="I129" s="631"/>
      <c r="J129" s="631"/>
      <c r="K129" s="631"/>
      <c r="L129" s="631"/>
      <c r="M129" s="631"/>
      <c r="N129" s="631"/>
      <c r="O129" s="635"/>
      <c r="P129" s="613"/>
      <c r="Q129" s="631"/>
      <c r="R129" s="4"/>
      <c r="S129" s="4"/>
      <c r="T129" s="4"/>
      <c r="U129" s="4"/>
      <c r="V129" s="4"/>
      <c r="W129" s="4"/>
      <c r="X129" s="4"/>
      <c r="Y129" s="4"/>
      <c r="Z129" s="4"/>
      <c r="AA129" s="4"/>
    </row>
    <row r="130" spans="1:27" ht="15" customHeight="1" x14ac:dyDescent="0.25">
      <c r="A130" s="695">
        <v>49</v>
      </c>
      <c r="B130" s="413" t="s">
        <v>859</v>
      </c>
      <c r="C130" s="440"/>
      <c r="D130" s="693"/>
      <c r="E130" s="693"/>
      <c r="F130" s="684" t="str">
        <f>M130</f>
        <v>rumus</v>
      </c>
      <c r="G130" s="684" t="str">
        <f>IF(N130&lt;&gt;"rumus",M130&amp;" x "&amp;N130&amp;" = "&amp;M130*N130,"rumus")</f>
        <v>rumus</v>
      </c>
      <c r="H130" s="683">
        <f>O130</f>
        <v>0</v>
      </c>
      <c r="I130" s="684"/>
      <c r="J130" s="693" t="s">
        <v>26</v>
      </c>
      <c r="K130" s="688"/>
      <c r="L130" s="688"/>
      <c r="M130" s="689" t="str">
        <f>IF(K130="1 Penulis (ke-1)",100%,IF(K130="2 Penulis (ke-1)",60%,IF(K130="2 Penulis (ke-2)",40%,IF(K130="3 Penulis (ke-1)",60%,IF(K130="3 Penulis (ke-2)",20%,IF(K130="3 Penulis (ke-3)",20%,IF(K130="4 Penulis (ke-1)",60%,IF(K130="4 Penulis (ke-2)",13.3%,IF(K130="4 Penulis (ke-3)",13.3%,IF(K130="4 Penulis (ke-4)",13.3%,"rumus"))))))))))</f>
        <v>rumus</v>
      </c>
      <c r="N130" s="689" t="str">
        <f>IF(L130&lt;&gt;"",VLOOKUP(L130,List!$E$2:$F$23,2,0),"rumus")</f>
        <v>rumus</v>
      </c>
      <c r="O130" s="696">
        <f>IFERROR(M130*N130,0)</f>
        <v>0</v>
      </c>
      <c r="P130" s="694" t="e">
        <f>VLOOKUP(L130,List!$E$2:$G$23,3,0)</f>
        <v>#N/A</v>
      </c>
      <c r="Q130" s="688" t="str">
        <f>IF(RIGHT(K130,6)="(ke-1)","Penulis Utama",IF(K130="","","Pendamping"))</f>
        <v/>
      </c>
      <c r="R130" s="4"/>
      <c r="S130" s="4"/>
      <c r="T130" s="4"/>
      <c r="U130" s="4"/>
      <c r="V130" s="4"/>
      <c r="W130" s="4"/>
      <c r="X130" s="4"/>
      <c r="Y130" s="4"/>
      <c r="Z130" s="4"/>
      <c r="AA130" s="4"/>
    </row>
    <row r="131" spans="1:27" ht="52.5" customHeight="1" x14ac:dyDescent="0.25">
      <c r="A131" s="631"/>
      <c r="B131" s="413" t="s">
        <v>864</v>
      </c>
      <c r="C131" s="440"/>
      <c r="D131" s="631"/>
      <c r="E131" s="631"/>
      <c r="F131" s="631"/>
      <c r="G131" s="631"/>
      <c r="H131" s="631"/>
      <c r="I131" s="631"/>
      <c r="J131" s="631"/>
      <c r="K131" s="631"/>
      <c r="L131" s="631"/>
      <c r="M131" s="631"/>
      <c r="N131" s="631"/>
      <c r="O131" s="635"/>
      <c r="P131" s="613"/>
      <c r="Q131" s="631"/>
      <c r="R131" s="4"/>
      <c r="S131" s="4"/>
      <c r="T131" s="4"/>
      <c r="U131" s="4"/>
      <c r="V131" s="4"/>
      <c r="W131" s="4"/>
      <c r="X131" s="4"/>
      <c r="Y131" s="4"/>
      <c r="Z131" s="4"/>
      <c r="AA131" s="4"/>
    </row>
    <row r="132" spans="1:27" ht="15" customHeight="1" x14ac:dyDescent="0.25">
      <c r="A132" s="695">
        <v>50</v>
      </c>
      <c r="B132" s="413" t="s">
        <v>859</v>
      </c>
      <c r="C132" s="442"/>
      <c r="D132" s="693"/>
      <c r="E132" s="693"/>
      <c r="F132" s="684" t="str">
        <f>M132</f>
        <v>rumus</v>
      </c>
      <c r="G132" s="684" t="str">
        <f>IF(N132&lt;&gt;"rumus",M132&amp;" x "&amp;N132&amp;" = "&amp;M132*N132,"rumus")</f>
        <v>rumus</v>
      </c>
      <c r="H132" s="683">
        <f>O132</f>
        <v>0</v>
      </c>
      <c r="I132" s="684"/>
      <c r="J132" s="693" t="s">
        <v>26</v>
      </c>
      <c r="K132" s="688"/>
      <c r="L132" s="688"/>
      <c r="M132" s="689" t="str">
        <f>IF(K132="1 Penulis (ke-1)",100%,IF(K132="2 Penulis (ke-1)",60%,IF(K132="2 Penulis (ke-2)",40%,IF(K132="3 Penulis (ke-1)",60%,IF(K132="3 Penulis (ke-2)",20%,IF(K132="3 Penulis (ke-3)",20%,IF(K132="4 Penulis (ke-1)",60%,IF(K132="4 Penulis (ke-2)",13.3%,IF(K132="4 Penulis (ke-3)",13.3%,IF(K132="4 Penulis (ke-4)",13.3%,"rumus"))))))))))</f>
        <v>rumus</v>
      </c>
      <c r="N132" s="689" t="str">
        <f>IF(L132&lt;&gt;"",VLOOKUP(L132,List!$E$2:$F$23,2,0),"rumus")</f>
        <v>rumus</v>
      </c>
      <c r="O132" s="696">
        <f>IFERROR(M132*N132,0)</f>
        <v>0</v>
      </c>
      <c r="P132" s="694" t="e">
        <f>VLOOKUP(L132,List!$E$2:$G$23,3,0)</f>
        <v>#N/A</v>
      </c>
      <c r="Q132" s="688" t="str">
        <f>IF(RIGHT(K132,6)="(ke-1)","Penulis Utama",IF(K132="","","Pendamping"))</f>
        <v/>
      </c>
      <c r="R132" s="4"/>
      <c r="S132" s="4"/>
      <c r="T132" s="4"/>
      <c r="U132" s="4"/>
      <c r="V132" s="4"/>
      <c r="W132" s="4"/>
      <c r="X132" s="4"/>
      <c r="Y132" s="4"/>
      <c r="Z132" s="4"/>
      <c r="AA132" s="4"/>
    </row>
    <row r="133" spans="1:27" ht="55.5" customHeight="1" x14ac:dyDescent="0.25">
      <c r="A133" s="631"/>
      <c r="B133" s="413" t="s">
        <v>864</v>
      </c>
      <c r="C133" s="440"/>
      <c r="D133" s="631"/>
      <c r="E133" s="631"/>
      <c r="F133" s="631"/>
      <c r="G133" s="631"/>
      <c r="H133" s="631"/>
      <c r="I133" s="631"/>
      <c r="J133" s="631"/>
      <c r="K133" s="631"/>
      <c r="L133" s="631"/>
      <c r="M133" s="631"/>
      <c r="N133" s="631"/>
      <c r="O133" s="635"/>
      <c r="P133" s="613"/>
      <c r="Q133" s="631"/>
      <c r="R133" s="4"/>
      <c r="S133" s="4"/>
      <c r="T133" s="4"/>
      <c r="U133" s="4"/>
      <c r="V133" s="4"/>
      <c r="W133" s="4"/>
      <c r="X133" s="4"/>
      <c r="Y133" s="4"/>
      <c r="Z133" s="4"/>
      <c r="AA133" s="4"/>
    </row>
    <row r="134" spans="1:27" ht="27.75" customHeight="1" x14ac:dyDescent="0.25">
      <c r="A134" s="142" t="s">
        <v>888</v>
      </c>
      <c r="B134" s="439"/>
      <c r="C134" s="439"/>
      <c r="D134" s="439"/>
      <c r="E134" s="439"/>
      <c r="F134" s="439"/>
      <c r="G134" s="439"/>
      <c r="H134" s="439"/>
      <c r="I134" s="439"/>
      <c r="J134" s="143"/>
      <c r="K134" s="106"/>
      <c r="L134" s="106"/>
      <c r="M134" s="441"/>
      <c r="N134" s="441"/>
      <c r="O134" s="144"/>
      <c r="P134" s="144"/>
      <c r="Q134" s="4"/>
      <c r="R134" s="4"/>
      <c r="S134" s="4"/>
      <c r="T134" s="4"/>
      <c r="U134" s="4"/>
      <c r="V134" s="4"/>
      <c r="W134" s="4"/>
      <c r="X134" s="4"/>
      <c r="Y134" s="4"/>
      <c r="Z134" s="4"/>
      <c r="AA134" s="4"/>
    </row>
    <row r="135" spans="1:27" ht="15" customHeight="1" x14ac:dyDescent="0.25">
      <c r="A135" s="695">
        <v>51</v>
      </c>
      <c r="B135" s="413" t="s">
        <v>859</v>
      </c>
      <c r="C135" s="440"/>
      <c r="D135" s="693"/>
      <c r="E135" s="693"/>
      <c r="F135" s="684" t="str">
        <f>M135</f>
        <v>rumus</v>
      </c>
      <c r="G135" s="684" t="str">
        <f>IF(N135&lt;&gt;"rumus",M135&amp;" x "&amp;N135&amp;" = "&amp;M135*N135,"rumus")</f>
        <v>rumus</v>
      </c>
      <c r="H135" s="683">
        <f>O135</f>
        <v>0</v>
      </c>
      <c r="I135" s="684"/>
      <c r="J135" s="693" t="s">
        <v>889</v>
      </c>
      <c r="K135" s="688"/>
      <c r="L135" s="688"/>
      <c r="M135" s="689" t="str">
        <f>IF(K135="1 Penulis (ke-1)",100%,IF(K135="2 Penulis (ke-1)",60%,IF(K135="2 Penulis (ke-2)",40%,IF(K135="3 Penulis (ke-1)",60%,IF(K135="3 Penulis (ke-2)",20%,IF(K135="3 Penulis (ke-3)",20%,IF(K135="4 Penulis (ke-1)",60%,IF(K135="4 Penulis (ke-2)",13.3%,IF(K135="4 Penulis (ke-3)",13.3%,IF(K135="4 Penulis (ke-4)",13.3%,"rumus"))))))))))</f>
        <v>rumus</v>
      </c>
      <c r="N135" s="689" t="str">
        <f>IF(L135&lt;&gt;"",VLOOKUP(L135,List!$E$2:$F$23,2,0),"rumus")</f>
        <v>rumus</v>
      </c>
      <c r="O135" s="696">
        <f>IFERROR(M135*N135,0)</f>
        <v>0</v>
      </c>
      <c r="P135" s="694" t="e">
        <f>VLOOKUP(L135,List!$E$2:$G$23,3,0)</f>
        <v>#N/A</v>
      </c>
      <c r="Q135" s="688" t="str">
        <f>IF(RIGHT(K135,6)="(ke-1)","Penulis Utama",IF(K135="","","Pendamping"))</f>
        <v/>
      </c>
      <c r="R135" s="4"/>
      <c r="S135" s="4"/>
      <c r="T135" s="4"/>
      <c r="U135" s="4"/>
      <c r="V135" s="4"/>
      <c r="W135" s="4"/>
      <c r="X135" s="4"/>
      <c r="Y135" s="4"/>
      <c r="Z135" s="4"/>
      <c r="AA135" s="4"/>
    </row>
    <row r="136" spans="1:27" ht="52.5" customHeight="1" x14ac:dyDescent="0.25">
      <c r="A136" s="631"/>
      <c r="B136" s="413" t="s">
        <v>864</v>
      </c>
      <c r="C136" s="440"/>
      <c r="D136" s="631"/>
      <c r="E136" s="631"/>
      <c r="F136" s="631"/>
      <c r="G136" s="631"/>
      <c r="H136" s="631"/>
      <c r="I136" s="631"/>
      <c r="J136" s="631"/>
      <c r="K136" s="631"/>
      <c r="L136" s="631"/>
      <c r="M136" s="631"/>
      <c r="N136" s="631"/>
      <c r="O136" s="635"/>
      <c r="P136" s="613"/>
      <c r="Q136" s="631"/>
      <c r="R136" s="4"/>
      <c r="S136" s="4"/>
      <c r="T136" s="4"/>
      <c r="U136" s="4"/>
      <c r="V136" s="4"/>
      <c r="W136" s="4"/>
      <c r="X136" s="4"/>
      <c r="Y136" s="4"/>
      <c r="Z136" s="4"/>
      <c r="AA136" s="4"/>
    </row>
    <row r="137" spans="1:27" ht="24.75" customHeight="1" x14ac:dyDescent="0.25">
      <c r="A137" s="695">
        <v>52</v>
      </c>
      <c r="B137" s="413" t="s">
        <v>859</v>
      </c>
      <c r="C137" s="440"/>
      <c r="D137" s="693"/>
      <c r="E137" s="693"/>
      <c r="F137" s="684" t="str">
        <f>M137</f>
        <v>rumus</v>
      </c>
      <c r="G137" s="684" t="str">
        <f>IF(N137&lt;&gt;"rumus",M137&amp;" x "&amp;N137&amp;" = "&amp;M137*N137,"rumus")</f>
        <v>rumus</v>
      </c>
      <c r="H137" s="683">
        <f>O137</f>
        <v>0</v>
      </c>
      <c r="I137" s="684"/>
      <c r="J137" s="693" t="s">
        <v>26</v>
      </c>
      <c r="K137" s="688"/>
      <c r="L137" s="688"/>
      <c r="M137" s="689" t="str">
        <f>IF(K137="1 Penulis (ke-1)",100%,IF(K137="2 Penulis (ke-1)",60%,IF(K137="2 Penulis (ke-2)",40%,IF(K137="3 Penulis (ke-1)",60%,IF(K137="3 Penulis (ke-2)",20%,IF(K137="3 Penulis (ke-3)",20%,IF(K137="4 Penulis (ke-1)",60%,IF(K137="4 Penulis (ke-2)",13.3%,IF(K137="4 Penulis (ke-3)",13.3%,IF(K137="4 Penulis (ke-4)",13.3%,"rumus"))))))))))</f>
        <v>rumus</v>
      </c>
      <c r="N137" s="689" t="str">
        <f>IF(L137&lt;&gt;"",VLOOKUP(L137,List!$E$2:$F$23,2,0),"rumus")</f>
        <v>rumus</v>
      </c>
      <c r="O137" s="696">
        <f>IFERROR(M137*N137,0)</f>
        <v>0</v>
      </c>
      <c r="P137" s="694" t="e">
        <f>VLOOKUP(L137,List!$E$2:$G$23,3,0)</f>
        <v>#N/A</v>
      </c>
      <c r="Q137" s="688" t="str">
        <f>IF(RIGHT(K137,6)="(ke-1)","Penulis Utama",IF(K137="","","Pendamping"))</f>
        <v/>
      </c>
      <c r="R137" s="4"/>
      <c r="S137" s="4"/>
      <c r="T137" s="4"/>
      <c r="U137" s="4"/>
      <c r="V137" s="4"/>
      <c r="W137" s="4"/>
      <c r="X137" s="4"/>
      <c r="Y137" s="4"/>
      <c r="Z137" s="4"/>
      <c r="AA137" s="4"/>
    </row>
    <row r="138" spans="1:27" ht="69.75" customHeight="1" x14ac:dyDescent="0.25">
      <c r="A138" s="631"/>
      <c r="B138" s="413" t="s">
        <v>864</v>
      </c>
      <c r="C138" s="440"/>
      <c r="D138" s="631"/>
      <c r="E138" s="631"/>
      <c r="F138" s="631"/>
      <c r="G138" s="631"/>
      <c r="H138" s="631"/>
      <c r="I138" s="631"/>
      <c r="J138" s="631"/>
      <c r="K138" s="631"/>
      <c r="L138" s="631"/>
      <c r="M138" s="631"/>
      <c r="N138" s="631"/>
      <c r="O138" s="635"/>
      <c r="P138" s="613"/>
      <c r="Q138" s="631"/>
      <c r="R138" s="4"/>
      <c r="S138" s="4"/>
      <c r="T138" s="4"/>
      <c r="U138" s="4"/>
      <c r="V138" s="4"/>
      <c r="W138" s="4"/>
      <c r="X138" s="4"/>
      <c r="Y138" s="4"/>
      <c r="Z138" s="4"/>
      <c r="AA138" s="4"/>
    </row>
    <row r="139" spans="1:27" ht="24.75" customHeight="1" x14ac:dyDescent="0.25">
      <c r="A139" s="695">
        <v>53</v>
      </c>
      <c r="B139" s="413" t="s">
        <v>859</v>
      </c>
      <c r="C139" s="440"/>
      <c r="D139" s="693"/>
      <c r="E139" s="693"/>
      <c r="F139" s="684" t="str">
        <f>M139</f>
        <v>rumus</v>
      </c>
      <c r="G139" s="684" t="str">
        <f>IF(N139&lt;&gt;"rumus",M139&amp;" x "&amp;N139&amp;" = "&amp;M139*N139,"rumus")</f>
        <v>rumus</v>
      </c>
      <c r="H139" s="683">
        <f>O139</f>
        <v>0</v>
      </c>
      <c r="I139" s="684"/>
      <c r="J139" s="693" t="s">
        <v>26</v>
      </c>
      <c r="K139" s="688"/>
      <c r="L139" s="688"/>
      <c r="M139" s="689" t="str">
        <f>IF(K139="1 Penulis (ke-1)",100%,IF(K139="2 Penulis (ke-1)",60%,IF(K139="2 Penulis (ke-2)",40%,IF(K139="3 Penulis (ke-1)",60%,IF(K139="3 Penulis (ke-2)",20%,IF(K139="3 Penulis (ke-3)",20%,IF(K139="4 Penulis (ke-1)",60%,IF(K139="4 Penulis (ke-2)",13.3%,IF(K139="4 Penulis (ke-3)",13.3%,IF(K139="4 Penulis (ke-4)",13.3%,"rumus"))))))))))</f>
        <v>rumus</v>
      </c>
      <c r="N139" s="689" t="str">
        <f>IF(L139&lt;&gt;"",VLOOKUP(L139,List!$E$2:$F$23,2,0),"rumus")</f>
        <v>rumus</v>
      </c>
      <c r="O139" s="694">
        <f>IFERROR(M139*N139,0)</f>
        <v>0</v>
      </c>
      <c r="P139" s="694" t="e">
        <f>VLOOKUP(L139,List!$E$2:$G$23,3,0)</f>
        <v>#N/A</v>
      </c>
      <c r="Q139" s="688" t="str">
        <f>IF(RIGHT(K139,6)="(ke-1)","Penulis Utama",IF(K139="","","Pendamping"))</f>
        <v/>
      </c>
      <c r="R139" s="4"/>
      <c r="S139" s="4"/>
      <c r="T139" s="4"/>
      <c r="U139" s="4"/>
      <c r="V139" s="4"/>
      <c r="W139" s="4"/>
      <c r="X139" s="4"/>
      <c r="Y139" s="4"/>
      <c r="Z139" s="4"/>
      <c r="AA139" s="4"/>
    </row>
    <row r="140" spans="1:27" ht="52.5" customHeight="1" x14ac:dyDescent="0.25">
      <c r="A140" s="631"/>
      <c r="B140" s="413" t="s">
        <v>864</v>
      </c>
      <c r="C140" s="440"/>
      <c r="D140" s="631"/>
      <c r="E140" s="631"/>
      <c r="F140" s="631"/>
      <c r="G140" s="631"/>
      <c r="H140" s="631"/>
      <c r="I140" s="631"/>
      <c r="J140" s="631"/>
      <c r="K140" s="631"/>
      <c r="L140" s="631"/>
      <c r="M140" s="631"/>
      <c r="N140" s="631"/>
      <c r="O140" s="613"/>
      <c r="P140" s="613"/>
      <c r="Q140" s="631"/>
      <c r="R140" s="4"/>
      <c r="S140" s="4"/>
      <c r="T140" s="4"/>
      <c r="U140" s="4"/>
      <c r="V140" s="4"/>
      <c r="W140" s="4"/>
      <c r="X140" s="4"/>
      <c r="Y140" s="4"/>
      <c r="Z140" s="4"/>
      <c r="AA140" s="4"/>
    </row>
    <row r="141" spans="1:27" ht="15" customHeight="1" x14ac:dyDescent="0.25">
      <c r="A141" s="695">
        <v>54</v>
      </c>
      <c r="B141" s="413" t="s">
        <v>859</v>
      </c>
      <c r="C141" s="442"/>
      <c r="D141" s="693"/>
      <c r="E141" s="693"/>
      <c r="F141" s="684" t="str">
        <f>M141</f>
        <v>rumus</v>
      </c>
      <c r="G141" s="684" t="str">
        <f>IF(N141&lt;&gt;"rumus",M141&amp;" x "&amp;N141&amp;" = "&amp;M141*N141,"rumus")</f>
        <v>rumus</v>
      </c>
      <c r="H141" s="683">
        <f>O141</f>
        <v>0</v>
      </c>
      <c r="I141" s="684"/>
      <c r="J141" s="693" t="s">
        <v>26</v>
      </c>
      <c r="K141" s="688"/>
      <c r="L141" s="688"/>
      <c r="M141" s="689" t="str">
        <f>IF(K141="1 Penulis (ke-1)",100%,IF(K141="2 Penulis (ke-1)",60%,IF(K141="2 Penulis (ke-2)",40%,IF(K141="3 Penulis (ke-1)",60%,IF(K141="3 Penulis (ke-2)",20%,IF(K141="3 Penulis (ke-3)",20%,IF(K141="4 Penulis (ke-1)",60%,IF(K141="4 Penulis (ke-2)",13.3%,IF(K141="4 Penulis (ke-3)",13.3%,IF(K141="4 Penulis (ke-4)",13.3%,"rumus"))))))))))</f>
        <v>rumus</v>
      </c>
      <c r="N141" s="689" t="str">
        <f>IF(L141&lt;&gt;"",VLOOKUP(L141,List!$E$2:$F$23,2,0),"rumus")</f>
        <v>rumus</v>
      </c>
      <c r="O141" s="694">
        <f>IFERROR(M141*N141,0)</f>
        <v>0</v>
      </c>
      <c r="P141" s="694" t="e">
        <f>VLOOKUP(L141,List!$E$2:$G$23,3,0)</f>
        <v>#N/A</v>
      </c>
      <c r="Q141" s="688" t="str">
        <f>IF(RIGHT(K141,6)="(ke-1)","Penulis Utama",IF(K141="","","Pendamping"))</f>
        <v/>
      </c>
      <c r="R141" s="4"/>
      <c r="S141" s="4"/>
      <c r="T141" s="4"/>
      <c r="U141" s="4"/>
      <c r="V141" s="4"/>
      <c r="W141" s="4"/>
      <c r="X141" s="4"/>
      <c r="Y141" s="4"/>
      <c r="Z141" s="4"/>
      <c r="AA141" s="4"/>
    </row>
    <row r="142" spans="1:27" ht="55.5" customHeight="1" x14ac:dyDescent="0.25">
      <c r="A142" s="631"/>
      <c r="B142" s="413" t="s">
        <v>864</v>
      </c>
      <c r="C142" s="440"/>
      <c r="D142" s="631"/>
      <c r="E142" s="631"/>
      <c r="F142" s="631"/>
      <c r="G142" s="631"/>
      <c r="H142" s="631"/>
      <c r="I142" s="631"/>
      <c r="J142" s="631"/>
      <c r="K142" s="631"/>
      <c r="L142" s="631"/>
      <c r="M142" s="631"/>
      <c r="N142" s="631"/>
      <c r="O142" s="613"/>
      <c r="P142" s="613"/>
      <c r="Q142" s="631"/>
      <c r="R142" s="4"/>
      <c r="S142" s="4"/>
      <c r="T142" s="4"/>
      <c r="U142" s="4"/>
      <c r="V142" s="4"/>
      <c r="W142" s="4"/>
      <c r="X142" s="4"/>
      <c r="Y142" s="4"/>
      <c r="Z142" s="4"/>
      <c r="AA142" s="4"/>
    </row>
    <row r="143" spans="1:27" ht="15" customHeight="1" x14ac:dyDescent="0.25">
      <c r="A143" s="695">
        <v>55</v>
      </c>
      <c r="B143" s="413" t="s">
        <v>859</v>
      </c>
      <c r="C143" s="440"/>
      <c r="D143" s="693"/>
      <c r="E143" s="693"/>
      <c r="F143" s="684" t="str">
        <f>M143</f>
        <v>rumus</v>
      </c>
      <c r="G143" s="684" t="str">
        <f>IF(N143&lt;&gt;"rumus",M143&amp;" x "&amp;N143&amp;" = "&amp;M143*N143,"rumus")</f>
        <v>rumus</v>
      </c>
      <c r="H143" s="683">
        <f>O143</f>
        <v>0</v>
      </c>
      <c r="I143" s="684"/>
      <c r="J143" s="693" t="s">
        <v>26</v>
      </c>
      <c r="K143" s="688"/>
      <c r="L143" s="688"/>
      <c r="M143" s="689" t="str">
        <f>IF(K143="1 Penulis (ke-1)",100%,IF(K143="2 Penulis (ke-1)",60%,IF(K143="2 Penulis (ke-2)",40%,IF(K143="3 Penulis (ke-1)",60%,IF(K143="3 Penulis (ke-2)",20%,IF(K143="3 Penulis (ke-3)",20%,IF(K143="4 Penulis (ke-1)",60%,IF(K143="4 Penulis (ke-2)",13.3%,IF(K143="4 Penulis (ke-3)",13.3%,IF(K143="4 Penulis (ke-4)",13.3%,"rumus"))))))))))</f>
        <v>rumus</v>
      </c>
      <c r="N143" s="689" t="str">
        <f>IF(L143&lt;&gt;"",VLOOKUP(L143,List!$E$2:$F$23,2,0),"rumus")</f>
        <v>rumus</v>
      </c>
      <c r="O143" s="694">
        <f>IFERROR(M143*N143,0)</f>
        <v>0</v>
      </c>
      <c r="P143" s="694" t="e">
        <f>VLOOKUP(L143,List!$E$2:$G$23,3,0)</f>
        <v>#N/A</v>
      </c>
      <c r="Q143" s="688" t="str">
        <f>IF(RIGHT(K143,6)="(ke-1)","Penulis Utama",IF(K143="","","Pendamping"))</f>
        <v/>
      </c>
      <c r="R143" s="4"/>
      <c r="S143" s="4"/>
      <c r="T143" s="4"/>
      <c r="U143" s="4"/>
      <c r="V143" s="4"/>
      <c r="W143" s="4"/>
      <c r="X143" s="4"/>
      <c r="Y143" s="4"/>
      <c r="Z143" s="4"/>
      <c r="AA143" s="4"/>
    </row>
    <row r="144" spans="1:27" ht="52.5" customHeight="1" x14ac:dyDescent="0.25">
      <c r="A144" s="631"/>
      <c r="B144" s="413" t="s">
        <v>864</v>
      </c>
      <c r="C144" s="440"/>
      <c r="D144" s="631"/>
      <c r="E144" s="631"/>
      <c r="F144" s="631"/>
      <c r="G144" s="631"/>
      <c r="H144" s="631"/>
      <c r="I144" s="631"/>
      <c r="J144" s="631"/>
      <c r="K144" s="631"/>
      <c r="L144" s="631"/>
      <c r="M144" s="631"/>
      <c r="N144" s="631"/>
      <c r="O144" s="613"/>
      <c r="P144" s="613"/>
      <c r="Q144" s="631"/>
      <c r="R144" s="4"/>
      <c r="S144" s="4"/>
      <c r="T144" s="4"/>
      <c r="U144" s="4"/>
      <c r="V144" s="4"/>
      <c r="W144" s="4"/>
      <c r="X144" s="4"/>
      <c r="Y144" s="4"/>
      <c r="Z144" s="4"/>
      <c r="AA144" s="4"/>
    </row>
    <row r="145" spans="1:27" ht="27.75" customHeight="1" x14ac:dyDescent="0.25">
      <c r="A145" s="142" t="s">
        <v>890</v>
      </c>
      <c r="B145" s="439"/>
      <c r="C145" s="439"/>
      <c r="D145" s="439"/>
      <c r="E145" s="439"/>
      <c r="F145" s="439"/>
      <c r="G145" s="439"/>
      <c r="H145" s="439"/>
      <c r="I145" s="439"/>
      <c r="J145" s="143"/>
      <c r="K145" s="106"/>
      <c r="L145" s="106"/>
      <c r="M145" s="441"/>
      <c r="N145" s="441"/>
      <c r="O145" s="144"/>
      <c r="P145" s="144"/>
      <c r="Q145" s="4"/>
      <c r="R145" s="4"/>
      <c r="S145" s="4"/>
      <c r="T145" s="4"/>
      <c r="U145" s="4"/>
      <c r="V145" s="4"/>
      <c r="W145" s="4"/>
      <c r="X145" s="4"/>
      <c r="Y145" s="4"/>
      <c r="Z145" s="4"/>
      <c r="AA145" s="4"/>
    </row>
    <row r="146" spans="1:27" ht="15" customHeight="1" x14ac:dyDescent="0.25">
      <c r="A146" s="695">
        <v>56</v>
      </c>
      <c r="B146" s="413" t="s">
        <v>859</v>
      </c>
      <c r="C146" s="442"/>
      <c r="D146" s="693"/>
      <c r="E146" s="693"/>
      <c r="F146" s="684" t="str">
        <f>M146</f>
        <v>rumus</v>
      </c>
      <c r="G146" s="684" t="str">
        <f>IF(N146&lt;&gt;"rumus",M146&amp;" x "&amp;N146&amp;" = "&amp;M146*N146,"rumus")</f>
        <v>rumus</v>
      </c>
      <c r="H146" s="683">
        <f>O146</f>
        <v>0</v>
      </c>
      <c r="I146" s="684"/>
      <c r="J146" s="693" t="s">
        <v>891</v>
      </c>
      <c r="K146" s="688"/>
      <c r="L146" s="688"/>
      <c r="M146" s="689" t="str">
        <f>IF(K146="1 Penulis (ke-1)",100%,IF(K146="2 Penulis (ke-1)",60%,IF(K146="2 Penulis (ke-2)",40%,IF(K146="3 Penulis (ke-1)",60%,IF(K146="3 Penulis (ke-2)",20%,IF(K146="3 Penulis (ke-3)",20%,IF(K146="4 Penulis (ke-1)",60%,IF(K146="4 Penulis (ke-2)",13.3%,IF(K146="4 Penulis (ke-3)",13.3%,IF(K146="4 Penulis (ke-4)",13.3%,"rumus"))))))))))</f>
        <v>rumus</v>
      </c>
      <c r="N146" s="689" t="str">
        <f>IF(L146&lt;&gt;"",VLOOKUP(L146,List!$E$2:$F$23,2,0),"rumus")</f>
        <v>rumus</v>
      </c>
      <c r="O146" s="694">
        <f>IFERROR(M146*N146,0)</f>
        <v>0</v>
      </c>
      <c r="P146" s="694" t="e">
        <f>VLOOKUP(L146,List!$E$2:$G$23,3,0)</f>
        <v>#N/A</v>
      </c>
      <c r="Q146" s="688" t="str">
        <f>IF(RIGHT(K146,6)="(ke-1)","Penulis Utama",IF(K146="","","Pendamping"))</f>
        <v/>
      </c>
      <c r="R146" s="4"/>
      <c r="S146" s="4"/>
      <c r="T146" s="4"/>
      <c r="U146" s="4"/>
      <c r="V146" s="4"/>
      <c r="W146" s="4"/>
      <c r="X146" s="4"/>
      <c r="Y146" s="4"/>
      <c r="Z146" s="4"/>
      <c r="AA146" s="4"/>
    </row>
    <row r="147" spans="1:27" ht="55.5" customHeight="1" x14ac:dyDescent="0.25">
      <c r="A147" s="631"/>
      <c r="B147" s="413" t="s">
        <v>864</v>
      </c>
      <c r="C147" s="440"/>
      <c r="D147" s="631"/>
      <c r="E147" s="631"/>
      <c r="F147" s="631"/>
      <c r="G147" s="631"/>
      <c r="H147" s="631"/>
      <c r="I147" s="631"/>
      <c r="J147" s="631"/>
      <c r="K147" s="631"/>
      <c r="L147" s="631"/>
      <c r="M147" s="631"/>
      <c r="N147" s="631"/>
      <c r="O147" s="613"/>
      <c r="P147" s="613"/>
      <c r="Q147" s="631"/>
      <c r="R147" s="4"/>
      <c r="S147" s="4"/>
      <c r="T147" s="4"/>
      <c r="U147" s="4"/>
      <c r="V147" s="4"/>
      <c r="W147" s="4"/>
      <c r="X147" s="4"/>
      <c r="Y147" s="4"/>
      <c r="Z147" s="4"/>
      <c r="AA147" s="4"/>
    </row>
    <row r="148" spans="1:27" ht="15" customHeight="1" x14ac:dyDescent="0.25">
      <c r="A148" s="695">
        <v>57</v>
      </c>
      <c r="B148" s="413" t="s">
        <v>859</v>
      </c>
      <c r="C148" s="440"/>
      <c r="D148" s="693"/>
      <c r="E148" s="693"/>
      <c r="F148" s="684" t="str">
        <f>M148</f>
        <v>rumus</v>
      </c>
      <c r="G148" s="684" t="str">
        <f>IF(N148&lt;&gt;"rumus",M148&amp;" x "&amp;N148&amp;" = "&amp;M148*N148,"rumus")</f>
        <v>rumus</v>
      </c>
      <c r="H148" s="683">
        <f>O148</f>
        <v>0</v>
      </c>
      <c r="I148" s="684"/>
      <c r="J148" s="693" t="s">
        <v>26</v>
      </c>
      <c r="K148" s="688"/>
      <c r="L148" s="688"/>
      <c r="M148" s="689" t="str">
        <f>IF(K148="1 Penulis (ke-1)",100%,IF(K148="2 Penulis (ke-1)",60%,IF(K148="2 Penulis (ke-2)",40%,IF(K148="3 Penulis (ke-1)",60%,IF(K148="3 Penulis (ke-2)",20%,IF(K148="3 Penulis (ke-3)",20%,IF(K148="4 Penulis (ke-1)",60%,IF(K148="4 Penulis (ke-2)",13.3%,IF(K148="4 Penulis (ke-3)",13.3%,IF(K148="4 Penulis (ke-4)",13.3%,"rumus"))))))))))</f>
        <v>rumus</v>
      </c>
      <c r="N148" s="689" t="str">
        <f>IF(L148&lt;&gt;"",VLOOKUP(L148,List!$E$2:$F$23,2,0),"rumus")</f>
        <v>rumus</v>
      </c>
      <c r="O148" s="694">
        <f>IFERROR(M148*N148,0)</f>
        <v>0</v>
      </c>
      <c r="P148" s="694" t="e">
        <f>VLOOKUP(L148,List!$E$2:$G$23,3,0)</f>
        <v>#N/A</v>
      </c>
      <c r="Q148" s="688" t="str">
        <f>IF(RIGHT(K148,6)="(ke-1)","Penulis Utama",IF(K148="","","Pendamping"))</f>
        <v/>
      </c>
      <c r="R148" s="4"/>
      <c r="S148" s="4"/>
      <c r="T148" s="4"/>
      <c r="U148" s="4"/>
      <c r="V148" s="4"/>
      <c r="W148" s="4"/>
      <c r="X148" s="4"/>
      <c r="Y148" s="4"/>
      <c r="Z148" s="4"/>
      <c r="AA148" s="4"/>
    </row>
    <row r="149" spans="1:27" ht="52.5" customHeight="1" x14ac:dyDescent="0.25">
      <c r="A149" s="631"/>
      <c r="B149" s="413" t="s">
        <v>864</v>
      </c>
      <c r="C149" s="440"/>
      <c r="D149" s="631"/>
      <c r="E149" s="631"/>
      <c r="F149" s="631"/>
      <c r="G149" s="631"/>
      <c r="H149" s="631"/>
      <c r="I149" s="631"/>
      <c r="J149" s="631"/>
      <c r="K149" s="631"/>
      <c r="L149" s="631"/>
      <c r="M149" s="631"/>
      <c r="N149" s="631"/>
      <c r="O149" s="613"/>
      <c r="P149" s="613"/>
      <c r="Q149" s="631"/>
      <c r="R149" s="4"/>
      <c r="S149" s="4"/>
      <c r="T149" s="4"/>
      <c r="U149" s="4"/>
      <c r="V149" s="4"/>
      <c r="W149" s="4"/>
      <c r="X149" s="4"/>
      <c r="Y149" s="4"/>
      <c r="Z149" s="4"/>
      <c r="AA149" s="4"/>
    </row>
    <row r="150" spans="1:27" ht="15" customHeight="1" x14ac:dyDescent="0.25">
      <c r="A150" s="695">
        <v>58</v>
      </c>
      <c r="B150" s="413" t="s">
        <v>859</v>
      </c>
      <c r="C150" s="442"/>
      <c r="D150" s="693"/>
      <c r="E150" s="693"/>
      <c r="F150" s="684" t="str">
        <f>M150</f>
        <v>rumus</v>
      </c>
      <c r="G150" s="684" t="str">
        <f>IF(N150&lt;&gt;"rumus",M150&amp;" x "&amp;N150&amp;" = "&amp;M150*N150,"rumus")</f>
        <v>rumus</v>
      </c>
      <c r="H150" s="683">
        <f>O150</f>
        <v>0</v>
      </c>
      <c r="I150" s="684"/>
      <c r="J150" s="693" t="s">
        <v>26</v>
      </c>
      <c r="K150" s="688"/>
      <c r="L150" s="688"/>
      <c r="M150" s="689" t="str">
        <f>IF(K150="1 Penulis (ke-1)",100%,IF(K150="2 Penulis (ke-1)",60%,IF(K150="2 Penulis (ke-2)",40%,IF(K150="3 Penulis (ke-1)",60%,IF(K150="3 Penulis (ke-2)",20%,IF(K150="3 Penulis (ke-3)",20%,IF(K150="4 Penulis (ke-1)",60%,IF(K150="4 Penulis (ke-2)",13.3%,IF(K150="4 Penulis (ke-3)",13.3%,IF(K150="4 Penulis (ke-4)",13.3%,"rumus"))))))))))</f>
        <v>rumus</v>
      </c>
      <c r="N150" s="689" t="str">
        <f>IF(L150&lt;&gt;"",VLOOKUP(L150,List!$E$2:$F$23,2,0),"rumus")</f>
        <v>rumus</v>
      </c>
      <c r="O150" s="694">
        <f>IFERROR(M150*N150,0)</f>
        <v>0</v>
      </c>
      <c r="P150" s="694" t="e">
        <f>VLOOKUP(L150,List!$E$2:$G$23,3,0)</f>
        <v>#N/A</v>
      </c>
      <c r="Q150" s="688" t="str">
        <f>IF(RIGHT(K150,6)="(ke-1)","Penulis Utama",IF(K150="","","Pendamping"))</f>
        <v/>
      </c>
      <c r="R150" s="4"/>
      <c r="S150" s="4"/>
      <c r="T150" s="4"/>
      <c r="U150" s="4"/>
      <c r="V150" s="4"/>
      <c r="W150" s="4"/>
      <c r="X150" s="4"/>
      <c r="Y150" s="4"/>
      <c r="Z150" s="4"/>
      <c r="AA150" s="4"/>
    </row>
    <row r="151" spans="1:27" ht="55.5" customHeight="1" x14ac:dyDescent="0.25">
      <c r="A151" s="631"/>
      <c r="B151" s="413" t="s">
        <v>864</v>
      </c>
      <c r="C151" s="440"/>
      <c r="D151" s="631"/>
      <c r="E151" s="631"/>
      <c r="F151" s="631"/>
      <c r="G151" s="631"/>
      <c r="H151" s="631"/>
      <c r="I151" s="631"/>
      <c r="J151" s="631"/>
      <c r="K151" s="631"/>
      <c r="L151" s="631"/>
      <c r="M151" s="631"/>
      <c r="N151" s="631"/>
      <c r="O151" s="613"/>
      <c r="P151" s="613"/>
      <c r="Q151" s="631"/>
      <c r="R151" s="4"/>
      <c r="S151" s="4"/>
      <c r="T151" s="4"/>
      <c r="U151" s="4"/>
      <c r="V151" s="4"/>
      <c r="W151" s="4"/>
      <c r="X151" s="4"/>
      <c r="Y151" s="4"/>
      <c r="Z151" s="4"/>
      <c r="AA151" s="4"/>
    </row>
    <row r="152" spans="1:27" ht="15" customHeight="1" x14ac:dyDescent="0.25">
      <c r="A152" s="695">
        <v>59</v>
      </c>
      <c r="B152" s="413" t="s">
        <v>859</v>
      </c>
      <c r="C152" s="440"/>
      <c r="D152" s="693"/>
      <c r="E152" s="693"/>
      <c r="F152" s="684" t="str">
        <f>M152</f>
        <v>rumus</v>
      </c>
      <c r="G152" s="684" t="str">
        <f>IF(N152&lt;&gt;"rumus",M152&amp;" x "&amp;N152&amp;" = "&amp;M152*N152,"rumus")</f>
        <v>rumus</v>
      </c>
      <c r="H152" s="683">
        <f>O152</f>
        <v>0</v>
      </c>
      <c r="I152" s="684"/>
      <c r="J152" s="693" t="s">
        <v>26</v>
      </c>
      <c r="K152" s="688"/>
      <c r="L152" s="688"/>
      <c r="M152" s="689" t="str">
        <f>IF(K152="1 Penulis (ke-1)",100%,IF(K152="2 Penulis (ke-1)",60%,IF(K152="2 Penulis (ke-2)",40%,IF(K152="3 Penulis (ke-1)",60%,IF(K152="3 Penulis (ke-2)",20%,IF(K152="3 Penulis (ke-3)",20%,IF(K152="4 Penulis (ke-1)",60%,IF(K152="4 Penulis (ke-2)",13.3%,IF(K152="4 Penulis (ke-3)",13.3%,IF(K152="4 Penulis (ke-4)",13.3%,"rumus"))))))))))</f>
        <v>rumus</v>
      </c>
      <c r="N152" s="689" t="str">
        <f>IF(L152&lt;&gt;"",VLOOKUP(L152,List!$E$2:$F$23,2,0),"rumus")</f>
        <v>rumus</v>
      </c>
      <c r="O152" s="694">
        <f>IFERROR(M152*N152,0)</f>
        <v>0</v>
      </c>
      <c r="P152" s="694" t="e">
        <f>VLOOKUP(L152,List!$E$2:$G$23,3,0)</f>
        <v>#N/A</v>
      </c>
      <c r="Q152" s="688" t="str">
        <f>IF(RIGHT(K152,6)="(ke-1)","Penulis Utama",IF(K152="","","Pendamping"))</f>
        <v/>
      </c>
      <c r="R152" s="4"/>
      <c r="S152" s="4"/>
      <c r="T152" s="4"/>
      <c r="U152" s="4"/>
      <c r="V152" s="4"/>
      <c r="W152" s="4"/>
      <c r="X152" s="4"/>
      <c r="Y152" s="4"/>
      <c r="Z152" s="4"/>
      <c r="AA152" s="4"/>
    </row>
    <row r="153" spans="1:27" ht="52.5" customHeight="1" x14ac:dyDescent="0.25">
      <c r="A153" s="631"/>
      <c r="B153" s="413" t="s">
        <v>864</v>
      </c>
      <c r="C153" s="440"/>
      <c r="D153" s="631"/>
      <c r="E153" s="631"/>
      <c r="F153" s="631"/>
      <c r="G153" s="631"/>
      <c r="H153" s="631"/>
      <c r="I153" s="631"/>
      <c r="J153" s="631"/>
      <c r="K153" s="631"/>
      <c r="L153" s="631"/>
      <c r="M153" s="631"/>
      <c r="N153" s="631"/>
      <c r="O153" s="613"/>
      <c r="P153" s="613"/>
      <c r="Q153" s="631"/>
      <c r="R153" s="4"/>
      <c r="S153" s="4"/>
      <c r="T153" s="4"/>
      <c r="U153" s="4"/>
      <c r="V153" s="4"/>
      <c r="W153" s="4"/>
      <c r="X153" s="4"/>
      <c r="Y153" s="4"/>
      <c r="Z153" s="4"/>
      <c r="AA153" s="4"/>
    </row>
    <row r="154" spans="1:27" ht="24.75" customHeight="1" x14ac:dyDescent="0.25">
      <c r="A154" s="695">
        <v>60</v>
      </c>
      <c r="B154" s="413" t="s">
        <v>859</v>
      </c>
      <c r="C154" s="440"/>
      <c r="D154" s="693"/>
      <c r="E154" s="693"/>
      <c r="F154" s="684" t="str">
        <f>M154</f>
        <v>rumus</v>
      </c>
      <c r="G154" s="684" t="str">
        <f>IF(N154&lt;&gt;"rumus",M154&amp;" x "&amp;N154&amp;" = "&amp;M154*N154,"rumus")</f>
        <v>rumus</v>
      </c>
      <c r="H154" s="683">
        <f>O154</f>
        <v>0</v>
      </c>
      <c r="I154" s="684"/>
      <c r="J154" s="693" t="s">
        <v>26</v>
      </c>
      <c r="K154" s="688"/>
      <c r="L154" s="688"/>
      <c r="M154" s="689" t="str">
        <f>IF(K154="1 Penulis (ke-1)",100%,IF(K154="2 Penulis (ke-1)",60%,IF(K154="2 Penulis (ke-2)",40%,IF(K154="3 Penulis (ke-1)",60%,IF(K154="3 Penulis (ke-2)",20%,IF(K154="3 Penulis (ke-3)",20%,IF(K154="4 Penulis (ke-1)",60%,IF(K154="4 Penulis (ke-2)",13.3%,IF(K154="4 Penulis (ke-3)",13.3%,IF(K154="4 Penulis (ke-4)",13.3%,"rumus"))))))))))</f>
        <v>rumus</v>
      </c>
      <c r="N154" s="689" t="str">
        <f>IF(L154&lt;&gt;"",VLOOKUP(L154,List!$E$2:$F$23,2,0),"rumus")</f>
        <v>rumus</v>
      </c>
      <c r="O154" s="694">
        <f>IFERROR(M154*N154,0)</f>
        <v>0</v>
      </c>
      <c r="P154" s="694" t="e">
        <f>VLOOKUP(L154,List!$E$2:$G$23,3,0)</f>
        <v>#N/A</v>
      </c>
      <c r="Q154" s="688" t="str">
        <f>IF(RIGHT(K154,6)="(ke-1)","Penulis Utama",IF(K154="","","Pendamping"))</f>
        <v/>
      </c>
      <c r="R154" s="4"/>
      <c r="S154" s="4"/>
      <c r="T154" s="4"/>
      <c r="U154" s="4"/>
      <c r="V154" s="4"/>
      <c r="W154" s="4"/>
      <c r="X154" s="4"/>
      <c r="Y154" s="4"/>
      <c r="Z154" s="4"/>
      <c r="AA154" s="4"/>
    </row>
    <row r="155" spans="1:27" ht="69.75" customHeight="1" x14ac:dyDescent="0.25">
      <c r="A155" s="631"/>
      <c r="B155" s="413" t="s">
        <v>864</v>
      </c>
      <c r="C155" s="440"/>
      <c r="D155" s="631"/>
      <c r="E155" s="631"/>
      <c r="F155" s="631"/>
      <c r="G155" s="631"/>
      <c r="H155" s="631"/>
      <c r="I155" s="631"/>
      <c r="J155" s="631"/>
      <c r="K155" s="631"/>
      <c r="L155" s="631"/>
      <c r="M155" s="631"/>
      <c r="N155" s="631"/>
      <c r="O155" s="613"/>
      <c r="P155" s="613"/>
      <c r="Q155" s="631"/>
      <c r="R155" s="4"/>
      <c r="S155" s="4"/>
      <c r="T155" s="4"/>
      <c r="U155" s="4"/>
      <c r="V155" s="4"/>
      <c r="W155" s="4"/>
      <c r="X155" s="4"/>
      <c r="Y155" s="4"/>
      <c r="Z155" s="4"/>
      <c r="AA155" s="4"/>
    </row>
    <row r="156" spans="1:27" ht="15.75" customHeight="1" x14ac:dyDescent="0.25">
      <c r="A156" s="443"/>
      <c r="B156" s="614" t="s">
        <v>304</v>
      </c>
      <c r="C156" s="615"/>
      <c r="D156" s="615"/>
      <c r="E156" s="615"/>
      <c r="F156" s="615"/>
      <c r="G156" s="616"/>
      <c r="H156" s="145">
        <f>SUM($H$29:$H$155)</f>
        <v>20</v>
      </c>
      <c r="I156" s="145">
        <f>SUMPRODUCT(M29:M155,N29:N155)</f>
        <v>20</v>
      </c>
      <c r="J156" s="146"/>
      <c r="K156" s="112"/>
      <c r="L156" s="112"/>
      <c r="M156" s="112"/>
      <c r="N156" s="112"/>
      <c r="O156" s="144"/>
      <c r="P156" s="4"/>
      <c r="Q156" s="4"/>
      <c r="R156" s="4"/>
      <c r="S156" s="4"/>
      <c r="T156" s="4"/>
      <c r="U156" s="4"/>
      <c r="V156" s="4"/>
      <c r="W156" s="4"/>
      <c r="X156" s="4"/>
      <c r="Y156" s="4"/>
      <c r="Z156" s="4"/>
      <c r="AA156" s="4"/>
    </row>
    <row r="157" spans="1:27" ht="15" customHeight="1" x14ac:dyDescent="0.25">
      <c r="A157" s="138" t="s">
        <v>61</v>
      </c>
      <c r="B157" s="412" t="s">
        <v>892</v>
      </c>
      <c r="C157" s="437"/>
      <c r="D157" s="437"/>
      <c r="E157" s="437"/>
      <c r="F157" s="437"/>
      <c r="G157" s="437"/>
      <c r="H157" s="437"/>
      <c r="I157" s="437"/>
      <c r="J157" s="438"/>
      <c r="K157" s="147"/>
      <c r="L157" s="103"/>
      <c r="M157" s="103"/>
      <c r="N157" s="103"/>
      <c r="O157" s="4"/>
      <c r="P157" s="4"/>
      <c r="Q157" s="4"/>
      <c r="R157" s="4"/>
      <c r="S157" s="4"/>
      <c r="T157" s="4"/>
      <c r="U157" s="4"/>
      <c r="V157" s="4"/>
      <c r="W157" s="4"/>
      <c r="X157" s="4"/>
      <c r="Y157" s="4"/>
      <c r="Z157" s="4"/>
      <c r="AA157" s="4"/>
    </row>
    <row r="158" spans="1:27" ht="15" customHeight="1" x14ac:dyDescent="0.25">
      <c r="A158" s="695">
        <v>1</v>
      </c>
      <c r="B158" s="413" t="s">
        <v>859</v>
      </c>
      <c r="C158" s="416"/>
      <c r="D158" s="692"/>
      <c r="E158" s="684" t="s">
        <v>26</v>
      </c>
      <c r="F158" s="684" t="str">
        <f>M158</f>
        <v>rumus</v>
      </c>
      <c r="G158" s="684" t="str">
        <f>IF(N158&lt;&gt;"rumus",M158&amp;" x "&amp;N158&amp;" = "&amp;M158*N158,"rumus")</f>
        <v>rumus</v>
      </c>
      <c r="H158" s="683">
        <f>O158</f>
        <v>0</v>
      </c>
      <c r="I158" s="684"/>
      <c r="J158" s="684" t="s">
        <v>26</v>
      </c>
      <c r="K158" s="688"/>
      <c r="L158" s="688"/>
      <c r="M158" s="689" t="str">
        <f>IF(K158="1 Penulis",100%,IF(K158="2 Penulis (ke-1)",50%,IF(K158="2 Penulis (ke-2)",50%,IF(K158="3 Penulis (ke-1)",33.3%,IF(K158="3 Penulis (ke-2)",33.3%,IF(K158="3 Penulis (ke-3)",33.3%,IF(K158="4 Penulis (ke-1)",25%,IF(K158="4 Penulis (ke-2)",25%,IF(K158="4 Penulis (ke-3)",25%,IF(K158="4 Penulis (ke-4)",25%,"rumus"))))))))))</f>
        <v>rumus</v>
      </c>
      <c r="N158" s="689" t="str">
        <f>IF(L158="Menerjemahkan/menyadur BUKU ILMIAH persemester",15,"rumus")</f>
        <v>rumus</v>
      </c>
      <c r="O158" s="4"/>
      <c r="P158" s="4"/>
      <c r="Q158" s="4"/>
      <c r="R158" s="4"/>
      <c r="S158" s="4"/>
      <c r="T158" s="4"/>
      <c r="U158" s="4"/>
      <c r="V158" s="4"/>
      <c r="W158" s="4"/>
      <c r="X158" s="4"/>
      <c r="Y158" s="4"/>
      <c r="Z158" s="4"/>
      <c r="AA158" s="4"/>
    </row>
    <row r="159" spans="1:27" ht="51" customHeight="1" x14ac:dyDescent="0.25">
      <c r="A159" s="631"/>
      <c r="B159" s="413" t="s">
        <v>864</v>
      </c>
      <c r="C159" s="416"/>
      <c r="D159" s="631"/>
      <c r="E159" s="631"/>
      <c r="F159" s="631"/>
      <c r="G159" s="631"/>
      <c r="H159" s="631"/>
      <c r="I159" s="631"/>
      <c r="J159" s="631"/>
      <c r="K159" s="631"/>
      <c r="L159" s="631"/>
      <c r="M159" s="631"/>
      <c r="N159" s="631"/>
      <c r="O159" s="4"/>
      <c r="P159" s="4"/>
      <c r="Q159" s="4"/>
      <c r="R159" s="4"/>
      <c r="S159" s="4"/>
      <c r="T159" s="4"/>
      <c r="U159" s="4"/>
      <c r="V159" s="4"/>
      <c r="W159" s="4"/>
      <c r="X159" s="4"/>
      <c r="Y159" s="4"/>
      <c r="Z159" s="4"/>
      <c r="AA159" s="4"/>
    </row>
    <row r="160" spans="1:27" ht="15" customHeight="1" x14ac:dyDescent="0.25">
      <c r="A160" s="695">
        <v>2</v>
      </c>
      <c r="B160" s="413" t="s">
        <v>859</v>
      </c>
      <c r="C160" s="416"/>
      <c r="D160" s="692"/>
      <c r="E160" s="684" t="s">
        <v>26</v>
      </c>
      <c r="F160" s="684" t="str">
        <f>M160</f>
        <v>rumus</v>
      </c>
      <c r="G160" s="684" t="str">
        <f>IF(N160&lt;&gt;"rumus",M160&amp;" x "&amp;N160&amp;" = "&amp;M160*N160,"rumus")</f>
        <v>rumus</v>
      </c>
      <c r="H160" s="683">
        <f>O160</f>
        <v>0</v>
      </c>
      <c r="I160" s="684"/>
      <c r="J160" s="684" t="s">
        <v>26</v>
      </c>
      <c r="K160" s="688"/>
      <c r="L160" s="688"/>
      <c r="M160" s="689" t="str">
        <f>IF(K160="1 Penulis",100%,IF(K160="2 Penulis (ke-1)",50%,IF(K160="2 Penulis (ke-2)",50%,IF(K160="3 Penulis (ke-1)",33.3%,IF(K160="3 Penulis (ke-2)",33.3%,IF(K160="3 Penulis (ke-3)",33.3%,IF(K160="4 Penulis (ke-1)",25%,IF(K160="4 Penulis (ke-2)",25%,IF(K160="4 Penulis (ke-3)",25%,IF(K160="4 Penulis (ke-4)",25%,"rumus"))))))))))</f>
        <v>rumus</v>
      </c>
      <c r="N160" s="689" t="str">
        <f>IF(L160="Menerjemahkan/menyadur BUKU ILMIAH persemester",15,"rumus")</f>
        <v>rumus</v>
      </c>
      <c r="O160" s="4"/>
      <c r="P160" s="4"/>
      <c r="Q160" s="4"/>
      <c r="R160" s="4"/>
      <c r="S160" s="4"/>
      <c r="T160" s="4"/>
      <c r="U160" s="4"/>
      <c r="V160" s="4"/>
      <c r="W160" s="4"/>
      <c r="X160" s="4"/>
      <c r="Y160" s="4"/>
      <c r="Z160" s="4"/>
      <c r="AA160" s="4"/>
    </row>
    <row r="161" spans="1:27" ht="51" customHeight="1" x14ac:dyDescent="0.25">
      <c r="A161" s="631"/>
      <c r="B161" s="413" t="s">
        <v>864</v>
      </c>
      <c r="C161" s="416"/>
      <c r="D161" s="631"/>
      <c r="E161" s="631"/>
      <c r="F161" s="631"/>
      <c r="G161" s="631"/>
      <c r="H161" s="631"/>
      <c r="I161" s="631"/>
      <c r="J161" s="631"/>
      <c r="K161" s="631"/>
      <c r="L161" s="631"/>
      <c r="M161" s="631"/>
      <c r="N161" s="631"/>
      <c r="O161" s="4"/>
      <c r="P161" s="4"/>
      <c r="Q161" s="4"/>
      <c r="R161" s="4"/>
      <c r="S161" s="4"/>
      <c r="T161" s="4"/>
      <c r="U161" s="4"/>
      <c r="V161" s="4"/>
      <c r="W161" s="4"/>
      <c r="X161" s="4"/>
      <c r="Y161" s="4"/>
      <c r="Z161" s="4"/>
      <c r="AA161" s="4"/>
    </row>
    <row r="162" spans="1:27" ht="15.75" customHeight="1" x14ac:dyDescent="0.25">
      <c r="A162" s="443"/>
      <c r="B162" s="614" t="s">
        <v>304</v>
      </c>
      <c r="C162" s="615"/>
      <c r="D162" s="615"/>
      <c r="E162" s="615"/>
      <c r="F162" s="615"/>
      <c r="G162" s="615"/>
      <c r="H162" s="616"/>
      <c r="I162" s="145">
        <f>SUMPRODUCT(M158:M161,N158:N161)</f>
        <v>0</v>
      </c>
      <c r="J162" s="148"/>
      <c r="K162" s="112"/>
      <c r="L162" s="112"/>
      <c r="M162" s="112"/>
      <c r="N162" s="112"/>
      <c r="O162" s="144"/>
      <c r="P162" s="4"/>
      <c r="Q162" s="4"/>
      <c r="R162" s="4"/>
      <c r="S162" s="4"/>
      <c r="T162" s="4"/>
      <c r="U162" s="4"/>
      <c r="V162" s="4"/>
      <c r="W162" s="4"/>
      <c r="X162" s="4"/>
      <c r="Y162" s="4"/>
      <c r="Z162" s="4"/>
      <c r="AA162" s="4"/>
    </row>
    <row r="163" spans="1:27" ht="15" customHeight="1" x14ac:dyDescent="0.25">
      <c r="A163" s="138" t="s">
        <v>70</v>
      </c>
      <c r="B163" s="414" t="s">
        <v>893</v>
      </c>
      <c r="C163" s="444"/>
      <c r="D163" s="444"/>
      <c r="E163" s="444"/>
      <c r="F163" s="444"/>
      <c r="G163" s="444"/>
      <c r="H163" s="444"/>
      <c r="I163" s="444"/>
      <c r="J163" s="442"/>
      <c r="K163" s="147"/>
      <c r="L163" s="103"/>
      <c r="M163" s="103"/>
      <c r="N163" s="103"/>
      <c r="O163" s="4"/>
      <c r="P163" s="4"/>
      <c r="Q163" s="4"/>
      <c r="R163" s="4"/>
      <c r="S163" s="4"/>
      <c r="T163" s="4"/>
      <c r="U163" s="4"/>
      <c r="V163" s="4"/>
      <c r="W163" s="4"/>
      <c r="X163" s="4"/>
      <c r="Y163" s="4"/>
      <c r="Z163" s="4"/>
      <c r="AA163" s="4"/>
    </row>
    <row r="164" spans="1:27" ht="15" customHeight="1" x14ac:dyDescent="0.25">
      <c r="A164" s="695">
        <v>1</v>
      </c>
      <c r="B164" s="413" t="s">
        <v>859</v>
      </c>
      <c r="C164" s="416"/>
      <c r="D164" s="690"/>
      <c r="E164" s="684" t="s">
        <v>26</v>
      </c>
      <c r="F164" s="684" t="str">
        <f>M164</f>
        <v>rumus</v>
      </c>
      <c r="G164" s="684" t="str">
        <f>IF(N164&lt;&gt;"rumus",M164&amp;" x "&amp;N164&amp;" = "&amp;M164*N164,"rumus")</f>
        <v>rumus</v>
      </c>
      <c r="H164" s="683">
        <f>O164</f>
        <v>0</v>
      </c>
      <c r="I164" s="684"/>
      <c r="J164" s="684" t="s">
        <v>26</v>
      </c>
      <c r="K164" s="688"/>
      <c r="L164" s="688"/>
      <c r="M164" s="689" t="str">
        <f>IF(K164="1 Penulis",100%,IF(K164="2 Penulis (ke-1)",50%,IF(K164="2 Penulis (ke-2)",50%,IF(K164="3 Penulis (ke-1)",33.3%,IF(K164="3 Penulis (ke-2)",33.3%,IF(K164="3 Penulis (ke-3)",33.3%,IF(K164="4 Penulis (ke-1)",25%,IF(K164="4 Penulis (ke-2)",25%,IF(K164="4 Penulis (ke-3)",25%,IF(K164="4 Penulis (ke-4)",25%,"rumus"))))))))))</f>
        <v>rumus</v>
      </c>
      <c r="N164" s="689" t="str">
        <f>IF(L164="Mengedit/menyunting karya ilmiah persemester",10,"rumus")</f>
        <v>rumus</v>
      </c>
      <c r="O164" s="4"/>
      <c r="P164" s="4"/>
      <c r="Q164" s="4"/>
      <c r="R164" s="4"/>
      <c r="S164" s="4"/>
      <c r="T164" s="4"/>
      <c r="U164" s="4"/>
      <c r="V164" s="4"/>
      <c r="W164" s="4"/>
      <c r="X164" s="4"/>
      <c r="Y164" s="4"/>
      <c r="Z164" s="4"/>
      <c r="AA164" s="4"/>
    </row>
    <row r="165" spans="1:27" ht="51" customHeight="1" x14ac:dyDescent="0.25">
      <c r="A165" s="631"/>
      <c r="B165" s="413" t="s">
        <v>864</v>
      </c>
      <c r="C165" s="416"/>
      <c r="D165" s="631"/>
      <c r="E165" s="631"/>
      <c r="F165" s="631"/>
      <c r="G165" s="631"/>
      <c r="H165" s="631"/>
      <c r="I165" s="631"/>
      <c r="J165" s="631"/>
      <c r="K165" s="631"/>
      <c r="L165" s="631"/>
      <c r="M165" s="631"/>
      <c r="N165" s="631"/>
      <c r="O165" s="4"/>
      <c r="P165" s="4"/>
      <c r="Q165" s="4"/>
      <c r="R165" s="4"/>
      <c r="S165" s="4"/>
      <c r="T165" s="4"/>
      <c r="U165" s="4"/>
      <c r="V165" s="4"/>
      <c r="W165" s="4"/>
      <c r="X165" s="4"/>
      <c r="Y165" s="4"/>
      <c r="Z165" s="4"/>
      <c r="AA165" s="4"/>
    </row>
    <row r="166" spans="1:27" ht="15" customHeight="1" x14ac:dyDescent="0.25">
      <c r="A166" s="695">
        <v>1</v>
      </c>
      <c r="B166" s="413" t="s">
        <v>859</v>
      </c>
      <c r="C166" s="416"/>
      <c r="D166" s="690"/>
      <c r="E166" s="684" t="s">
        <v>26</v>
      </c>
      <c r="F166" s="684" t="str">
        <f>M166</f>
        <v>rumus</v>
      </c>
      <c r="G166" s="684" t="str">
        <f>IF(N166&lt;&gt;"rumus",M166&amp;" x "&amp;N166&amp;" = "&amp;M166*N166,"rumus")</f>
        <v>rumus</v>
      </c>
      <c r="H166" s="683">
        <f>O166</f>
        <v>0</v>
      </c>
      <c r="I166" s="684"/>
      <c r="J166" s="684" t="s">
        <v>26</v>
      </c>
      <c r="K166" s="688"/>
      <c r="L166" s="688"/>
      <c r="M166" s="689" t="str">
        <f>IF(K166="1 Penulis",100%,IF(K166="2 Penulis (ke-1)",50%,IF(K166="2 Penulis (ke-2)",50%,IF(K166="3 Penulis (ke-1)",33.3%,IF(K166="3 Penulis (ke-2)",33.3%,IF(K166="3 Penulis (ke-3)",33.3%,IF(K166="4 Penulis (ke-1)",25%,IF(K166="4 Penulis (ke-2)",25%,IF(K166="4 Penulis (ke-3)",25%,IF(K166="4 Penulis (ke-4)",25%,"rumus"))))))))))</f>
        <v>rumus</v>
      </c>
      <c r="N166" s="689" t="str">
        <f>IF(L166="Mengedit/menyunting karya ilmiah persemester",10,"rumus")</f>
        <v>rumus</v>
      </c>
      <c r="O166" s="4"/>
      <c r="P166" s="4"/>
      <c r="Q166" s="4"/>
      <c r="R166" s="4"/>
      <c r="S166" s="4"/>
      <c r="T166" s="4"/>
      <c r="U166" s="4"/>
      <c r="V166" s="4"/>
      <c r="W166" s="4"/>
      <c r="X166" s="4"/>
      <c r="Y166" s="4"/>
      <c r="Z166" s="4"/>
      <c r="AA166" s="4"/>
    </row>
    <row r="167" spans="1:27" ht="51" customHeight="1" x14ac:dyDescent="0.25">
      <c r="A167" s="631"/>
      <c r="B167" s="413" t="s">
        <v>864</v>
      </c>
      <c r="C167" s="416"/>
      <c r="D167" s="631"/>
      <c r="E167" s="631"/>
      <c r="F167" s="631"/>
      <c r="G167" s="631"/>
      <c r="H167" s="631"/>
      <c r="I167" s="631"/>
      <c r="J167" s="631"/>
      <c r="K167" s="631"/>
      <c r="L167" s="631"/>
      <c r="M167" s="631"/>
      <c r="N167" s="631"/>
      <c r="O167" s="4"/>
      <c r="P167" s="4"/>
      <c r="Q167" s="4"/>
      <c r="R167" s="4"/>
      <c r="S167" s="4"/>
      <c r="T167" s="4"/>
      <c r="U167" s="4"/>
      <c r="V167" s="4"/>
      <c r="W167" s="4"/>
      <c r="X167" s="4"/>
      <c r="Y167" s="4"/>
      <c r="Z167" s="4"/>
      <c r="AA167" s="4"/>
    </row>
    <row r="168" spans="1:27" ht="15.75" customHeight="1" x14ac:dyDescent="0.25">
      <c r="A168" s="443"/>
      <c r="B168" s="614" t="s">
        <v>304</v>
      </c>
      <c r="C168" s="615"/>
      <c r="D168" s="615"/>
      <c r="E168" s="615"/>
      <c r="F168" s="615"/>
      <c r="G168" s="615"/>
      <c r="H168" s="616"/>
      <c r="I168" s="145">
        <f>SUMPRODUCT(M164:M167,N164:N167)</f>
        <v>0</v>
      </c>
      <c r="J168" s="148"/>
      <c r="K168" s="112"/>
      <c r="L168" s="112"/>
      <c r="M168" s="112"/>
      <c r="N168" s="112"/>
      <c r="O168" s="144"/>
      <c r="P168" s="4"/>
      <c r="Q168" s="4"/>
      <c r="R168" s="4"/>
      <c r="S168" s="4"/>
      <c r="T168" s="4"/>
      <c r="U168" s="4"/>
      <c r="V168" s="4"/>
      <c r="W168" s="4"/>
      <c r="X168" s="4"/>
      <c r="Y168" s="4"/>
      <c r="Z168" s="4"/>
      <c r="AA168" s="4"/>
    </row>
    <row r="169" spans="1:27" ht="15" customHeight="1" x14ac:dyDescent="0.25">
      <c r="A169" s="138" t="s">
        <v>73</v>
      </c>
      <c r="B169" s="414" t="s">
        <v>894</v>
      </c>
      <c r="C169" s="415"/>
      <c r="D169" s="415"/>
      <c r="E169" s="415"/>
      <c r="F169" s="415"/>
      <c r="G169" s="415"/>
      <c r="H169" s="415"/>
      <c r="I169" s="415"/>
      <c r="J169" s="416"/>
      <c r="K169" s="149"/>
      <c r="L169" s="103"/>
      <c r="M169" s="103"/>
      <c r="N169" s="103"/>
      <c r="O169" s="4"/>
      <c r="P169" s="4"/>
      <c r="Q169" s="4"/>
      <c r="R169" s="4"/>
      <c r="S169" s="4"/>
      <c r="T169" s="4"/>
      <c r="U169" s="4"/>
      <c r="V169" s="4"/>
      <c r="W169" s="4"/>
      <c r="X169" s="4"/>
      <c r="Y169" s="4"/>
      <c r="Z169" s="4"/>
      <c r="AA169" s="4"/>
    </row>
    <row r="170" spans="1:27" ht="15" customHeight="1" x14ac:dyDescent="0.25">
      <c r="A170" s="695">
        <v>1</v>
      </c>
      <c r="B170" s="580" t="s">
        <v>859</v>
      </c>
      <c r="C170" s="581" t="s">
        <v>895</v>
      </c>
      <c r="D170" s="690"/>
      <c r="E170" s="684" t="s">
        <v>26</v>
      </c>
      <c r="F170" s="684">
        <f>M170</f>
        <v>0.25</v>
      </c>
      <c r="G170" s="684" t="str">
        <f>IF(N170&lt;&gt;"rumus",M170&amp;" x "&amp;N170&amp;" = "&amp;M170*N170,"rumus")</f>
        <v>0.25 x 15 = 3.75</v>
      </c>
      <c r="H170" s="683">
        <f>O170</f>
        <v>3.75</v>
      </c>
      <c r="I170" s="684"/>
      <c r="J170" s="684" t="s">
        <v>26</v>
      </c>
      <c r="K170" s="685" t="s">
        <v>896</v>
      </c>
      <c r="L170" s="685" t="s">
        <v>897</v>
      </c>
      <c r="M170" s="689">
        <f>IF(K170="1 Penulis",100%,IF(K170="2 Penulis (ke-1)",50%,IF(K170="2 Penulis (ke-2)",50%,IF(K170="3 Penulis (ke-1)",33.3%,IF(K170="3 Penulis (ke-2)",33.3%,IF(K170="3 Penulis (ke-3)",33.3%,IF(K170="4 Penulis (ke-1)",25%,IF(K170="4 Penulis (ke-2)",25%,IF(K170="4 Penulis (ke-3)",25%,IF(K170="4 Penulis (ke-4)",25%,"rumus"))))))))))</f>
        <v>0.25</v>
      </c>
      <c r="N170" s="689">
        <f>IF(L170="a.internasional yang sudah diimplementasikan di industri (diakui minimal 4 negara)",60,IF(L170="b.internasional (diakui minimal 4 negara)",50,IF(L170="c.nasional (sudah diimplementasikan di industri)",40,IF(L170="d.nasional",30,IF(L170="e.nasional dalam bentuk paten sederhana",20,IF(L170="f.karya ciptaan, desain industri, indikasi geografis yang memiliki sertifikat dari Dirjen Kekayaan Intelektual kemenkunham",15,"rumus"))))))</f>
        <v>15</v>
      </c>
      <c r="O170" s="687">
        <f>M170*N170</f>
        <v>3.75</v>
      </c>
      <c r="P170" s="618" t="str">
        <f>IF(L170="a.Internasional","D.1",IF(L170="b.Nasional","D.2",""))</f>
        <v/>
      </c>
      <c r="R170" s="4"/>
      <c r="S170" s="4"/>
      <c r="T170" s="4"/>
      <c r="U170" s="4"/>
      <c r="V170" s="4"/>
      <c r="W170" s="4"/>
      <c r="X170" s="4"/>
      <c r="Y170" s="4"/>
      <c r="Z170" s="4"/>
      <c r="AA170" s="4"/>
    </row>
    <row r="171" spans="1:27" ht="51" customHeight="1" x14ac:dyDescent="0.25">
      <c r="A171" s="631"/>
      <c r="B171" s="571" t="s">
        <v>898</v>
      </c>
      <c r="C171" s="585" t="s">
        <v>899</v>
      </c>
      <c r="D171" s="631"/>
      <c r="E171" s="631"/>
      <c r="F171" s="631"/>
      <c r="G171" s="631"/>
      <c r="H171" s="631"/>
      <c r="I171" s="631"/>
      <c r="J171" s="631"/>
      <c r="K171" s="686"/>
      <c r="L171" s="686"/>
      <c r="M171" s="631"/>
      <c r="N171" s="631"/>
      <c r="O171" s="635"/>
      <c r="P171" s="613"/>
      <c r="R171" s="4"/>
      <c r="S171" s="4"/>
      <c r="T171" s="4"/>
      <c r="U171" s="4"/>
      <c r="V171" s="4"/>
      <c r="W171" s="4"/>
      <c r="X171" s="4"/>
      <c r="Y171" s="4"/>
      <c r="Z171" s="4"/>
      <c r="AA171" s="4"/>
    </row>
    <row r="172" spans="1:27" ht="15" customHeight="1" x14ac:dyDescent="0.25">
      <c r="A172" s="695">
        <v>2</v>
      </c>
      <c r="B172" s="582" t="s">
        <v>859</v>
      </c>
      <c r="C172" s="585" t="s">
        <v>900</v>
      </c>
      <c r="D172" s="690"/>
      <c r="E172" s="684" t="s">
        <v>26</v>
      </c>
      <c r="F172" s="684">
        <f>M172</f>
        <v>0.25</v>
      </c>
      <c r="G172" s="684" t="str">
        <f>IF(N172&lt;&gt;"rumus",M172&amp;" x "&amp;N172&amp;" = "&amp;M172*N172,"rumus")</f>
        <v>0.25 x 15 = 3.75</v>
      </c>
      <c r="H172" s="683">
        <f>O172</f>
        <v>3.75</v>
      </c>
      <c r="I172" s="684"/>
      <c r="J172" s="684" t="s">
        <v>26</v>
      </c>
      <c r="K172" s="691" t="s">
        <v>901</v>
      </c>
      <c r="L172" s="691" t="s">
        <v>897</v>
      </c>
      <c r="M172" s="689">
        <f>IF(K172="1 Penulis",100%,IF(K172="2 Penulis (ke-1)",50%,IF(K172="2 Penulis (ke-2)",50%,IF(K172="3 Penulis (ke-1)",33.3%,IF(K172="3 Penulis (ke-2)",33.3%,IF(K172="3 Penulis (ke-3)",33.3%,IF(K172="4 Penulis (ke-1)",25%,IF(K172="4 Penulis (ke-2)",25%,IF(K172="4 Penulis (ke-3)",25%,IF(K172="4 Penulis (ke-4)",25%,"rumus"))))))))))</f>
        <v>0.25</v>
      </c>
      <c r="N172" s="689">
        <f>IF(L172="a.internasional yang sudah diimplementasikan di industri (diakui minimal 4 negara)",60,IF(L172="b.internasional (diakui minimal 4 negara)",50,IF(L172="c.nasional (sudah diimplementasikan di industri)",40,IF(L172="d.nasional",30,IF(L172="e.nasional dalam bentuk paten sederhana",20,IF(L172="f.karya ciptaan, desain industri, indikasi geografis yang memiliki sertifikat dari Dirjen Kekayaan Intelektual kemenkunham",15,"rumus"))))))</f>
        <v>15</v>
      </c>
      <c r="O172" s="687">
        <f>M172*N172</f>
        <v>3.75</v>
      </c>
      <c r="P172" s="618" t="str">
        <f>IF(L172="a.Internasional","D.1",IF(L172="b.Nasional","D.2",""))</f>
        <v/>
      </c>
      <c r="R172" s="4"/>
      <c r="S172" s="4"/>
      <c r="T172" s="4"/>
      <c r="U172" s="4"/>
      <c r="V172" s="4"/>
      <c r="W172" s="4"/>
      <c r="X172" s="4"/>
      <c r="Y172" s="4"/>
      <c r="Z172" s="4"/>
      <c r="AA172" s="4"/>
    </row>
    <row r="173" spans="1:27" ht="51" customHeight="1" x14ac:dyDescent="0.25">
      <c r="A173" s="631"/>
      <c r="B173" s="571" t="s">
        <v>898</v>
      </c>
      <c r="C173" s="585" t="s">
        <v>902</v>
      </c>
      <c r="D173" s="631"/>
      <c r="E173" s="631"/>
      <c r="F173" s="631"/>
      <c r="G173" s="631"/>
      <c r="H173" s="631"/>
      <c r="I173" s="631"/>
      <c r="J173" s="631"/>
      <c r="K173" s="686"/>
      <c r="L173" s="686"/>
      <c r="M173" s="631"/>
      <c r="N173" s="631"/>
      <c r="O173" s="635"/>
      <c r="P173" s="613"/>
      <c r="R173" s="4"/>
      <c r="S173" s="4"/>
      <c r="T173" s="4"/>
      <c r="U173" s="4"/>
      <c r="V173" s="4"/>
      <c r="W173" s="4"/>
      <c r="X173" s="4"/>
      <c r="Y173" s="4"/>
      <c r="Z173" s="4"/>
      <c r="AA173" s="4"/>
    </row>
    <row r="174" spans="1:27" ht="15" customHeight="1" x14ac:dyDescent="0.25">
      <c r="A174" s="695">
        <v>2</v>
      </c>
      <c r="B174" s="582" t="s">
        <v>859</v>
      </c>
      <c r="C174" s="585" t="s">
        <v>903</v>
      </c>
      <c r="D174" s="690"/>
      <c r="E174" s="684" t="s">
        <v>26</v>
      </c>
      <c r="F174" s="684">
        <f>M174</f>
        <v>0.25</v>
      </c>
      <c r="G174" s="684" t="str">
        <f>IF(N174&lt;&gt;"rumus",M174&amp;" x "&amp;N174&amp;" = "&amp;M174*N174,"rumus")</f>
        <v>0.25 x 15 = 3.75</v>
      </c>
      <c r="H174" s="683">
        <f>O174</f>
        <v>3.75</v>
      </c>
      <c r="I174" s="684"/>
      <c r="J174" s="684" t="s">
        <v>26</v>
      </c>
      <c r="K174" s="691" t="s">
        <v>901</v>
      </c>
      <c r="L174" s="691" t="s">
        <v>897</v>
      </c>
      <c r="M174" s="689">
        <f>IF(K174="1 Penulis",100%,IF(K174="2 Penulis (ke-1)",50%,IF(K174="2 Penulis (ke-2)",50%,IF(K174="3 Penulis (ke-1)",33.3%,IF(K174="3 Penulis (ke-2)",33.3%,IF(K174="3 Penulis (ke-3)",33.3%,IF(K174="4 Penulis (ke-1)",25%,IF(K174="4 Penulis (ke-2)",25%,IF(K174="4 Penulis (ke-3)",25%,IF(K174="4 Penulis (ke-4)",25%,"rumus"))))))))))</f>
        <v>0.25</v>
      </c>
      <c r="N174" s="689">
        <f>IF(L174="a.internasional yang sudah diimplementasikan di industri (diakui minimal 4 negara)",60,IF(L174="b.internasional (diakui minimal 4 negara)",50,IF(L174="c.nasional (sudah diimplementasikan di industri)",40,IF(L174="d.nasional",30,IF(L174="e.nasional dalam bentuk paten sederhana",20,IF(L174="f.karya ciptaan, desain industri, indikasi geografis yang memiliki sertifikat dari Dirjen Kekayaan Intelektual kemenkunham",15,"rumus"))))))</f>
        <v>15</v>
      </c>
      <c r="O174" s="687">
        <f>M174*N174</f>
        <v>3.75</v>
      </c>
      <c r="P174" s="618" t="str">
        <f>IF(L174="a.Internasional","D.1",IF(L174="b.Nasional","D.2",""))</f>
        <v/>
      </c>
      <c r="R174" s="4"/>
      <c r="S174" s="4"/>
      <c r="T174" s="4"/>
      <c r="U174" s="4"/>
      <c r="V174" s="4"/>
      <c r="W174" s="4"/>
      <c r="X174" s="4"/>
      <c r="Y174" s="4"/>
      <c r="Z174" s="4"/>
      <c r="AA174" s="4"/>
    </row>
    <row r="175" spans="1:27" ht="51" customHeight="1" x14ac:dyDescent="0.25">
      <c r="A175" s="631"/>
      <c r="B175" s="571" t="s">
        <v>898</v>
      </c>
      <c r="C175" s="585" t="s">
        <v>879</v>
      </c>
      <c r="D175" s="631"/>
      <c r="E175" s="631"/>
      <c r="F175" s="631"/>
      <c r="G175" s="631"/>
      <c r="H175" s="631"/>
      <c r="I175" s="631"/>
      <c r="J175" s="631"/>
      <c r="K175" s="686"/>
      <c r="L175" s="686"/>
      <c r="M175" s="631"/>
      <c r="N175" s="631"/>
      <c r="O175" s="635"/>
      <c r="P175" s="613"/>
      <c r="R175" s="4"/>
      <c r="S175" s="4"/>
      <c r="T175" s="4"/>
      <c r="U175" s="4"/>
      <c r="V175" s="4"/>
      <c r="W175" s="4"/>
      <c r="X175" s="4"/>
      <c r="Y175" s="4"/>
      <c r="Z175" s="4"/>
      <c r="AA175" s="4"/>
    </row>
    <row r="176" spans="1:27" ht="15" customHeight="1" x14ac:dyDescent="0.25">
      <c r="A176" s="695">
        <v>2</v>
      </c>
      <c r="B176" s="582" t="s">
        <v>859</v>
      </c>
      <c r="C176" s="585" t="s">
        <v>904</v>
      </c>
      <c r="D176" s="690"/>
      <c r="E176" s="684" t="s">
        <v>26</v>
      </c>
      <c r="F176" s="684">
        <f>M176</f>
        <v>0.25</v>
      </c>
      <c r="G176" s="684" t="str">
        <f>IF(N176&lt;&gt;"rumus",M176&amp;" x "&amp;N176&amp;" = "&amp;M176*N176,"rumus")</f>
        <v>0.25 x 15 = 3.75</v>
      </c>
      <c r="H176" s="683">
        <f>O176</f>
        <v>3.75</v>
      </c>
      <c r="I176" s="684"/>
      <c r="J176" s="684" t="s">
        <v>26</v>
      </c>
      <c r="K176" s="691" t="s">
        <v>901</v>
      </c>
      <c r="L176" s="691" t="s">
        <v>897</v>
      </c>
      <c r="M176" s="689">
        <f>IF(K176="1 Penulis",100%,IF(K176="2 Penulis (ke-1)",50%,IF(K176="2 Penulis (ke-2)",50%,IF(K176="3 Penulis (ke-1)",33.3%,IF(K176="3 Penulis (ke-2)",33.3%,IF(K176="3 Penulis (ke-3)",33.3%,IF(K176="4 Penulis (ke-1)",25%,IF(K176="4 Penulis (ke-2)",25%,IF(K176="4 Penulis (ke-3)",25%,IF(K176="4 Penulis (ke-4)",25%,"rumus"))))))))))</f>
        <v>0.25</v>
      </c>
      <c r="N176" s="689">
        <f>IF(L176="a.internasional yang sudah diimplementasikan di industri (diakui minimal 4 negara)",60,IF(L176="b.internasional (diakui minimal 4 negara)",50,IF(L176="c.nasional (sudah diimplementasikan di industri)",40,IF(L176="d.nasional",30,IF(L176="e.nasional dalam bentuk paten sederhana",20,IF(L176="f.karya ciptaan, desain industri, indikasi geografis yang memiliki sertifikat dari Dirjen Kekayaan Intelektual kemenkunham",15,"rumus"))))))</f>
        <v>15</v>
      </c>
      <c r="O176" s="687">
        <f>M176*N176</f>
        <v>3.75</v>
      </c>
      <c r="P176" s="618" t="str">
        <f>IF(L176="a.Internasional","D.1",IF(L176="b.Nasional","D.2",""))</f>
        <v/>
      </c>
      <c r="R176" s="4"/>
      <c r="S176" s="4"/>
      <c r="T176" s="4"/>
      <c r="U176" s="4"/>
      <c r="V176" s="4"/>
      <c r="W176" s="4"/>
      <c r="X176" s="4"/>
      <c r="Y176" s="4"/>
      <c r="Z176" s="4"/>
      <c r="AA176" s="4"/>
    </row>
    <row r="177" spans="1:27" ht="51" customHeight="1" x14ac:dyDescent="0.25">
      <c r="A177" s="631"/>
      <c r="B177" s="571" t="s">
        <v>898</v>
      </c>
      <c r="C177" s="585" t="s">
        <v>879</v>
      </c>
      <c r="D177" s="631"/>
      <c r="E177" s="631"/>
      <c r="F177" s="631"/>
      <c r="G177" s="631"/>
      <c r="H177" s="631"/>
      <c r="I177" s="631"/>
      <c r="J177" s="631"/>
      <c r="K177" s="686"/>
      <c r="L177" s="686"/>
      <c r="M177" s="631"/>
      <c r="N177" s="631"/>
      <c r="O177" s="635"/>
      <c r="P177" s="613"/>
      <c r="R177" s="4"/>
      <c r="S177" s="4"/>
      <c r="T177" s="4"/>
      <c r="U177" s="4"/>
      <c r="V177" s="4"/>
      <c r="W177" s="4"/>
      <c r="X177" s="4"/>
      <c r="Y177" s="4"/>
      <c r="Z177" s="4"/>
      <c r="AA177" s="4"/>
    </row>
    <row r="178" spans="1:27" ht="15" customHeight="1" x14ac:dyDescent="0.25">
      <c r="A178" s="695">
        <v>2</v>
      </c>
      <c r="B178" s="582" t="s">
        <v>859</v>
      </c>
      <c r="C178" s="585" t="s">
        <v>905</v>
      </c>
      <c r="D178" s="690"/>
      <c r="E178" s="684" t="s">
        <v>26</v>
      </c>
      <c r="F178" s="684">
        <f>M178</f>
        <v>0.25</v>
      </c>
      <c r="G178" s="684" t="str">
        <f>IF(N178&lt;&gt;"rumus",M178&amp;" x "&amp;N178&amp;" = "&amp;M178*N178,"rumus")</f>
        <v>0.25 x 15 = 3.75</v>
      </c>
      <c r="H178" s="683">
        <f>O178</f>
        <v>3.75</v>
      </c>
      <c r="I178" s="684"/>
      <c r="J178" s="684" t="s">
        <v>26</v>
      </c>
      <c r="K178" s="691" t="s">
        <v>901</v>
      </c>
      <c r="L178" s="691" t="s">
        <v>897</v>
      </c>
      <c r="M178" s="689">
        <f>IF(K178="1 Penulis",100%,IF(K178="2 Penulis (ke-1)",50%,IF(K178="2 Penulis (ke-2)",50%,IF(K178="3 Penulis (ke-1)",33.3%,IF(K178="3 Penulis (ke-2)",33.3%,IF(K178="3 Penulis (ke-3)",33.3%,IF(K178="4 Penulis (ke-1)",25%,IF(K178="4 Penulis (ke-2)",25%,IF(K178="4 Penulis (ke-3)",25%,IF(K178="4 Penulis (ke-4)",25%,"rumus"))))))))))</f>
        <v>0.25</v>
      </c>
      <c r="N178" s="689">
        <f>IF(L178="a.internasional yang sudah diimplementasikan di industri (diakui minimal 4 negara)",60,IF(L178="b.internasional (diakui minimal 4 negara)",50,IF(L178="c.nasional (sudah diimplementasikan di industri)",40,IF(L178="d.nasional",30,IF(L178="e.nasional dalam bentuk paten sederhana",20,IF(L178="f.karya ciptaan, desain industri, indikasi geografis yang memiliki sertifikat dari Dirjen Kekayaan Intelektual kemenkunham",15,"rumus"))))))</f>
        <v>15</v>
      </c>
      <c r="O178" s="687">
        <f>M178*N178</f>
        <v>3.75</v>
      </c>
      <c r="P178" s="618" t="str">
        <f>IF(L178="a.Internasional","D.1",IF(L178="b.Nasional","D.2",""))</f>
        <v/>
      </c>
      <c r="R178" s="4"/>
      <c r="S178" s="4"/>
      <c r="T178" s="4"/>
      <c r="U178" s="4"/>
      <c r="V178" s="4"/>
      <c r="W178" s="4"/>
      <c r="X178" s="4"/>
      <c r="Y178" s="4"/>
      <c r="Z178" s="4"/>
      <c r="AA178" s="4"/>
    </row>
    <row r="179" spans="1:27" ht="51" customHeight="1" x14ac:dyDescent="0.25">
      <c r="A179" s="631"/>
      <c r="B179" s="571" t="s">
        <v>898</v>
      </c>
      <c r="C179" s="585" t="s">
        <v>879</v>
      </c>
      <c r="D179" s="631"/>
      <c r="E179" s="631"/>
      <c r="F179" s="631"/>
      <c r="G179" s="631"/>
      <c r="H179" s="631"/>
      <c r="I179" s="631"/>
      <c r="J179" s="631"/>
      <c r="K179" s="686"/>
      <c r="L179" s="686"/>
      <c r="M179" s="631"/>
      <c r="N179" s="631"/>
      <c r="O179" s="635"/>
      <c r="P179" s="613"/>
      <c r="R179" s="4"/>
      <c r="S179" s="4"/>
      <c r="T179" s="4"/>
      <c r="U179" s="4"/>
      <c r="V179" s="4"/>
      <c r="W179" s="4"/>
      <c r="X179" s="4"/>
      <c r="Y179" s="4"/>
      <c r="Z179" s="4"/>
      <c r="AA179" s="4"/>
    </row>
    <row r="180" spans="1:27" ht="15" customHeight="1" x14ac:dyDescent="0.25">
      <c r="A180" s="695">
        <v>2</v>
      </c>
      <c r="B180" s="582" t="s">
        <v>859</v>
      </c>
      <c r="C180" s="585" t="s">
        <v>906</v>
      </c>
      <c r="D180" s="690"/>
      <c r="E180" s="684" t="s">
        <v>26</v>
      </c>
      <c r="F180" s="684">
        <f>M180</f>
        <v>0.25</v>
      </c>
      <c r="G180" s="684" t="str">
        <f>IF(N180&lt;&gt;"rumus",M180&amp;" x "&amp;N180&amp;" = "&amp;M180*N180,"rumus")</f>
        <v>0.25 x 15 = 3.75</v>
      </c>
      <c r="H180" s="683">
        <f>O180</f>
        <v>3.75</v>
      </c>
      <c r="I180" s="684"/>
      <c r="J180" s="684" t="s">
        <v>26</v>
      </c>
      <c r="K180" s="691" t="s">
        <v>901</v>
      </c>
      <c r="L180" s="691" t="s">
        <v>897</v>
      </c>
      <c r="M180" s="689">
        <f>IF(K180="1 Penulis",100%,IF(K180="2 Penulis (ke-1)",50%,IF(K180="2 Penulis (ke-2)",50%,IF(K180="3 Penulis (ke-1)",33.3%,IF(K180="3 Penulis (ke-2)",33.3%,IF(K180="3 Penulis (ke-3)",33.3%,IF(K180="4 Penulis (ke-1)",25%,IF(K180="4 Penulis (ke-2)",25%,IF(K180="4 Penulis (ke-3)",25%,IF(K180="4 Penulis (ke-4)",25%,"rumus"))))))))))</f>
        <v>0.25</v>
      </c>
      <c r="N180" s="689">
        <f>IF(L180="a.internasional yang sudah diimplementasikan di industri (diakui minimal 4 negara)",60,IF(L180="b.internasional (diakui minimal 4 negara)",50,IF(L180="c.nasional (sudah diimplementasikan di industri)",40,IF(L180="d.nasional",30,IF(L180="e.nasional dalam bentuk paten sederhana",20,IF(L180="f.karya ciptaan, desain industri, indikasi geografis yang memiliki sertifikat dari Dirjen Kekayaan Intelektual kemenkunham",15,"rumus"))))))</f>
        <v>15</v>
      </c>
      <c r="O180" s="687">
        <f>M180*N180</f>
        <v>3.75</v>
      </c>
      <c r="P180" s="618" t="str">
        <f>IF(L180="a.Internasional","D.1",IF(L180="b.Nasional","D.2",""))</f>
        <v/>
      </c>
      <c r="R180" s="4"/>
      <c r="S180" s="4"/>
      <c r="T180" s="4"/>
      <c r="U180" s="4"/>
      <c r="V180" s="4"/>
      <c r="W180" s="4"/>
      <c r="X180" s="4"/>
      <c r="Y180" s="4"/>
      <c r="Z180" s="4"/>
      <c r="AA180" s="4"/>
    </row>
    <row r="181" spans="1:27" ht="51" customHeight="1" x14ac:dyDescent="0.25">
      <c r="A181" s="631"/>
      <c r="B181" s="571" t="s">
        <v>898</v>
      </c>
      <c r="C181" s="585" t="s">
        <v>879</v>
      </c>
      <c r="D181" s="631"/>
      <c r="E181" s="631"/>
      <c r="F181" s="631"/>
      <c r="G181" s="631"/>
      <c r="H181" s="631"/>
      <c r="I181" s="631"/>
      <c r="J181" s="631"/>
      <c r="K181" s="686"/>
      <c r="L181" s="686"/>
      <c r="M181" s="631"/>
      <c r="N181" s="631"/>
      <c r="O181" s="635"/>
      <c r="P181" s="613"/>
      <c r="R181" s="4"/>
      <c r="S181" s="4"/>
      <c r="T181" s="4"/>
      <c r="U181" s="4"/>
      <c r="V181" s="4"/>
      <c r="W181" s="4"/>
      <c r="X181" s="4"/>
      <c r="Y181" s="4"/>
      <c r="Z181" s="4"/>
      <c r="AA181" s="4"/>
    </row>
    <row r="182" spans="1:27" ht="15" customHeight="1" x14ac:dyDescent="0.25">
      <c r="A182" s="695">
        <v>2</v>
      </c>
      <c r="B182" s="582" t="s">
        <v>859</v>
      </c>
      <c r="C182" s="585" t="s">
        <v>907</v>
      </c>
      <c r="D182" s="690"/>
      <c r="E182" s="684" t="s">
        <v>26</v>
      </c>
      <c r="F182" s="684">
        <f>M182</f>
        <v>0.25</v>
      </c>
      <c r="G182" s="684" t="str">
        <f>IF(N182&lt;&gt;"rumus",M182&amp;" x "&amp;N182&amp;" = "&amp;M182*N182,"rumus")</f>
        <v>0.25 x 15 = 3.75</v>
      </c>
      <c r="H182" s="683">
        <f>O182</f>
        <v>3.75</v>
      </c>
      <c r="I182" s="684"/>
      <c r="J182" s="684" t="s">
        <v>26</v>
      </c>
      <c r="K182" s="691" t="s">
        <v>901</v>
      </c>
      <c r="L182" s="691" t="s">
        <v>897</v>
      </c>
      <c r="M182" s="689">
        <f>IF(K182="1 Penulis",100%,IF(K182="2 Penulis (ke-1)",50%,IF(K182="2 Penulis (ke-2)",50%,IF(K182="3 Penulis (ke-1)",33.3%,IF(K182="3 Penulis (ke-2)",33.3%,IF(K182="3 Penulis (ke-3)",33.3%,IF(K182="4 Penulis (ke-1)",25%,IF(K182="4 Penulis (ke-2)",25%,IF(K182="4 Penulis (ke-3)",25%,IF(K182="4 Penulis (ke-4)",25%,"rumus"))))))))))</f>
        <v>0.25</v>
      </c>
      <c r="N182" s="689">
        <f>IF(L182="a.internasional yang sudah diimplementasikan di industri (diakui minimal 4 negara)",60,IF(L182="b.internasional (diakui minimal 4 negara)",50,IF(L182="c.nasional (sudah diimplementasikan di industri)",40,IF(L182="d.nasional",30,IF(L182="e.nasional dalam bentuk paten sederhana",20,IF(L182="f.karya ciptaan, desain industri, indikasi geografis yang memiliki sertifikat dari Dirjen Kekayaan Intelektual kemenkunham",15,"rumus"))))))</f>
        <v>15</v>
      </c>
      <c r="O182" s="687">
        <f>M182*N182</f>
        <v>3.75</v>
      </c>
      <c r="P182" s="618" t="str">
        <f>IF(L182="a.Internasional","D.1",IF(L182="b.Nasional","D.2",""))</f>
        <v/>
      </c>
      <c r="R182" s="4"/>
      <c r="S182" s="4"/>
      <c r="T182" s="4"/>
      <c r="U182" s="4"/>
      <c r="V182" s="4"/>
      <c r="W182" s="4"/>
      <c r="X182" s="4"/>
      <c r="Y182" s="4"/>
      <c r="Z182" s="4"/>
      <c r="AA182" s="4"/>
    </row>
    <row r="183" spans="1:27" ht="51" customHeight="1" x14ac:dyDescent="0.25">
      <c r="A183" s="631"/>
      <c r="B183" s="571" t="s">
        <v>898</v>
      </c>
      <c r="C183" s="585" t="s">
        <v>879</v>
      </c>
      <c r="D183" s="631"/>
      <c r="E183" s="631"/>
      <c r="F183" s="631"/>
      <c r="G183" s="631"/>
      <c r="H183" s="631"/>
      <c r="I183" s="631"/>
      <c r="J183" s="631"/>
      <c r="K183" s="686"/>
      <c r="L183" s="686"/>
      <c r="M183" s="631"/>
      <c r="N183" s="631"/>
      <c r="O183" s="635"/>
      <c r="P183" s="613"/>
      <c r="R183" s="4"/>
      <c r="S183" s="4"/>
      <c r="T183" s="4"/>
      <c r="U183" s="4"/>
      <c r="V183" s="4"/>
      <c r="W183" s="4"/>
      <c r="X183" s="4"/>
      <c r="Y183" s="4"/>
      <c r="Z183" s="4"/>
      <c r="AA183" s="4"/>
    </row>
    <row r="184" spans="1:27" ht="15" customHeight="1" x14ac:dyDescent="0.25">
      <c r="A184" s="695">
        <v>2</v>
      </c>
      <c r="B184" s="582" t="s">
        <v>859</v>
      </c>
      <c r="C184" s="585" t="s">
        <v>908</v>
      </c>
      <c r="D184" s="690"/>
      <c r="E184" s="684" t="s">
        <v>26</v>
      </c>
      <c r="F184" s="684">
        <f>M184</f>
        <v>0.25</v>
      </c>
      <c r="G184" s="684" t="str">
        <f>IF(N184&lt;&gt;"rumus",M184&amp;" x "&amp;N184&amp;" = "&amp;M184*N184,"rumus")</f>
        <v>0.25 x 15 = 3.75</v>
      </c>
      <c r="H184" s="683">
        <f>O184</f>
        <v>3.75</v>
      </c>
      <c r="I184" s="684"/>
      <c r="J184" s="684" t="s">
        <v>26</v>
      </c>
      <c r="K184" s="691" t="s">
        <v>901</v>
      </c>
      <c r="L184" s="691" t="s">
        <v>897</v>
      </c>
      <c r="M184" s="689">
        <f>IF(K184="1 Penulis",100%,IF(K184="2 Penulis (ke-1)",50%,IF(K184="2 Penulis (ke-2)",50%,IF(K184="3 Penulis (ke-1)",33.3%,IF(K184="3 Penulis (ke-2)",33.3%,IF(K184="3 Penulis (ke-3)",33.3%,IF(K184="4 Penulis (ke-1)",25%,IF(K184="4 Penulis (ke-2)",25%,IF(K184="4 Penulis (ke-3)",25%,IF(K184="4 Penulis (ke-4)",25%,"rumus"))))))))))</f>
        <v>0.25</v>
      </c>
      <c r="N184" s="689">
        <f>IF(L184="a.internasional yang sudah diimplementasikan di industri (diakui minimal 4 negara)",60,IF(L184="b.internasional (diakui minimal 4 negara)",50,IF(L184="c.nasional (sudah diimplementasikan di industri)",40,IF(L184="d.nasional",30,IF(L184="e.nasional dalam bentuk paten sederhana",20,IF(L184="f.karya ciptaan, desain industri, indikasi geografis yang memiliki sertifikat dari Dirjen Kekayaan Intelektual kemenkunham",15,"rumus"))))))</f>
        <v>15</v>
      </c>
      <c r="O184" s="687">
        <f>M184*N184</f>
        <v>3.75</v>
      </c>
      <c r="P184" s="618" t="str">
        <f>IF(L184="a.Internasional","D.1",IF(L184="b.Nasional","D.2",""))</f>
        <v/>
      </c>
      <c r="R184" s="4"/>
      <c r="S184" s="4"/>
      <c r="T184" s="4"/>
      <c r="U184" s="4"/>
      <c r="V184" s="4"/>
      <c r="W184" s="4"/>
      <c r="X184" s="4"/>
      <c r="Y184" s="4"/>
      <c r="Z184" s="4"/>
      <c r="AA184" s="4"/>
    </row>
    <row r="185" spans="1:27" ht="51" customHeight="1" x14ac:dyDescent="0.25">
      <c r="A185" s="631"/>
      <c r="B185" s="571" t="s">
        <v>898</v>
      </c>
      <c r="C185" s="585" t="s">
        <v>879</v>
      </c>
      <c r="D185" s="631"/>
      <c r="E185" s="631"/>
      <c r="F185" s="631"/>
      <c r="G185" s="631"/>
      <c r="H185" s="631"/>
      <c r="I185" s="631"/>
      <c r="J185" s="631"/>
      <c r="K185" s="686"/>
      <c r="L185" s="686"/>
      <c r="M185" s="631"/>
      <c r="N185" s="631"/>
      <c r="O185" s="635"/>
      <c r="P185" s="613"/>
      <c r="R185" s="4"/>
      <c r="S185" s="4"/>
      <c r="T185" s="4"/>
      <c r="U185" s="4"/>
      <c r="V185" s="4"/>
      <c r="W185" s="4"/>
      <c r="X185" s="4"/>
      <c r="Y185" s="4"/>
      <c r="Z185" s="4"/>
      <c r="AA185" s="4"/>
    </row>
    <row r="186" spans="1:27" ht="15" customHeight="1" x14ac:dyDescent="0.25">
      <c r="A186" s="695">
        <v>2</v>
      </c>
      <c r="B186" s="582" t="s">
        <v>859</v>
      </c>
      <c r="C186" s="585" t="s">
        <v>909</v>
      </c>
      <c r="D186" s="690"/>
      <c r="E186" s="684" t="s">
        <v>26</v>
      </c>
      <c r="F186" s="684">
        <f>M186</f>
        <v>0.25</v>
      </c>
      <c r="G186" s="684" t="str">
        <f>IF(N186&lt;&gt;"rumus",M186&amp;" x "&amp;N186&amp;" = "&amp;M186*N186,"rumus")</f>
        <v>0.25 x 15 = 3.75</v>
      </c>
      <c r="H186" s="683">
        <f>O186</f>
        <v>3.75</v>
      </c>
      <c r="I186" s="684"/>
      <c r="J186" s="684" t="s">
        <v>26</v>
      </c>
      <c r="K186" s="691" t="s">
        <v>901</v>
      </c>
      <c r="L186" s="691" t="s">
        <v>897</v>
      </c>
      <c r="M186" s="689">
        <f>IF(K186="1 Penulis",100%,IF(K186="2 Penulis (ke-1)",50%,IF(K186="2 Penulis (ke-2)",50%,IF(K186="3 Penulis (ke-1)",33.3%,IF(K186="3 Penulis (ke-2)",33.3%,IF(K186="3 Penulis (ke-3)",33.3%,IF(K186="4 Penulis (ke-1)",25%,IF(K186="4 Penulis (ke-2)",25%,IF(K186="4 Penulis (ke-3)",25%,IF(K186="4 Penulis (ke-4)",25%,"rumus"))))))))))</f>
        <v>0.25</v>
      </c>
      <c r="N186" s="689">
        <f>IF(L186="a.internasional yang sudah diimplementasikan di industri (diakui minimal 4 negara)",60,IF(L186="b.internasional (diakui minimal 4 negara)",50,IF(L186="c.nasional (sudah diimplementasikan di industri)",40,IF(L186="d.nasional",30,IF(L186="e.nasional dalam bentuk paten sederhana",20,IF(L186="f.karya ciptaan, desain industri, indikasi geografis yang memiliki sertifikat dari Dirjen Kekayaan Intelektual kemenkunham",15,"rumus"))))))</f>
        <v>15</v>
      </c>
      <c r="O186" s="687">
        <f>M186*N186</f>
        <v>3.75</v>
      </c>
      <c r="P186" s="618" t="str">
        <f>IF(L186="a.Internasional","D.1",IF(L186="b.Nasional","D.2",""))</f>
        <v/>
      </c>
      <c r="R186" s="4"/>
      <c r="S186" s="4"/>
      <c r="T186" s="4"/>
      <c r="U186" s="4"/>
      <c r="V186" s="4"/>
      <c r="W186" s="4"/>
      <c r="X186" s="4"/>
      <c r="Y186" s="4"/>
      <c r="Z186" s="4"/>
      <c r="AA186" s="4"/>
    </row>
    <row r="187" spans="1:27" ht="51" customHeight="1" x14ac:dyDescent="0.25">
      <c r="A187" s="631"/>
      <c r="B187" s="571" t="s">
        <v>898</v>
      </c>
      <c r="C187" s="585" t="s">
        <v>879</v>
      </c>
      <c r="D187" s="631"/>
      <c r="E187" s="631"/>
      <c r="F187" s="631"/>
      <c r="G187" s="631"/>
      <c r="H187" s="631"/>
      <c r="I187" s="631"/>
      <c r="J187" s="631"/>
      <c r="K187" s="686"/>
      <c r="L187" s="686"/>
      <c r="M187" s="631"/>
      <c r="N187" s="631"/>
      <c r="O187" s="635"/>
      <c r="P187" s="613"/>
      <c r="R187" s="4"/>
      <c r="S187" s="4"/>
      <c r="T187" s="4"/>
      <c r="U187" s="4"/>
      <c r="V187" s="4"/>
      <c r="W187" s="4"/>
      <c r="X187" s="4"/>
      <c r="Y187" s="4"/>
      <c r="Z187" s="4"/>
      <c r="AA187" s="4"/>
    </row>
    <row r="188" spans="1:27" ht="15" customHeight="1" x14ac:dyDescent="0.25">
      <c r="A188" s="695">
        <v>2</v>
      </c>
      <c r="B188" s="582" t="s">
        <v>859</v>
      </c>
      <c r="C188" s="585" t="s">
        <v>910</v>
      </c>
      <c r="D188" s="690"/>
      <c r="E188" s="684" t="s">
        <v>26</v>
      </c>
      <c r="F188" s="684">
        <f>M188</f>
        <v>0.25</v>
      </c>
      <c r="G188" s="684" t="str">
        <f>IF(N188&lt;&gt;"rumus",M188&amp;" x "&amp;N188&amp;" = "&amp;M188*N188,"rumus")</f>
        <v>0.25 x 15 = 3.75</v>
      </c>
      <c r="H188" s="683">
        <f>O188</f>
        <v>3.75</v>
      </c>
      <c r="I188" s="684"/>
      <c r="J188" s="684" t="s">
        <v>26</v>
      </c>
      <c r="K188" s="691" t="s">
        <v>901</v>
      </c>
      <c r="L188" s="691" t="s">
        <v>897</v>
      </c>
      <c r="M188" s="689">
        <f>IF(K188="1 Penulis",100%,IF(K188="2 Penulis (ke-1)",50%,IF(K188="2 Penulis (ke-2)",50%,IF(K188="3 Penulis (ke-1)",33.3%,IF(K188="3 Penulis (ke-2)",33.3%,IF(K188="3 Penulis (ke-3)",33.3%,IF(K188="4 Penulis (ke-1)",25%,IF(K188="4 Penulis (ke-2)",25%,IF(K188="4 Penulis (ke-3)",25%,IF(K188="4 Penulis (ke-4)",25%,"rumus"))))))))))</f>
        <v>0.25</v>
      </c>
      <c r="N188" s="689">
        <f>IF(L188="a.internasional yang sudah diimplementasikan di industri (diakui minimal 4 negara)",60,IF(L188="b.internasional (diakui minimal 4 negara)",50,IF(L188="c.nasional (sudah diimplementasikan di industri)",40,IF(L188="d.nasional",30,IF(L188="e.nasional dalam bentuk paten sederhana",20,IF(L188="f.karya ciptaan, desain industri, indikasi geografis yang memiliki sertifikat dari Dirjen Kekayaan Intelektual kemenkunham",15,"rumus"))))))</f>
        <v>15</v>
      </c>
      <c r="O188" s="687">
        <f>M188*N188</f>
        <v>3.75</v>
      </c>
      <c r="P188" s="618" t="str">
        <f>IF(L188="a.Internasional","D.1",IF(L188="b.Nasional","D.2",""))</f>
        <v/>
      </c>
      <c r="R188" s="4"/>
      <c r="S188" s="4"/>
      <c r="T188" s="4"/>
      <c r="U188" s="4"/>
      <c r="V188" s="4"/>
      <c r="W188" s="4"/>
      <c r="X188" s="4"/>
      <c r="Y188" s="4"/>
      <c r="Z188" s="4"/>
      <c r="AA188" s="4"/>
    </row>
    <row r="189" spans="1:27" ht="51" customHeight="1" x14ac:dyDescent="0.25">
      <c r="A189" s="631"/>
      <c r="B189" s="571" t="s">
        <v>898</v>
      </c>
      <c r="C189" s="585" t="s">
        <v>879</v>
      </c>
      <c r="D189" s="631"/>
      <c r="E189" s="631"/>
      <c r="F189" s="631"/>
      <c r="G189" s="631"/>
      <c r="H189" s="631"/>
      <c r="I189" s="631"/>
      <c r="J189" s="631"/>
      <c r="K189" s="686"/>
      <c r="L189" s="686"/>
      <c r="M189" s="631"/>
      <c r="N189" s="631"/>
      <c r="O189" s="635"/>
      <c r="P189" s="613"/>
      <c r="R189" s="4"/>
      <c r="S189" s="4"/>
      <c r="T189" s="4"/>
      <c r="U189" s="4"/>
      <c r="V189" s="4"/>
      <c r="W189" s="4"/>
      <c r="X189" s="4"/>
      <c r="Y189" s="4"/>
      <c r="Z189" s="4"/>
      <c r="AA189" s="4"/>
    </row>
    <row r="190" spans="1:27" ht="15" customHeight="1" x14ac:dyDescent="0.25">
      <c r="A190" s="695">
        <v>2</v>
      </c>
      <c r="B190" s="413" t="s">
        <v>859</v>
      </c>
      <c r="C190" s="416"/>
      <c r="D190" s="690"/>
      <c r="E190" s="684" t="s">
        <v>26</v>
      </c>
      <c r="F190" s="684" t="str">
        <f>M190</f>
        <v>rumus</v>
      </c>
      <c r="G190" s="684" t="str">
        <f>IF(N190&lt;&gt;"rumus",M190&amp;" x "&amp;N190&amp;" = "&amp;M190*N190,"rumus")</f>
        <v>rumus</v>
      </c>
      <c r="H190" s="683" t="str">
        <f>O190</f>
        <v xml:space="preserve">                                                                                                                                                                                                                                                                                                                                                                                                                                                                              </v>
      </c>
      <c r="I190" s="684"/>
      <c r="J190" s="684" t="s">
        <v>26</v>
      </c>
      <c r="K190" s="688"/>
      <c r="L190" s="688"/>
      <c r="M190" s="689" t="str">
        <f>IF(K190="1 Penulis",100%,IF(K190="2 Penulis (ke-1)",50%,IF(K190="2 Penulis (ke-2)",50%,IF(K190="3 Penulis (ke-1)",33.3%,IF(K190="3 Penulis (ke-2)",33.3%,IF(K190="3 Penulis (ke-3)",33.3%,IF(K190="4 Penulis (ke-1)",25%,IF(K190="4 Penulis (ke-2)",25%,IF(K190="4 Penulis (ke-3)",25%,IF(K190="4 Penulis (ke-4)",25%,"rumus"))))))))))</f>
        <v>rumus</v>
      </c>
      <c r="N190" s="689" t="str">
        <f>IF(L190="a.internasional yang sudah diimplementasikan di industri (diakui minimal 4 negara)",60,IF(L190="b.internasional (diakui minimal 4 negara)",50,IF(L190="c.nasional (sudah diimplementasikan di industri)",40,IF(L190="d.nasional",30,IF(L190="e.nasional dalam bentuk paten sederhana",20,IF(L190="f.karya ciptaan, desain industri, indikasi geografis yang memiliki sertifikat dari Dirjen Kekayaan Intelektual kemenkunham",15,"rumus"))))))</f>
        <v>rumus</v>
      </c>
      <c r="O190" s="687" t="s">
        <v>911</v>
      </c>
      <c r="P190" s="618" t="str">
        <f>IF(L190="a.Internasional","D.1",IF(L190="b.Nasional","D.2",""))</f>
        <v/>
      </c>
      <c r="Q190" s="4"/>
      <c r="R190" s="4"/>
      <c r="S190" s="4"/>
      <c r="T190" s="4"/>
      <c r="U190" s="4"/>
      <c r="V190" s="4"/>
      <c r="W190" s="4"/>
      <c r="X190" s="4"/>
      <c r="Y190" s="4"/>
      <c r="Z190" s="4"/>
      <c r="AA190" s="4"/>
    </row>
    <row r="191" spans="1:27" ht="51" customHeight="1" x14ac:dyDescent="0.25">
      <c r="A191" s="631"/>
      <c r="B191" s="445" t="s">
        <v>898</v>
      </c>
      <c r="C191" s="416"/>
      <c r="D191" s="631"/>
      <c r="E191" s="631"/>
      <c r="F191" s="631"/>
      <c r="G191" s="631"/>
      <c r="H191" s="631"/>
      <c r="I191" s="631"/>
      <c r="J191" s="631"/>
      <c r="K191" s="631"/>
      <c r="L191" s="631"/>
      <c r="M191" s="631"/>
      <c r="N191" s="631"/>
      <c r="O191" s="635"/>
      <c r="P191" s="613"/>
      <c r="Q191" s="4"/>
      <c r="R191" s="4"/>
      <c r="S191" s="4"/>
      <c r="T191" s="4"/>
      <c r="U191" s="4"/>
      <c r="V191" s="4"/>
      <c r="W191" s="4"/>
      <c r="X191" s="4"/>
      <c r="Y191" s="4"/>
      <c r="Z191" s="4"/>
      <c r="AA191" s="4"/>
    </row>
    <row r="192" spans="1:27" ht="15" customHeight="1" x14ac:dyDescent="0.25">
      <c r="A192" s="443"/>
      <c r="B192" s="614" t="s">
        <v>304</v>
      </c>
      <c r="C192" s="615"/>
      <c r="D192" s="615"/>
      <c r="E192" s="615"/>
      <c r="F192" s="615"/>
      <c r="G192" s="615"/>
      <c r="H192" s="616"/>
      <c r="I192" s="145">
        <f>SUMPRODUCT(M170:M191,N170:N191)</f>
        <v>37.5</v>
      </c>
      <c r="J192" s="148"/>
      <c r="K192" s="103"/>
      <c r="L192" s="112"/>
      <c r="M192" s="103"/>
      <c r="N192" s="103"/>
      <c r="O192" s="4"/>
      <c r="P192" s="4"/>
      <c r="Q192" s="4"/>
      <c r="R192" s="4"/>
      <c r="S192" s="4"/>
      <c r="T192" s="4"/>
      <c r="U192" s="4"/>
      <c r="V192" s="4"/>
      <c r="W192" s="4"/>
      <c r="X192" s="4"/>
      <c r="Y192" s="4"/>
      <c r="Z192" s="4"/>
      <c r="AA192" s="4"/>
    </row>
    <row r="193" spans="1:27" ht="15" customHeight="1" x14ac:dyDescent="0.25">
      <c r="A193" s="138" t="s">
        <v>85</v>
      </c>
      <c r="B193" s="414" t="s">
        <v>912</v>
      </c>
      <c r="C193" s="415"/>
      <c r="D193" s="415"/>
      <c r="E193" s="415"/>
      <c r="F193" s="415"/>
      <c r="G193" s="415"/>
      <c r="H193" s="415"/>
      <c r="I193" s="415"/>
      <c r="J193" s="416"/>
      <c r="K193" s="103"/>
      <c r="L193" s="112"/>
      <c r="M193" s="103"/>
      <c r="N193" s="103"/>
      <c r="O193" s="4"/>
      <c r="P193" s="4"/>
      <c r="Q193" s="4"/>
      <c r="R193" s="4"/>
      <c r="S193" s="4"/>
      <c r="T193" s="4"/>
      <c r="U193" s="4"/>
      <c r="V193" s="4"/>
      <c r="W193" s="4"/>
      <c r="X193" s="4"/>
      <c r="Y193" s="4"/>
      <c r="Z193" s="4"/>
      <c r="AA193" s="4"/>
    </row>
    <row r="194" spans="1:27" ht="19.5" customHeight="1" x14ac:dyDescent="0.25">
      <c r="A194" s="695">
        <v>1</v>
      </c>
      <c r="B194" s="413" t="s">
        <v>859</v>
      </c>
      <c r="C194" s="416"/>
      <c r="D194" s="690"/>
      <c r="E194" s="684" t="s">
        <v>26</v>
      </c>
      <c r="F194" s="684" t="str">
        <f>M194</f>
        <v>rumus</v>
      </c>
      <c r="G194" s="684" t="str">
        <f>IF(N194&lt;&gt;"rumus",M194&amp;" x "&amp;N194&amp;" = "&amp;M194*N194,"rumus")</f>
        <v>rumus</v>
      </c>
      <c r="H194" s="683">
        <f>O194</f>
        <v>0</v>
      </c>
      <c r="I194" s="684"/>
      <c r="J194" s="684" t="s">
        <v>26</v>
      </c>
      <c r="K194" s="688"/>
      <c r="L194" s="688"/>
      <c r="M194" s="689" t="str">
        <f>IF(K194="1 Penulis",100%,IF(K194="2 Penulis (ke-1)",50%,IF(K194="2 Penulis (ke-2)",50%,IF(K194="3 Penulis (ke-1)",33.3%,IF(K194="3 Penulis (ke-2)",33.3%,IF(K194="3 Penulis (ke-3)",33.3%,IF(K194="4 Penulis (ke-1)",25%,IF(K194="4 Penulis (ke-2)",25%,IF(K194="4 Penulis (ke-3)",25%,IF(K194="4 Penulis (ke-4)",25%,"rumus"))))))))))</f>
        <v>rumus</v>
      </c>
      <c r="N194" s="689" t="str">
        <f>IF(L194="a.Internasional",20,IF(L194="b.Nasional",15,IF(L194="c.Lokal",10,"rumus")))</f>
        <v>rumus</v>
      </c>
      <c r="O194" s="4"/>
      <c r="P194" s="4"/>
      <c r="Q194" s="4"/>
      <c r="R194" s="4"/>
      <c r="S194" s="4"/>
      <c r="T194" s="4"/>
      <c r="U194" s="4"/>
      <c r="V194" s="4"/>
      <c r="W194" s="4"/>
      <c r="X194" s="4"/>
      <c r="Y194" s="4"/>
      <c r="Z194" s="4"/>
      <c r="AA194" s="4"/>
    </row>
    <row r="195" spans="1:27" ht="50.25" customHeight="1" x14ac:dyDescent="0.25">
      <c r="A195" s="631"/>
      <c r="B195" s="445" t="s">
        <v>898</v>
      </c>
      <c r="C195" s="416"/>
      <c r="D195" s="631"/>
      <c r="E195" s="631"/>
      <c r="F195" s="631"/>
      <c r="G195" s="631"/>
      <c r="H195" s="631"/>
      <c r="I195" s="631"/>
      <c r="J195" s="631"/>
      <c r="K195" s="631"/>
      <c r="L195" s="631"/>
      <c r="M195" s="631"/>
      <c r="N195" s="631"/>
      <c r="O195" s="4"/>
      <c r="P195" s="4"/>
      <c r="Q195" s="4"/>
      <c r="R195" s="4"/>
      <c r="S195" s="4"/>
      <c r="T195" s="4"/>
      <c r="U195" s="4"/>
      <c r="V195" s="4"/>
      <c r="W195" s="4"/>
      <c r="X195" s="4"/>
      <c r="Y195" s="4"/>
      <c r="Z195" s="4"/>
      <c r="AA195" s="4"/>
    </row>
    <row r="196" spans="1:27" ht="19.5" customHeight="1" x14ac:dyDescent="0.25">
      <c r="A196" s="695">
        <v>2</v>
      </c>
      <c r="B196" s="413" t="s">
        <v>859</v>
      </c>
      <c r="C196" s="416"/>
      <c r="D196" s="690"/>
      <c r="E196" s="684" t="s">
        <v>26</v>
      </c>
      <c r="F196" s="684" t="str">
        <f>M196</f>
        <v>rumus</v>
      </c>
      <c r="G196" s="684" t="str">
        <f>IF(N196&lt;&gt;"rumus",M196&amp;" x "&amp;N196&amp;" = "&amp;M196*N196,"rumus")</f>
        <v>rumus</v>
      </c>
      <c r="H196" s="683">
        <f>O196</f>
        <v>0</v>
      </c>
      <c r="I196" s="684"/>
      <c r="J196" s="684" t="s">
        <v>26</v>
      </c>
      <c r="K196" s="688"/>
      <c r="L196" s="688"/>
      <c r="M196" s="689" t="str">
        <f>IF(K196="1 Penulis",100%,IF(K196="2 Penulis (ke-1)",50%,IF(K196="2 Penulis (ke-2)",50%,IF(K196="3 Penulis (ke-1)",33.3%,IF(K196="3 Penulis (ke-2)",33.3%,IF(K196="3 Penulis (ke-3)",33.3%,IF(K196="4 Penulis (ke-1)",25%,IF(K196="4 Penulis (ke-2)",25%,IF(K196="4 Penulis (ke-3)",25%,IF(K196="4 Penulis (ke-4)",25%,"rumus"))))))))))</f>
        <v>rumus</v>
      </c>
      <c r="N196" s="689" t="str">
        <f>IF(L196="a.Internasional",20,IF(L196="b.Nasional",15,IF(L196="c.Lokal",10,"rumus")))</f>
        <v>rumus</v>
      </c>
      <c r="O196" s="4"/>
      <c r="P196" s="4"/>
      <c r="Q196" s="4"/>
      <c r="R196" s="4"/>
      <c r="S196" s="4"/>
      <c r="T196" s="4"/>
      <c r="U196" s="4"/>
      <c r="V196" s="4"/>
      <c r="W196" s="4"/>
      <c r="X196" s="4"/>
      <c r="Y196" s="4"/>
      <c r="Z196" s="4"/>
      <c r="AA196" s="4"/>
    </row>
    <row r="197" spans="1:27" ht="50.25" customHeight="1" x14ac:dyDescent="0.25">
      <c r="A197" s="631"/>
      <c r="B197" s="445" t="s">
        <v>898</v>
      </c>
      <c r="C197" s="416"/>
      <c r="D197" s="631"/>
      <c r="E197" s="631"/>
      <c r="F197" s="631"/>
      <c r="G197" s="631"/>
      <c r="H197" s="631"/>
      <c r="I197" s="631"/>
      <c r="J197" s="631"/>
      <c r="K197" s="631"/>
      <c r="L197" s="631"/>
      <c r="M197" s="631"/>
      <c r="N197" s="631"/>
      <c r="O197" s="4"/>
      <c r="P197" s="4"/>
      <c r="Q197" s="4"/>
      <c r="R197" s="4"/>
      <c r="S197" s="4"/>
      <c r="T197" s="4"/>
      <c r="U197" s="4"/>
      <c r="V197" s="4"/>
      <c r="W197" s="4"/>
      <c r="X197" s="4"/>
      <c r="Y197" s="4"/>
      <c r="Z197" s="4"/>
      <c r="AA197" s="4"/>
    </row>
    <row r="198" spans="1:27" ht="19.5" customHeight="1" x14ac:dyDescent="0.25">
      <c r="A198" s="695">
        <v>3</v>
      </c>
      <c r="B198" s="413" t="s">
        <v>859</v>
      </c>
      <c r="C198" s="416"/>
      <c r="D198" s="690"/>
      <c r="E198" s="684" t="s">
        <v>26</v>
      </c>
      <c r="F198" s="684" t="str">
        <f>M198</f>
        <v>rumus</v>
      </c>
      <c r="G198" s="684" t="str">
        <f>IF(N198&lt;&gt;"rumus",M198&amp;" x "&amp;N198&amp;" = "&amp;M198*N198,"rumus")</f>
        <v>rumus</v>
      </c>
      <c r="H198" s="683">
        <f>O198</f>
        <v>0</v>
      </c>
      <c r="I198" s="684"/>
      <c r="J198" s="684" t="s">
        <v>26</v>
      </c>
      <c r="K198" s="688"/>
      <c r="L198" s="688"/>
      <c r="M198" s="689" t="str">
        <f>IF(K198="1 Penulis",100%,IF(K198="2 Penulis (ke-1)",50%,IF(K198="2 Penulis (ke-2)",50%,IF(K198="3 Penulis (ke-1)",33.3%,IF(K198="3 Penulis (ke-2)",33.3%,IF(K198="3 Penulis (ke-3)",33.3%,IF(K198="4 Penulis (ke-1)",25%,IF(K198="4 Penulis (ke-2)",25%,IF(K198="4 Penulis (ke-3)",25%,IF(K198="4 Penulis (ke-4)",25%,"rumus"))))))))))</f>
        <v>rumus</v>
      </c>
      <c r="N198" s="689" t="str">
        <f>IF(L198="a.Internasional",20,IF(L198="b.Nasional",15,IF(L198="c.Lokal",10,"rumus")))</f>
        <v>rumus</v>
      </c>
      <c r="O198" s="4"/>
      <c r="P198" s="4"/>
      <c r="Q198" s="4"/>
      <c r="R198" s="4"/>
      <c r="S198" s="4"/>
      <c r="T198" s="4"/>
      <c r="U198" s="4"/>
      <c r="V198" s="4"/>
      <c r="W198" s="4"/>
      <c r="X198" s="4"/>
      <c r="Y198" s="4"/>
      <c r="Z198" s="4"/>
      <c r="AA198" s="4"/>
    </row>
    <row r="199" spans="1:27" ht="50.25" customHeight="1" x14ac:dyDescent="0.25">
      <c r="A199" s="631"/>
      <c r="B199" s="445" t="s">
        <v>898</v>
      </c>
      <c r="C199" s="416"/>
      <c r="D199" s="631"/>
      <c r="E199" s="631"/>
      <c r="F199" s="631"/>
      <c r="G199" s="631"/>
      <c r="H199" s="631"/>
      <c r="I199" s="631"/>
      <c r="J199" s="631"/>
      <c r="K199" s="631"/>
      <c r="L199" s="631"/>
      <c r="M199" s="631"/>
      <c r="N199" s="631"/>
      <c r="O199" s="4"/>
      <c r="P199" s="4"/>
      <c r="Q199" s="4"/>
      <c r="R199" s="4"/>
      <c r="S199" s="4"/>
      <c r="T199" s="4"/>
      <c r="U199" s="4"/>
      <c r="V199" s="4"/>
      <c r="W199" s="4"/>
      <c r="X199" s="4"/>
      <c r="Y199" s="4"/>
      <c r="Z199" s="4"/>
      <c r="AA199" s="4"/>
    </row>
    <row r="200" spans="1:27" ht="12" customHeight="1" x14ac:dyDescent="0.25">
      <c r="A200" s="443"/>
      <c r="B200" s="614" t="s">
        <v>304</v>
      </c>
      <c r="C200" s="615"/>
      <c r="D200" s="615"/>
      <c r="E200" s="615"/>
      <c r="F200" s="615"/>
      <c r="G200" s="615"/>
      <c r="H200" s="616"/>
      <c r="I200" s="145">
        <f>SUMPRODUCT(M194:M199,N194:N199)</f>
        <v>0</v>
      </c>
      <c r="J200" s="446"/>
      <c r="K200" s="103"/>
      <c r="L200" s="112"/>
      <c r="M200" s="103"/>
      <c r="N200" s="103"/>
      <c r="O200" s="4"/>
      <c r="P200" s="4"/>
      <c r="Q200" s="4"/>
      <c r="R200" s="4"/>
      <c r="S200" s="4"/>
      <c r="T200" s="4"/>
      <c r="U200" s="4"/>
      <c r="V200" s="4"/>
      <c r="W200" s="4"/>
      <c r="X200" s="4"/>
      <c r="Y200" s="4"/>
      <c r="Z200" s="4"/>
      <c r="AA200" s="4"/>
    </row>
    <row r="201" spans="1:27" ht="15" customHeight="1" x14ac:dyDescent="0.25">
      <c r="A201" s="138" t="s">
        <v>85</v>
      </c>
      <c r="B201" s="414" t="s">
        <v>913</v>
      </c>
      <c r="C201" s="407"/>
      <c r="D201" s="407"/>
      <c r="E201" s="407"/>
      <c r="F201" s="407"/>
      <c r="G201" s="407"/>
      <c r="H201" s="407"/>
      <c r="I201" s="407"/>
      <c r="J201" s="408"/>
      <c r="K201" s="103"/>
      <c r="L201" s="149"/>
      <c r="M201" s="103"/>
      <c r="N201" s="103"/>
      <c r="O201" s="4"/>
      <c r="P201" s="4"/>
      <c r="Q201" s="4"/>
      <c r="R201" s="4"/>
      <c r="S201" s="4"/>
      <c r="T201" s="4"/>
      <c r="U201" s="4"/>
      <c r="V201" s="4"/>
      <c r="W201" s="4"/>
      <c r="X201" s="4"/>
      <c r="Y201" s="4"/>
      <c r="Z201" s="4"/>
      <c r="AA201" s="4"/>
    </row>
    <row r="202" spans="1:27" ht="15" customHeight="1" x14ac:dyDescent="0.25">
      <c r="A202" s="695">
        <v>1</v>
      </c>
      <c r="B202" s="413" t="s">
        <v>859</v>
      </c>
      <c r="C202" s="416"/>
      <c r="D202" s="690"/>
      <c r="E202" s="684" t="s">
        <v>26</v>
      </c>
      <c r="F202" s="684" t="str">
        <f>M202</f>
        <v>rumus</v>
      </c>
      <c r="G202" s="684" t="str">
        <f>IF(N202&lt;&gt;"rumus",M202&amp;" x "&amp;N202&amp;" = "&amp;M202*N202,"rumus")</f>
        <v>rumus</v>
      </c>
      <c r="H202" s="683" t="e">
        <f>O202</f>
        <v>#VALUE!</v>
      </c>
      <c r="I202" s="684" t="str">
        <f>IF(N202&lt;&gt;"rumus",M202&amp;" x "&amp;N202&amp;" = "&amp;M202*N202,"rumus")</f>
        <v>rumus</v>
      </c>
      <c r="J202" s="684" t="s">
        <v>26</v>
      </c>
      <c r="K202" s="688"/>
      <c r="L202" s="688"/>
      <c r="M202" s="689" t="str">
        <f>IF(K202="1 Penulis",100%,IF(K202="2 Penulis",50%,IF(K202="3 Penulis",33.3%,IF(K202="4 Penulis",25%,"rumus"))))</f>
        <v>rumus</v>
      </c>
      <c r="N202" s="689" t="str">
        <f>IF(L202="a.Internasional",20,IF(L202="b.Nasional",15,IF(L202="c.Lokal",10,"rumus")))</f>
        <v>rumus</v>
      </c>
      <c r="O202" s="687" t="e">
        <f>M202*N202</f>
        <v>#VALUE!</v>
      </c>
      <c r="P202" s="618" t="str">
        <f>IF(L202="a.Internasional","E.1",IF(L202="b.Nasional","E.2",IF(L202="c.Lokal","E.3","")))</f>
        <v/>
      </c>
      <c r="Q202" s="4"/>
      <c r="R202" s="4"/>
      <c r="S202" s="4"/>
      <c r="T202" s="4"/>
      <c r="U202" s="4"/>
      <c r="V202" s="4"/>
      <c r="W202" s="4"/>
      <c r="X202" s="4"/>
      <c r="Y202" s="4"/>
      <c r="Z202" s="4"/>
      <c r="AA202" s="4"/>
    </row>
    <row r="203" spans="1:27" ht="51" customHeight="1" x14ac:dyDescent="0.25">
      <c r="A203" s="631"/>
      <c r="B203" s="445" t="s">
        <v>914</v>
      </c>
      <c r="C203" s="416"/>
      <c r="D203" s="631"/>
      <c r="E203" s="631"/>
      <c r="F203" s="631"/>
      <c r="G203" s="631"/>
      <c r="H203" s="631"/>
      <c r="I203" s="631"/>
      <c r="J203" s="631"/>
      <c r="K203" s="631"/>
      <c r="L203" s="631"/>
      <c r="M203" s="631"/>
      <c r="N203" s="631"/>
      <c r="O203" s="635"/>
      <c r="P203" s="613"/>
      <c r="Q203" s="4"/>
      <c r="R203" s="4"/>
      <c r="S203" s="4"/>
      <c r="T203" s="4"/>
      <c r="U203" s="4"/>
      <c r="V203" s="4"/>
      <c r="W203" s="4"/>
      <c r="X203" s="4"/>
      <c r="Y203" s="4"/>
      <c r="Z203" s="4"/>
      <c r="AA203" s="4"/>
    </row>
    <row r="204" spans="1:27" ht="15" customHeight="1" x14ac:dyDescent="0.25">
      <c r="A204" s="695">
        <v>2</v>
      </c>
      <c r="B204" s="413" t="s">
        <v>859</v>
      </c>
      <c r="C204" s="416"/>
      <c r="D204" s="690"/>
      <c r="E204" s="684" t="s">
        <v>26</v>
      </c>
      <c r="F204" s="684" t="str">
        <f>M204</f>
        <v>rumus</v>
      </c>
      <c r="G204" s="684" t="str">
        <f>IF(N204&lt;&gt;"rumus",M204&amp;" x "&amp;N204&amp;" = "&amp;M204*N204,"rumus")</f>
        <v>rumus</v>
      </c>
      <c r="H204" s="683" t="e">
        <f>O204</f>
        <v>#VALUE!</v>
      </c>
      <c r="I204" s="684" t="str">
        <f>IF(N204&lt;&gt;"rumus",M204&amp;" x "&amp;N204&amp;" = "&amp;M204*N204,"rumus")</f>
        <v>rumus</v>
      </c>
      <c r="J204" s="684" t="s">
        <v>26</v>
      </c>
      <c r="K204" s="688"/>
      <c r="L204" s="688"/>
      <c r="M204" s="689" t="str">
        <f>IF(K204="1 Penulis",100%,IF(K204="2 Penulis",50%,IF(K204="3 Penulis",33.3%,IF(K204="4 Penulis",25%,"rumus"))))</f>
        <v>rumus</v>
      </c>
      <c r="N204" s="689" t="str">
        <f>IF(L204="a.Internasional",20,IF(L204="b.Nasional",15,IF(L204="c.Lokal",10,"rumus")))</f>
        <v>rumus</v>
      </c>
      <c r="O204" s="687" t="e">
        <f>M204*N204</f>
        <v>#VALUE!</v>
      </c>
      <c r="P204" s="618" t="str">
        <f>IF(L204="a.Internasional","E.1",IF(L204="b.Nasional","E.2",IF(L204="c.Lokal","E.3","")))</f>
        <v/>
      </c>
      <c r="Q204" s="4"/>
      <c r="R204" s="4"/>
      <c r="S204" s="4"/>
      <c r="T204" s="4"/>
      <c r="U204" s="4"/>
      <c r="V204" s="4"/>
      <c r="W204" s="4"/>
      <c r="X204" s="4"/>
      <c r="Y204" s="4"/>
      <c r="Z204" s="4"/>
      <c r="AA204" s="4"/>
    </row>
    <row r="205" spans="1:27" ht="51" customHeight="1" x14ac:dyDescent="0.25">
      <c r="A205" s="631"/>
      <c r="B205" s="445" t="s">
        <v>914</v>
      </c>
      <c r="C205" s="416"/>
      <c r="D205" s="631"/>
      <c r="E205" s="631"/>
      <c r="F205" s="631"/>
      <c r="G205" s="631"/>
      <c r="H205" s="631"/>
      <c r="I205" s="631"/>
      <c r="J205" s="631"/>
      <c r="K205" s="631"/>
      <c r="L205" s="631"/>
      <c r="M205" s="631"/>
      <c r="N205" s="631"/>
      <c r="O205" s="635"/>
      <c r="P205" s="613"/>
      <c r="Q205" s="4"/>
      <c r="R205" s="4"/>
      <c r="S205" s="4"/>
      <c r="T205" s="4"/>
      <c r="U205" s="4"/>
      <c r="V205" s="4"/>
      <c r="W205" s="4"/>
      <c r="X205" s="4"/>
      <c r="Y205" s="4"/>
      <c r="Z205" s="4"/>
      <c r="AA205" s="4"/>
    </row>
    <row r="206" spans="1:27" ht="15" customHeight="1" x14ac:dyDescent="0.25">
      <c r="A206" s="695">
        <v>3</v>
      </c>
      <c r="B206" s="413" t="s">
        <v>859</v>
      </c>
      <c r="C206" s="416"/>
      <c r="D206" s="690"/>
      <c r="E206" s="684" t="s">
        <v>26</v>
      </c>
      <c r="F206" s="684" t="str">
        <f>M206</f>
        <v>rumus</v>
      </c>
      <c r="G206" s="684" t="str">
        <f>IF(N206&lt;&gt;"rumus",M206&amp;" x "&amp;N206&amp;" = "&amp;M206*N206,"rumus")</f>
        <v>rumus</v>
      </c>
      <c r="H206" s="683" t="e">
        <f>O206</f>
        <v>#VALUE!</v>
      </c>
      <c r="I206" s="684" t="str">
        <f>IF(N206&lt;&gt;"rumus",M206&amp;" x "&amp;N206&amp;" = "&amp;M206*N206,"rumus")</f>
        <v>rumus</v>
      </c>
      <c r="J206" s="684" t="s">
        <v>26</v>
      </c>
      <c r="K206" s="688"/>
      <c r="L206" s="688"/>
      <c r="M206" s="689" t="str">
        <f>IF(K206="1 Penulis",100%,IF(K206="2 Penulis",50%,IF(K206="3 Penulis",33.3%,IF(K206="4 Penulis",25%,"rumus"))))</f>
        <v>rumus</v>
      </c>
      <c r="N206" s="689" t="str">
        <f>IF(L206="a.Internasional",20,IF(L206="b.Nasional",15,IF(L206="c.Lokal",10,"rumus")))</f>
        <v>rumus</v>
      </c>
      <c r="O206" s="687" t="e">
        <f>M206*N206</f>
        <v>#VALUE!</v>
      </c>
      <c r="P206" s="618" t="str">
        <f>IF(L206="a.Internasional","E.1",IF(L206="b.Nasional","E.2",IF(L206="c.Lokal","E.3","")))</f>
        <v/>
      </c>
      <c r="Q206" s="4"/>
      <c r="R206" s="4"/>
      <c r="S206" s="4"/>
      <c r="T206" s="4"/>
      <c r="U206" s="4"/>
      <c r="V206" s="4"/>
      <c r="W206" s="4"/>
      <c r="X206" s="4"/>
      <c r="Y206" s="4"/>
      <c r="Z206" s="4"/>
      <c r="AA206" s="4"/>
    </row>
    <row r="207" spans="1:27" ht="51" customHeight="1" x14ac:dyDescent="0.25">
      <c r="A207" s="631"/>
      <c r="B207" s="445" t="s">
        <v>914</v>
      </c>
      <c r="C207" s="416"/>
      <c r="D207" s="631"/>
      <c r="E207" s="631"/>
      <c r="F207" s="631"/>
      <c r="G207" s="631"/>
      <c r="H207" s="631"/>
      <c r="I207" s="631"/>
      <c r="J207" s="631"/>
      <c r="K207" s="631"/>
      <c r="L207" s="631"/>
      <c r="M207" s="631"/>
      <c r="N207" s="631"/>
      <c r="O207" s="635"/>
      <c r="P207" s="613"/>
      <c r="Q207" s="4"/>
      <c r="R207" s="4"/>
      <c r="S207" s="4"/>
      <c r="T207" s="4"/>
      <c r="U207" s="4"/>
      <c r="V207" s="4"/>
      <c r="W207" s="4"/>
      <c r="X207" s="4"/>
      <c r="Y207" s="4"/>
      <c r="Z207" s="4"/>
      <c r="AA207" s="4"/>
    </row>
    <row r="208" spans="1:27" ht="15.75" customHeight="1" x14ac:dyDescent="0.25">
      <c r="A208" s="443"/>
      <c r="B208" s="614" t="s">
        <v>304</v>
      </c>
      <c r="C208" s="615"/>
      <c r="D208" s="615"/>
      <c r="E208" s="615"/>
      <c r="F208" s="615"/>
      <c r="G208" s="615"/>
      <c r="H208" s="616"/>
      <c r="I208" s="145">
        <f>SUMPRODUCT(M202:M207,N202:N207)</f>
        <v>0</v>
      </c>
      <c r="J208" s="148"/>
      <c r="K208" s="144"/>
      <c r="L208" s="4"/>
      <c r="M208" s="4"/>
      <c r="N208" s="4"/>
      <c r="O208" s="4"/>
      <c r="P208" s="4"/>
      <c r="Q208" s="4"/>
      <c r="R208" s="4"/>
      <c r="S208" s="4"/>
      <c r="T208" s="4"/>
      <c r="U208" s="4"/>
      <c r="V208" s="4"/>
      <c r="W208" s="4"/>
      <c r="X208" s="4"/>
      <c r="Y208" s="4"/>
      <c r="Z208" s="4"/>
      <c r="AA208" s="4"/>
    </row>
    <row r="209" spans="1:27" ht="15.75" customHeight="1" x14ac:dyDescent="0.25">
      <c r="A209" s="443"/>
      <c r="B209" s="614" t="s">
        <v>915</v>
      </c>
      <c r="C209" s="615"/>
      <c r="D209" s="615"/>
      <c r="E209" s="615"/>
      <c r="F209" s="615"/>
      <c r="G209" s="616"/>
      <c r="H209" s="150">
        <f>I208+I192+I168+I162+H156+I200</f>
        <v>57.5</v>
      </c>
      <c r="I209" s="151">
        <f>I208+I192+I168+I162+I156</f>
        <v>57.5</v>
      </c>
      <c r="J209" s="148"/>
      <c r="K209" s="152"/>
      <c r="L209" s="4"/>
      <c r="M209" s="4"/>
      <c r="N209" s="4"/>
      <c r="O209" s="4"/>
      <c r="P209" s="4"/>
      <c r="Q209" s="4"/>
      <c r="R209" s="4"/>
      <c r="S209" s="4"/>
      <c r="T209" s="4"/>
      <c r="U209" s="4"/>
      <c r="V209" s="4"/>
      <c r="W209" s="4"/>
      <c r="X209" s="4"/>
      <c r="Y209" s="4"/>
      <c r="Z209" s="4"/>
      <c r="AA209" s="4"/>
    </row>
    <row r="210" spans="1:27" ht="15.75" customHeight="1" x14ac:dyDescent="0.25">
      <c r="A210" s="4"/>
      <c r="B210" s="618"/>
      <c r="C210" s="613"/>
      <c r="D210" s="4"/>
      <c r="E210" s="4"/>
      <c r="F210" s="4"/>
      <c r="G210" s="4"/>
      <c r="H210" s="4"/>
      <c r="I210" s="4"/>
      <c r="J210" s="4"/>
      <c r="K210" s="4"/>
      <c r="L210" s="2"/>
      <c r="M210" s="2"/>
      <c r="N210" s="2"/>
      <c r="O210" s="2"/>
      <c r="P210" s="2"/>
      <c r="Q210" s="2"/>
      <c r="R210" s="2"/>
      <c r="S210" s="2"/>
      <c r="T210" s="2"/>
      <c r="U210" s="2"/>
      <c r="V210" s="2"/>
      <c r="W210" s="2"/>
      <c r="X210" s="2"/>
      <c r="Y210" s="2"/>
      <c r="Z210" s="2"/>
      <c r="AA210" s="2"/>
    </row>
    <row r="211" spans="1:27" ht="15.75" customHeight="1" x14ac:dyDescent="0.25">
      <c r="A211" s="617" t="s">
        <v>826</v>
      </c>
      <c r="B211" s="613"/>
      <c r="C211" s="613"/>
      <c r="D211" s="613"/>
      <c r="E211" s="613"/>
      <c r="F211" s="613"/>
      <c r="G211" s="613"/>
      <c r="H211" s="613"/>
      <c r="I211" s="613"/>
      <c r="J211" s="4"/>
      <c r="K211" s="4"/>
      <c r="L211" s="2"/>
      <c r="M211" s="2"/>
      <c r="N211" s="2"/>
      <c r="O211" s="2"/>
      <c r="P211" s="2"/>
      <c r="Q211" s="2"/>
      <c r="R211" s="2"/>
      <c r="S211" s="2"/>
      <c r="T211" s="2"/>
      <c r="U211" s="2"/>
      <c r="V211" s="2"/>
      <c r="W211" s="2"/>
      <c r="X211" s="2"/>
      <c r="Y211" s="2"/>
      <c r="Z211" s="2"/>
      <c r="AA211" s="2"/>
    </row>
    <row r="212" spans="1:27" ht="15.75" customHeight="1" x14ac:dyDescent="0.25">
      <c r="A212" s="618"/>
      <c r="B212" s="613"/>
      <c r="C212" s="613"/>
      <c r="D212" s="613"/>
      <c r="E212" s="613"/>
      <c r="F212" s="613"/>
      <c r="G212" s="613"/>
      <c r="H212" s="613"/>
      <c r="I212" s="613"/>
      <c r="J212" s="4"/>
      <c r="K212" s="4"/>
      <c r="L212" s="2"/>
      <c r="M212" s="2"/>
      <c r="N212" s="2"/>
      <c r="O212" s="2"/>
      <c r="P212" s="2"/>
      <c r="Q212" s="2"/>
      <c r="R212" s="2"/>
      <c r="S212" s="2"/>
      <c r="T212" s="2"/>
      <c r="U212" s="2"/>
      <c r="V212" s="2"/>
      <c r="W212" s="2"/>
      <c r="X212" s="2"/>
      <c r="Y212" s="2"/>
      <c r="Z212" s="2"/>
      <c r="AA212" s="2"/>
    </row>
    <row r="213" spans="1:27" ht="15.75" customHeight="1" x14ac:dyDescent="0.25">
      <c r="A213" s="2"/>
      <c r="B213" s="2"/>
      <c r="C213" s="2"/>
      <c r="D213" s="2"/>
      <c r="E213" s="2"/>
      <c r="F213" s="2"/>
      <c r="G213" s="2"/>
      <c r="H213" s="130" t="s">
        <v>827</v>
      </c>
      <c r="I213" s="131" t="str">
        <f ca="1">"      "&amp;TEXT(TODAY()," mmmm yyyy")</f>
        <v xml:space="preserve">       April 2026</v>
      </c>
      <c r="J213" s="2"/>
      <c r="K213" s="2"/>
      <c r="L213" s="2"/>
      <c r="M213" s="2"/>
      <c r="N213" s="2"/>
      <c r="O213" s="2"/>
      <c r="P213" s="2"/>
      <c r="Q213" s="2"/>
      <c r="R213" s="2"/>
      <c r="S213" s="2"/>
      <c r="T213" s="2"/>
      <c r="U213" s="2"/>
      <c r="V213" s="2"/>
      <c r="W213" s="2"/>
      <c r="X213" s="2"/>
      <c r="Y213" s="2"/>
      <c r="Z213" s="2"/>
      <c r="AA213" s="2"/>
    </row>
    <row r="214" spans="1:27" ht="15.75" customHeight="1" x14ac:dyDescent="0.25">
      <c r="A214" s="2"/>
      <c r="B214" s="2"/>
      <c r="C214" s="2"/>
      <c r="D214" s="2"/>
      <c r="E214" s="2"/>
      <c r="F214" s="2"/>
      <c r="G214" s="618" t="str">
        <f>'LAMPIRAN II DONE'!G1229</f>
        <v>Ketua Program Studi S1 Rekayasa Perangkat Lunak Kampus Surabaya Fakultas Informatika</v>
      </c>
      <c r="H214" s="613"/>
      <c r="I214" s="613"/>
      <c r="J214" s="613"/>
      <c r="K214" s="153"/>
      <c r="L214" s="2"/>
      <c r="M214" s="2"/>
      <c r="N214" s="2"/>
      <c r="O214" s="2"/>
      <c r="P214" s="2"/>
      <c r="Q214" s="2"/>
      <c r="R214" s="2"/>
      <c r="S214" s="2"/>
      <c r="T214" s="2"/>
      <c r="U214" s="2"/>
      <c r="V214" s="2"/>
      <c r="W214" s="2"/>
      <c r="X214" s="2"/>
      <c r="Y214" s="2"/>
      <c r="Z214" s="2"/>
      <c r="AA214" s="2"/>
    </row>
    <row r="215" spans="1:27" ht="15.75" customHeight="1" x14ac:dyDescent="0.25">
      <c r="A215" s="2"/>
      <c r="B215" s="2"/>
      <c r="C215" s="2"/>
      <c r="D215" s="2"/>
      <c r="E215" s="2"/>
      <c r="F215" s="2"/>
      <c r="G215" s="613"/>
      <c r="H215" s="613"/>
      <c r="I215" s="613"/>
      <c r="J215" s="613"/>
      <c r="K215" s="1"/>
      <c r="L215" s="2"/>
      <c r="M215" s="2"/>
      <c r="N215" s="2"/>
      <c r="O215" s="2"/>
      <c r="P215" s="2"/>
      <c r="Q215" s="2"/>
      <c r="R215" s="2"/>
      <c r="S215" s="2"/>
      <c r="T215" s="2"/>
      <c r="U215" s="2"/>
      <c r="V215" s="2"/>
      <c r="W215" s="2"/>
      <c r="X215" s="2"/>
      <c r="Y215" s="2"/>
      <c r="Z215" s="2"/>
      <c r="AA215" s="2"/>
    </row>
    <row r="216" spans="1:27" ht="15.75" customHeight="1" x14ac:dyDescent="0.25">
      <c r="A216" s="2"/>
      <c r="B216" s="2"/>
      <c r="C216" s="2"/>
      <c r="D216" s="2"/>
      <c r="E216" s="2"/>
      <c r="F216" s="2"/>
      <c r="G216" s="111"/>
      <c r="H216" s="111"/>
      <c r="I216" s="111"/>
      <c r="J216" s="111"/>
      <c r="K216" s="111"/>
      <c r="L216" s="2"/>
      <c r="M216" s="2"/>
      <c r="N216" s="2"/>
      <c r="O216" s="2"/>
      <c r="P216" s="2"/>
      <c r="Q216" s="2"/>
      <c r="R216" s="2"/>
      <c r="S216" s="2"/>
      <c r="T216" s="2"/>
      <c r="U216" s="2"/>
      <c r="V216" s="2"/>
      <c r="W216" s="2"/>
      <c r="X216" s="2"/>
      <c r="Y216" s="2"/>
      <c r="Z216" s="2"/>
      <c r="AA216" s="2"/>
    </row>
    <row r="217" spans="1:27" ht="15.75" customHeight="1" x14ac:dyDescent="0.25">
      <c r="A217" s="2"/>
      <c r="B217" s="2"/>
      <c r="C217" s="2"/>
      <c r="D217" s="2"/>
      <c r="E217" s="2"/>
      <c r="F217" s="2"/>
      <c r="L217" s="2"/>
      <c r="M217" s="2"/>
      <c r="N217" s="2"/>
      <c r="O217" s="2"/>
      <c r="P217" s="2"/>
      <c r="Q217" s="2"/>
      <c r="R217" s="2"/>
      <c r="S217" s="2"/>
      <c r="T217" s="2"/>
      <c r="U217" s="2"/>
      <c r="V217" s="2"/>
      <c r="W217" s="2"/>
      <c r="X217" s="2"/>
      <c r="Y217" s="2"/>
      <c r="Z217" s="2"/>
      <c r="AA217" s="2"/>
    </row>
    <row r="218" spans="1:27" ht="15.75" customHeight="1" x14ac:dyDescent="0.25">
      <c r="A218" s="2"/>
      <c r="B218" s="2"/>
      <c r="C218" s="2"/>
      <c r="D218" s="2"/>
      <c r="E218" s="2"/>
      <c r="F218" s="2"/>
      <c r="L218" s="2"/>
      <c r="M218" s="2"/>
      <c r="N218" s="2"/>
      <c r="O218" s="2"/>
      <c r="P218" s="2"/>
      <c r="Q218" s="2"/>
      <c r="R218" s="2"/>
      <c r="S218" s="2"/>
      <c r="T218" s="2"/>
      <c r="U218" s="2"/>
      <c r="V218" s="2"/>
      <c r="W218" s="2"/>
      <c r="X218" s="2"/>
      <c r="Y218" s="2"/>
      <c r="Z218" s="2"/>
      <c r="AA218" s="2"/>
    </row>
    <row r="219" spans="1:27" ht="15.75" customHeight="1" x14ac:dyDescent="0.25">
      <c r="A219" s="2"/>
      <c r="B219" s="2"/>
      <c r="C219" s="2"/>
      <c r="D219" s="2"/>
      <c r="E219" s="2"/>
      <c r="F219" s="2"/>
      <c r="L219" s="4"/>
      <c r="M219" s="4"/>
      <c r="N219" s="4"/>
      <c r="O219" s="4"/>
      <c r="P219" s="4"/>
      <c r="Q219" s="4"/>
      <c r="R219" s="4"/>
      <c r="S219" s="4"/>
      <c r="T219" s="4"/>
      <c r="U219" s="4"/>
      <c r="V219" s="4"/>
      <c r="W219" s="4"/>
      <c r="X219" s="4"/>
      <c r="Y219" s="4"/>
      <c r="Z219" s="4"/>
      <c r="AA219" s="4"/>
    </row>
    <row r="220" spans="1:27" ht="15.75" customHeight="1" x14ac:dyDescent="0.25">
      <c r="A220" s="2"/>
      <c r="B220" s="2"/>
      <c r="C220" s="2"/>
      <c r="D220" s="2"/>
      <c r="E220" s="2"/>
      <c r="F220" s="2"/>
      <c r="G220" s="619" t="str">
        <f>'LAMPIRAN II DONE'!G1235</f>
        <v/>
      </c>
      <c r="H220" s="613"/>
      <c r="I220" s="613"/>
      <c r="J220" s="613"/>
      <c r="K220" s="1"/>
      <c r="L220" s="4"/>
      <c r="M220" s="4"/>
      <c r="N220" s="4"/>
      <c r="O220" s="4"/>
      <c r="P220" s="4"/>
      <c r="Q220" s="4"/>
      <c r="R220" s="4"/>
      <c r="S220" s="4"/>
      <c r="T220" s="4"/>
      <c r="U220" s="4"/>
      <c r="V220" s="4"/>
      <c r="W220" s="4"/>
      <c r="X220" s="4"/>
      <c r="Y220" s="4"/>
      <c r="Z220" s="4"/>
      <c r="AA220" s="4"/>
    </row>
    <row r="221" spans="1:27" ht="15.75" customHeight="1" x14ac:dyDescent="0.25">
      <c r="A221" s="2"/>
      <c r="B221" s="2"/>
      <c r="C221" s="2"/>
      <c r="D221" s="2"/>
      <c r="E221" s="2"/>
      <c r="F221" s="2"/>
      <c r="G221" s="2"/>
      <c r="H221" s="2"/>
      <c r="I221" s="2"/>
      <c r="J221" s="2"/>
      <c r="K221" s="2"/>
      <c r="L221" s="4"/>
      <c r="M221" s="4"/>
      <c r="N221" s="4"/>
      <c r="O221" s="4"/>
      <c r="P221" s="4"/>
      <c r="Q221" s="4"/>
      <c r="R221" s="4"/>
      <c r="S221" s="4"/>
      <c r="T221" s="4"/>
      <c r="U221" s="4"/>
      <c r="V221" s="4"/>
      <c r="W221" s="4"/>
      <c r="X221" s="4"/>
      <c r="Y221" s="4"/>
      <c r="Z221" s="4"/>
      <c r="AA221" s="4"/>
    </row>
    <row r="222" spans="1:27" ht="15.75" customHeight="1" x14ac:dyDescent="0.25">
      <c r="A222" s="2"/>
      <c r="B222" s="2"/>
      <c r="C222" s="2"/>
      <c r="D222" s="2"/>
      <c r="E222" s="2"/>
      <c r="F222" s="2"/>
      <c r="G222" s="2"/>
      <c r="H222" s="2"/>
      <c r="I222" s="2"/>
      <c r="J222" s="2"/>
      <c r="K222" s="2"/>
      <c r="L222" s="4"/>
      <c r="M222" s="4"/>
      <c r="N222" s="4"/>
      <c r="O222" s="4"/>
      <c r="P222" s="4"/>
      <c r="Q222" s="4"/>
      <c r="R222" s="4"/>
      <c r="S222" s="4"/>
      <c r="T222" s="4"/>
      <c r="U222" s="4"/>
      <c r="V222" s="4"/>
      <c r="W222" s="4"/>
      <c r="X222" s="4"/>
      <c r="Y222" s="4"/>
      <c r="Z222" s="4"/>
      <c r="AA222" s="4"/>
    </row>
    <row r="223" spans="1:27" ht="15.75" customHeight="1" x14ac:dyDescent="0.25">
      <c r="A223" s="612" t="s">
        <v>828</v>
      </c>
      <c r="B223" s="613"/>
      <c r="C223" s="613"/>
      <c r="D223" s="613"/>
      <c r="E223" s="613"/>
      <c r="F223" s="613"/>
      <c r="G223" s="613"/>
      <c r="H223" s="613"/>
      <c r="I223" s="613"/>
      <c r="J223" s="4"/>
      <c r="K223" s="4"/>
      <c r="L223" s="2"/>
      <c r="M223" s="2"/>
      <c r="N223" s="2"/>
      <c r="O223" s="2"/>
      <c r="P223" s="2"/>
      <c r="Q223" s="2"/>
      <c r="R223" s="2"/>
      <c r="S223" s="2"/>
      <c r="T223" s="2"/>
      <c r="U223" s="2"/>
      <c r="V223" s="2"/>
      <c r="W223" s="2"/>
      <c r="X223" s="2"/>
      <c r="Y223" s="2"/>
      <c r="Z223" s="2"/>
      <c r="AA223" s="2"/>
    </row>
    <row r="224" spans="1:27" ht="15.75" customHeight="1" x14ac:dyDescent="0.25">
      <c r="A224" s="612" t="s">
        <v>829</v>
      </c>
      <c r="B224" s="613"/>
      <c r="C224" s="613"/>
      <c r="D224" s="613"/>
      <c r="E224" s="613"/>
      <c r="F224" s="613"/>
      <c r="G224" s="613"/>
      <c r="H224" s="613"/>
      <c r="I224" s="613"/>
      <c r="J224" s="4"/>
      <c r="K224" s="4"/>
      <c r="L224" s="2"/>
      <c r="M224" s="2"/>
      <c r="N224" s="2"/>
      <c r="O224" s="2"/>
      <c r="P224" s="2"/>
      <c r="Q224" s="2"/>
      <c r="R224" s="2"/>
      <c r="S224" s="2"/>
      <c r="T224" s="2"/>
      <c r="U224" s="2"/>
      <c r="V224" s="2"/>
      <c r="W224" s="2"/>
      <c r="X224" s="2"/>
      <c r="Y224" s="2"/>
      <c r="Z224" s="2"/>
      <c r="AA224" s="2"/>
    </row>
    <row r="225" spans="1:27" ht="15.75" customHeight="1" x14ac:dyDescent="0.25">
      <c r="A225" s="612" t="s">
        <v>830</v>
      </c>
      <c r="B225" s="613"/>
      <c r="C225" s="613"/>
      <c r="D225" s="613"/>
      <c r="E225" s="613"/>
      <c r="F225" s="613"/>
      <c r="G225" s="613"/>
      <c r="H225" s="613"/>
      <c r="I225" s="613"/>
      <c r="J225" s="4"/>
      <c r="K225" s="4"/>
      <c r="L225" s="2"/>
      <c r="M225" s="2"/>
      <c r="N225" s="2"/>
      <c r="O225" s="2"/>
      <c r="P225" s="2"/>
      <c r="Q225" s="2"/>
      <c r="R225" s="2"/>
      <c r="S225" s="2"/>
      <c r="T225" s="2"/>
      <c r="U225" s="2"/>
      <c r="V225" s="2"/>
      <c r="W225" s="2"/>
      <c r="X225" s="2"/>
      <c r="Y225" s="2"/>
      <c r="Z225" s="2"/>
      <c r="AA225" s="2"/>
    </row>
    <row r="226" spans="1:27" ht="15.75" customHeight="1" x14ac:dyDescent="0.25">
      <c r="A226" s="612" t="s">
        <v>831</v>
      </c>
      <c r="B226" s="613"/>
      <c r="C226" s="613"/>
      <c r="D226" s="613"/>
      <c r="E226" s="613"/>
      <c r="F226" s="613"/>
      <c r="G226" s="613"/>
      <c r="H226" s="613"/>
      <c r="I226" s="613"/>
      <c r="J226" s="4"/>
      <c r="K226" s="4"/>
      <c r="L226" s="2"/>
      <c r="M226" s="2"/>
      <c r="N226" s="2"/>
      <c r="O226" s="2"/>
      <c r="P226" s="2"/>
      <c r="Q226" s="2"/>
      <c r="R226" s="2"/>
      <c r="S226" s="2"/>
      <c r="T226" s="2"/>
      <c r="U226" s="2"/>
      <c r="V226" s="2"/>
      <c r="W226" s="2"/>
      <c r="X226" s="2"/>
      <c r="Y226" s="2"/>
      <c r="Z226" s="2"/>
      <c r="AA226" s="2"/>
    </row>
    <row r="227" spans="1:27"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5.7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5.7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5.75" customHeight="1"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5.75" customHeight="1"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5.75" customHeight="1"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5.75" customHeight="1"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ht="15.75" customHeight="1"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ht="15.75" customHeight="1"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ht="15.75" customHeight="1"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spans="1:27" ht="15.75" customHeight="1"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spans="1:27" ht="15.75" customHeight="1"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spans="1:27" ht="15.75" customHeight="1"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spans="1:27" ht="15.75" customHeight="1"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spans="1:27" ht="15.75" customHeight="1"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sheetData>
  <mergeCells count="1241">
    <mergeCell ref="A176:A177"/>
    <mergeCell ref="D176:D177"/>
    <mergeCell ref="E176:E177"/>
    <mergeCell ref="F176:F177"/>
    <mergeCell ref="G176:G177"/>
    <mergeCell ref="H176:H177"/>
    <mergeCell ref="I176:I177"/>
    <mergeCell ref="J176:J177"/>
    <mergeCell ref="K176:K177"/>
    <mergeCell ref="L176:L177"/>
    <mergeCell ref="M176:M177"/>
    <mergeCell ref="N176:N177"/>
    <mergeCell ref="O176:O177"/>
    <mergeCell ref="P176:P177"/>
    <mergeCell ref="A172:A173"/>
    <mergeCell ref="D172:D173"/>
    <mergeCell ref="E172:E173"/>
    <mergeCell ref="F172:F173"/>
    <mergeCell ref="G172:G173"/>
    <mergeCell ref="H172:H173"/>
    <mergeCell ref="I172:I173"/>
    <mergeCell ref="J172:J173"/>
    <mergeCell ref="K172:K173"/>
    <mergeCell ref="L172:L173"/>
    <mergeCell ref="M172:M173"/>
    <mergeCell ref="N172:N173"/>
    <mergeCell ref="O172:O173"/>
    <mergeCell ref="P172:P173"/>
    <mergeCell ref="A174:A175"/>
    <mergeCell ref="D174:D175"/>
    <mergeCell ref="E174:E175"/>
    <mergeCell ref="F174:F175"/>
    <mergeCell ref="I174:I175"/>
    <mergeCell ref="J174:J175"/>
    <mergeCell ref="K174:K175"/>
    <mergeCell ref="L174:L175"/>
    <mergeCell ref="M174:M175"/>
    <mergeCell ref="N174:N175"/>
    <mergeCell ref="O174:O175"/>
    <mergeCell ref="P174:P175"/>
    <mergeCell ref="G180:G181"/>
    <mergeCell ref="H180:H181"/>
    <mergeCell ref="I180:I181"/>
    <mergeCell ref="J180:J181"/>
    <mergeCell ref="K180:K181"/>
    <mergeCell ref="L180:L181"/>
    <mergeCell ref="M180:M181"/>
    <mergeCell ref="N180:N181"/>
    <mergeCell ref="O180:O181"/>
    <mergeCell ref="P180:P181"/>
    <mergeCell ref="A182:A183"/>
    <mergeCell ref="D182:D183"/>
    <mergeCell ref="E182:E183"/>
    <mergeCell ref="F182:F183"/>
    <mergeCell ref="G182:G183"/>
    <mergeCell ref="H182:H183"/>
    <mergeCell ref="I182:I183"/>
    <mergeCell ref="J182:J183"/>
    <mergeCell ref="K182:K183"/>
    <mergeCell ref="L182:L183"/>
    <mergeCell ref="M182:M183"/>
    <mergeCell ref="N182:N183"/>
    <mergeCell ref="O182:O183"/>
    <mergeCell ref="P182:P183"/>
    <mergeCell ref="A184:A185"/>
    <mergeCell ref="D184:D185"/>
    <mergeCell ref="E184:E185"/>
    <mergeCell ref="F184:F185"/>
    <mergeCell ref="G184:G185"/>
    <mergeCell ref="H184:H185"/>
    <mergeCell ref="I184:I185"/>
    <mergeCell ref="J184:J185"/>
    <mergeCell ref="K184:K185"/>
    <mergeCell ref="L184:L185"/>
    <mergeCell ref="M184:M185"/>
    <mergeCell ref="N184:N185"/>
    <mergeCell ref="O184:O185"/>
    <mergeCell ref="P184:P185"/>
    <mergeCell ref="A178:A179"/>
    <mergeCell ref="D178:D179"/>
    <mergeCell ref="E178:E179"/>
    <mergeCell ref="F178:F179"/>
    <mergeCell ref="G178:G179"/>
    <mergeCell ref="H178:H179"/>
    <mergeCell ref="I178:I179"/>
    <mergeCell ref="J178:J179"/>
    <mergeCell ref="K178:K179"/>
    <mergeCell ref="L178:L179"/>
    <mergeCell ref="M178:M179"/>
    <mergeCell ref="N178:N179"/>
    <mergeCell ref="O178:O179"/>
    <mergeCell ref="P178:P179"/>
    <mergeCell ref="A180:A181"/>
    <mergeCell ref="D180:D181"/>
    <mergeCell ref="E180:E181"/>
    <mergeCell ref="F180:F181"/>
    <mergeCell ref="Q108:Q109"/>
    <mergeCell ref="G110:G111"/>
    <mergeCell ref="H110:H111"/>
    <mergeCell ref="P110:P111"/>
    <mergeCell ref="Q110:Q111"/>
    <mergeCell ref="I110:I111"/>
    <mergeCell ref="J110:J111"/>
    <mergeCell ref="K110:K111"/>
    <mergeCell ref="L110:L111"/>
    <mergeCell ref="M110:M111"/>
    <mergeCell ref="L126:L127"/>
    <mergeCell ref="M126:M127"/>
    <mergeCell ref="N126:N127"/>
    <mergeCell ref="O126:O127"/>
    <mergeCell ref="P126:P127"/>
    <mergeCell ref="Q126:Q127"/>
    <mergeCell ref="Q115:Q116"/>
    <mergeCell ref="Q113:Q114"/>
    <mergeCell ref="O117:O118"/>
    <mergeCell ref="P117:P118"/>
    <mergeCell ref="Q117:Q118"/>
    <mergeCell ref="P115:P116"/>
    <mergeCell ref="K124:K125"/>
    <mergeCell ref="L124:L125"/>
    <mergeCell ref="M124:M125"/>
    <mergeCell ref="N124:N125"/>
    <mergeCell ref="O124:O125"/>
    <mergeCell ref="P124:P125"/>
    <mergeCell ref="Q124:Q125"/>
    <mergeCell ref="P121:P122"/>
    <mergeCell ref="Q121:Q122"/>
    <mergeCell ref="M115:M116"/>
    <mergeCell ref="N115:N116"/>
    <mergeCell ref="M113:M114"/>
    <mergeCell ref="N113:N114"/>
    <mergeCell ref="O113:O114"/>
    <mergeCell ref="P113:P114"/>
    <mergeCell ref="E110:E111"/>
    <mergeCell ref="F110:F111"/>
    <mergeCell ref="E113:E114"/>
    <mergeCell ref="N117:N118"/>
    <mergeCell ref="M108:M109"/>
    <mergeCell ref="N108:N109"/>
    <mergeCell ref="O108:O109"/>
    <mergeCell ref="P108:P109"/>
    <mergeCell ref="N110:N111"/>
    <mergeCell ref="M117:M118"/>
    <mergeCell ref="O110:O111"/>
    <mergeCell ref="F113:F114"/>
    <mergeCell ref="G113:G114"/>
    <mergeCell ref="H113:H114"/>
    <mergeCell ref="I113:I114"/>
    <mergeCell ref="O115:O116"/>
    <mergeCell ref="F124:F125"/>
    <mergeCell ref="G124:G125"/>
    <mergeCell ref="H124:H125"/>
    <mergeCell ref="I124:I125"/>
    <mergeCell ref="J124:J125"/>
    <mergeCell ref="K126:K127"/>
    <mergeCell ref="D126:D127"/>
    <mergeCell ref="E126:E127"/>
    <mergeCell ref="F126:F127"/>
    <mergeCell ref="G126:G127"/>
    <mergeCell ref="H126:H127"/>
    <mergeCell ref="I126:I127"/>
    <mergeCell ref="J126:J127"/>
    <mergeCell ref="K117:K118"/>
    <mergeCell ref="L117:L118"/>
    <mergeCell ref="D121:D122"/>
    <mergeCell ref="E121:E122"/>
    <mergeCell ref="F121:F122"/>
    <mergeCell ref="G121:G122"/>
    <mergeCell ref="H121:H122"/>
    <mergeCell ref="I121:I122"/>
    <mergeCell ref="J121:J122"/>
    <mergeCell ref="J196:J197"/>
    <mergeCell ref="M198:M199"/>
    <mergeCell ref="N198:N199"/>
    <mergeCell ref="G198:G199"/>
    <mergeCell ref="H198:H199"/>
    <mergeCell ref="I198:I199"/>
    <mergeCell ref="J198:J199"/>
    <mergeCell ref="K198:K199"/>
    <mergeCell ref="L198:L199"/>
    <mergeCell ref="M150:M151"/>
    <mergeCell ref="N150:N151"/>
    <mergeCell ref="O150:O151"/>
    <mergeCell ref="K152:K153"/>
    <mergeCell ref="L152:L153"/>
    <mergeCell ref="F152:F153"/>
    <mergeCell ref="G152:G153"/>
    <mergeCell ref="H152:H153"/>
    <mergeCell ref="I152:I153"/>
    <mergeCell ref="J152:J153"/>
    <mergeCell ref="M164:M165"/>
    <mergeCell ref="N164:N165"/>
    <mergeCell ref="M170:M171"/>
    <mergeCell ref="B192:H192"/>
    <mergeCell ref="N170:N171"/>
    <mergeCell ref="M188:M189"/>
    <mergeCell ref="N188:N189"/>
    <mergeCell ref="D194:D195"/>
    <mergeCell ref="E194:E195"/>
    <mergeCell ref="E196:E197"/>
    <mergeCell ref="F196:F197"/>
    <mergeCell ref="G174:G175"/>
    <mergeCell ref="H174:H175"/>
    <mergeCell ref="A206:A207"/>
    <mergeCell ref="A158:A159"/>
    <mergeCell ref="M202:M203"/>
    <mergeCell ref="N202:N203"/>
    <mergeCell ref="O202:O203"/>
    <mergeCell ref="P202:P203"/>
    <mergeCell ref="F198:F199"/>
    <mergeCell ref="D202:D203"/>
    <mergeCell ref="E202:E203"/>
    <mergeCell ref="F202:F203"/>
    <mergeCell ref="G202:G203"/>
    <mergeCell ref="H202:H203"/>
    <mergeCell ref="I202:I203"/>
    <mergeCell ref="A223:I223"/>
    <mergeCell ref="A224:I224"/>
    <mergeCell ref="K206:K207"/>
    <mergeCell ref="L206:L207"/>
    <mergeCell ref="M206:M207"/>
    <mergeCell ref="N206:N207"/>
    <mergeCell ref="O206:O207"/>
    <mergeCell ref="P206:P207"/>
    <mergeCell ref="D206:D207"/>
    <mergeCell ref="E206:E207"/>
    <mergeCell ref="F206:F207"/>
    <mergeCell ref="G206:G207"/>
    <mergeCell ref="H206:H207"/>
    <mergeCell ref="I206:I207"/>
    <mergeCell ref="J206:J207"/>
    <mergeCell ref="K196:K197"/>
    <mergeCell ref="L196:L197"/>
    <mergeCell ref="M196:M197"/>
    <mergeCell ref="N196:N197"/>
    <mergeCell ref="A225:I225"/>
    <mergeCell ref="A226:I226"/>
    <mergeCell ref="B208:H208"/>
    <mergeCell ref="B209:G209"/>
    <mergeCell ref="B210:C210"/>
    <mergeCell ref="A211:I211"/>
    <mergeCell ref="A212:I212"/>
    <mergeCell ref="G214:J215"/>
    <mergeCell ref="G220:J220"/>
    <mergeCell ref="A110:A111"/>
    <mergeCell ref="H115:H116"/>
    <mergeCell ref="I115:I116"/>
    <mergeCell ref="A135:A136"/>
    <mergeCell ref="A137:A138"/>
    <mergeCell ref="A139:A140"/>
    <mergeCell ref="A141:A142"/>
    <mergeCell ref="A143:A144"/>
    <mergeCell ref="A146:A147"/>
    <mergeCell ref="A190:A191"/>
    <mergeCell ref="A194:A195"/>
    <mergeCell ref="A196:A197"/>
    <mergeCell ref="A198:A199"/>
    <mergeCell ref="A202:A203"/>
    <mergeCell ref="A204:A205"/>
    <mergeCell ref="D115:D116"/>
    <mergeCell ref="D117:D118"/>
    <mergeCell ref="F117:F118"/>
    <mergeCell ref="G117:G118"/>
    <mergeCell ref="H117:H118"/>
    <mergeCell ref="I117:I118"/>
    <mergeCell ref="J117:J118"/>
    <mergeCell ref="A119:A120"/>
    <mergeCell ref="D108:D109"/>
    <mergeCell ref="D110:D111"/>
    <mergeCell ref="A113:A114"/>
    <mergeCell ref="D113:D114"/>
    <mergeCell ref="A115:A116"/>
    <mergeCell ref="E115:E116"/>
    <mergeCell ref="E117:E118"/>
    <mergeCell ref="J113:J114"/>
    <mergeCell ref="K113:K114"/>
    <mergeCell ref="L113:L114"/>
    <mergeCell ref="A108:A109"/>
    <mergeCell ref="E108:E109"/>
    <mergeCell ref="F108:F109"/>
    <mergeCell ref="G108:G109"/>
    <mergeCell ref="H108:H109"/>
    <mergeCell ref="I108:I109"/>
    <mergeCell ref="A117:A118"/>
    <mergeCell ref="J108:J109"/>
    <mergeCell ref="K108:K109"/>
    <mergeCell ref="L108:L109"/>
    <mergeCell ref="F115:F116"/>
    <mergeCell ref="G115:G116"/>
    <mergeCell ref="J115:J116"/>
    <mergeCell ref="K115:K116"/>
    <mergeCell ref="L115:L116"/>
    <mergeCell ref="P128:P129"/>
    <mergeCell ref="Q128:Q129"/>
    <mergeCell ref="D128:D129"/>
    <mergeCell ref="E128:E129"/>
    <mergeCell ref="F128:F129"/>
    <mergeCell ref="G128:G129"/>
    <mergeCell ref="H128:H129"/>
    <mergeCell ref="I128:I129"/>
    <mergeCell ref="J128:J129"/>
    <mergeCell ref="K130:K131"/>
    <mergeCell ref="K128:K129"/>
    <mergeCell ref="L130:L131"/>
    <mergeCell ref="M130:M131"/>
    <mergeCell ref="N130:N131"/>
    <mergeCell ref="O130:O131"/>
    <mergeCell ref="P130:P131"/>
    <mergeCell ref="Q130:Q131"/>
    <mergeCell ref="D130:D131"/>
    <mergeCell ref="E130:E131"/>
    <mergeCell ref="F130:F131"/>
    <mergeCell ref="G130:G131"/>
    <mergeCell ref="H130:H131"/>
    <mergeCell ref="A121:A122"/>
    <mergeCell ref="A124:A125"/>
    <mergeCell ref="A126:A127"/>
    <mergeCell ref="A128:A129"/>
    <mergeCell ref="A130:A131"/>
    <mergeCell ref="A132:A133"/>
    <mergeCell ref="K121:K122"/>
    <mergeCell ref="L121:L122"/>
    <mergeCell ref="M121:M122"/>
    <mergeCell ref="N121:N122"/>
    <mergeCell ref="O121:O122"/>
    <mergeCell ref="I130:I131"/>
    <mergeCell ref="J130:J131"/>
    <mergeCell ref="D141:D142"/>
    <mergeCell ref="M135:M136"/>
    <mergeCell ref="N135:N136"/>
    <mergeCell ref="O135:O136"/>
    <mergeCell ref="K139:K140"/>
    <mergeCell ref="L139:L140"/>
    <mergeCell ref="M139:M140"/>
    <mergeCell ref="N139:N140"/>
    <mergeCell ref="O139:O140"/>
    <mergeCell ref="J132:J133"/>
    <mergeCell ref="D132:D133"/>
    <mergeCell ref="E132:E133"/>
    <mergeCell ref="F132:F133"/>
    <mergeCell ref="G132:G133"/>
    <mergeCell ref="H132:H133"/>
    <mergeCell ref="I132:I133"/>
    <mergeCell ref="O132:O133"/>
    <mergeCell ref="D124:D125"/>
    <mergeCell ref="E124:E125"/>
    <mergeCell ref="N166:N167"/>
    <mergeCell ref="I160:I161"/>
    <mergeCell ref="J160:J161"/>
    <mergeCell ref="J158:J159"/>
    <mergeCell ref="K158:K159"/>
    <mergeCell ref="L158:L159"/>
    <mergeCell ref="M158:M159"/>
    <mergeCell ref="L128:L129"/>
    <mergeCell ref="M128:M129"/>
    <mergeCell ref="N128:N129"/>
    <mergeCell ref="O128:O129"/>
    <mergeCell ref="K132:K133"/>
    <mergeCell ref="N152:N153"/>
    <mergeCell ref="O152:O153"/>
    <mergeCell ref="P152:P153"/>
    <mergeCell ref="Q152:Q153"/>
    <mergeCell ref="K148:K149"/>
    <mergeCell ref="L148:L149"/>
    <mergeCell ref="M148:M149"/>
    <mergeCell ref="N148:N149"/>
    <mergeCell ref="O148:O149"/>
    <mergeCell ref="P148:P149"/>
    <mergeCell ref="Q148:Q149"/>
    <mergeCell ref="P132:P133"/>
    <mergeCell ref="Q132:Q133"/>
    <mergeCell ref="P141:P142"/>
    <mergeCell ref="Q141:Q142"/>
    <mergeCell ref="L132:L133"/>
    <mergeCell ref="M132:M133"/>
    <mergeCell ref="N132:N133"/>
    <mergeCell ref="K135:K136"/>
    <mergeCell ref="L135:L136"/>
    <mergeCell ref="K190:K191"/>
    <mergeCell ref="L190:L191"/>
    <mergeCell ref="L164:L165"/>
    <mergeCell ref="J170:J171"/>
    <mergeCell ref="K170:K171"/>
    <mergeCell ref="D188:D189"/>
    <mergeCell ref="A160:A161"/>
    <mergeCell ref="A164:A165"/>
    <mergeCell ref="A166:A167"/>
    <mergeCell ref="A170:A171"/>
    <mergeCell ref="A186:A187"/>
    <mergeCell ref="A188:A189"/>
    <mergeCell ref="A154:A155"/>
    <mergeCell ref="G160:G161"/>
    <mergeCell ref="H160:H161"/>
    <mergeCell ref="F146:F147"/>
    <mergeCell ref="G146:G147"/>
    <mergeCell ref="H146:H147"/>
    <mergeCell ref="I146:I147"/>
    <mergeCell ref="J146:J147"/>
    <mergeCell ref="F188:F189"/>
    <mergeCell ref="G188:G189"/>
    <mergeCell ref="H188:H189"/>
    <mergeCell ref="I188:I189"/>
    <mergeCell ref="J188:J189"/>
    <mergeCell ref="J166:J167"/>
    <mergeCell ref="B168:H168"/>
    <mergeCell ref="I154:I155"/>
    <mergeCell ref="J154:J155"/>
    <mergeCell ref="K154:K155"/>
    <mergeCell ref="L154:L155"/>
    <mergeCell ref="D148:D149"/>
    <mergeCell ref="F194:F195"/>
    <mergeCell ref="G194:G195"/>
    <mergeCell ref="H194:H195"/>
    <mergeCell ref="I194:I195"/>
    <mergeCell ref="K204:K205"/>
    <mergeCell ref="L204:L205"/>
    <mergeCell ref="M204:M205"/>
    <mergeCell ref="N204:N205"/>
    <mergeCell ref="O204:O205"/>
    <mergeCell ref="P204:P205"/>
    <mergeCell ref="D204:D205"/>
    <mergeCell ref="E204:E205"/>
    <mergeCell ref="F204:F205"/>
    <mergeCell ref="G204:G205"/>
    <mergeCell ref="H204:H205"/>
    <mergeCell ref="I204:I205"/>
    <mergeCell ref="J204:J205"/>
    <mergeCell ref="J194:J195"/>
    <mergeCell ref="K194:K195"/>
    <mergeCell ref="L194:L195"/>
    <mergeCell ref="M194:M195"/>
    <mergeCell ref="N194:N195"/>
    <mergeCell ref="D198:D199"/>
    <mergeCell ref="E198:E199"/>
    <mergeCell ref="B200:H200"/>
    <mergeCell ref="J202:J203"/>
    <mergeCell ref="K202:K203"/>
    <mergeCell ref="L202:L203"/>
    <mergeCell ref="D196:D197"/>
    <mergeCell ref="G196:G197"/>
    <mergeCell ref="H196:H197"/>
    <mergeCell ref="I196:I197"/>
    <mergeCell ref="I6:J6"/>
    <mergeCell ref="A8:J8"/>
    <mergeCell ref="A9:J9"/>
    <mergeCell ref="B11:C11"/>
    <mergeCell ref="D11:J11"/>
    <mergeCell ref="B12:C12"/>
    <mergeCell ref="D12:J12"/>
    <mergeCell ref="D18:J18"/>
    <mergeCell ref="D19:J19"/>
    <mergeCell ref="D20:J20"/>
    <mergeCell ref="D21:J21"/>
    <mergeCell ref="L21:M21"/>
    <mergeCell ref="B13:C13"/>
    <mergeCell ref="D13:J13"/>
    <mergeCell ref="B14:C14"/>
    <mergeCell ref="D14:J14"/>
    <mergeCell ref="B15:C15"/>
    <mergeCell ref="D15:J15"/>
    <mergeCell ref="D17:J17"/>
    <mergeCell ref="D22:D24"/>
    <mergeCell ref="E22:E24"/>
    <mergeCell ref="F22:F24"/>
    <mergeCell ref="G22:G24"/>
    <mergeCell ref="H22:H24"/>
    <mergeCell ref="I22:I24"/>
    <mergeCell ref="J22:J24"/>
    <mergeCell ref="B17:C17"/>
    <mergeCell ref="B18:C18"/>
    <mergeCell ref="B19:C19"/>
    <mergeCell ref="B20:C20"/>
    <mergeCell ref="B21:C21"/>
    <mergeCell ref="A22:A24"/>
    <mergeCell ref="B22:C24"/>
    <mergeCell ref="O29:O30"/>
    <mergeCell ref="P29:P30"/>
    <mergeCell ref="Q29:Q30"/>
    <mergeCell ref="H29:H30"/>
    <mergeCell ref="I29:I30"/>
    <mergeCell ref="J29:J30"/>
    <mergeCell ref="K29:K30"/>
    <mergeCell ref="L29:L30"/>
    <mergeCell ref="M29:M30"/>
    <mergeCell ref="N29:N30"/>
    <mergeCell ref="M31:M32"/>
    <mergeCell ref="N31:N32"/>
    <mergeCell ref="O31:O32"/>
    <mergeCell ref="P31:P32"/>
    <mergeCell ref="Q31:Q32"/>
    <mergeCell ref="E31:E32"/>
    <mergeCell ref="F31:F32"/>
    <mergeCell ref="H31:H32"/>
    <mergeCell ref="I31:I32"/>
    <mergeCell ref="J31:J32"/>
    <mergeCell ref="K31:K32"/>
    <mergeCell ref="L31:L32"/>
    <mergeCell ref="A31:A32"/>
    <mergeCell ref="A33:A34"/>
    <mergeCell ref="A35:A36"/>
    <mergeCell ref="B25:C25"/>
    <mergeCell ref="B26:C26"/>
    <mergeCell ref="A29:A30"/>
    <mergeCell ref="E29:E30"/>
    <mergeCell ref="F29:F30"/>
    <mergeCell ref="G29:G30"/>
    <mergeCell ref="G31:G32"/>
    <mergeCell ref="P33:P34"/>
    <mergeCell ref="Q33:Q34"/>
    <mergeCell ref="D29:D30"/>
    <mergeCell ref="D31:D32"/>
    <mergeCell ref="D33:D34"/>
    <mergeCell ref="E33:E34"/>
    <mergeCell ref="F33:F34"/>
    <mergeCell ref="G33:G34"/>
    <mergeCell ref="H33:H34"/>
    <mergeCell ref="M35:M36"/>
    <mergeCell ref="N35:N36"/>
    <mergeCell ref="O35:O36"/>
    <mergeCell ref="P35:P36"/>
    <mergeCell ref="Q35:Q36"/>
    <mergeCell ref="I33:I34"/>
    <mergeCell ref="J33:J34"/>
    <mergeCell ref="K33:K34"/>
    <mergeCell ref="L33:L34"/>
    <mergeCell ref="M33:M34"/>
    <mergeCell ref="N33:N34"/>
    <mergeCell ref="O33:O34"/>
    <mergeCell ref="K35:K36"/>
    <mergeCell ref="L35:L36"/>
    <mergeCell ref="D35:D36"/>
    <mergeCell ref="D37:D38"/>
    <mergeCell ref="E37:E38"/>
    <mergeCell ref="F37:F38"/>
    <mergeCell ref="G37:G38"/>
    <mergeCell ref="H37:H38"/>
    <mergeCell ref="P37:P38"/>
    <mergeCell ref="Q37:Q38"/>
    <mergeCell ref="I37:I38"/>
    <mergeCell ref="J37:J38"/>
    <mergeCell ref="K37:K38"/>
    <mergeCell ref="L37:L38"/>
    <mergeCell ref="M37:M38"/>
    <mergeCell ref="N37:N38"/>
    <mergeCell ref="O37:O38"/>
    <mergeCell ref="E35:E36"/>
    <mergeCell ref="F35:F36"/>
    <mergeCell ref="G35:G36"/>
    <mergeCell ref="H35:H36"/>
    <mergeCell ref="I35:I36"/>
    <mergeCell ref="J35:J36"/>
    <mergeCell ref="A37:A38"/>
    <mergeCell ref="J39:J40"/>
    <mergeCell ref="K39:K40"/>
    <mergeCell ref="L39:L40"/>
    <mergeCell ref="M39:M40"/>
    <mergeCell ref="N39:N40"/>
    <mergeCell ref="O39:O40"/>
    <mergeCell ref="P39:P40"/>
    <mergeCell ref="Q39:Q40"/>
    <mergeCell ref="D39:D40"/>
    <mergeCell ref="D41:D42"/>
    <mergeCell ref="E41:E42"/>
    <mergeCell ref="F41:F42"/>
    <mergeCell ref="G41:G42"/>
    <mergeCell ref="H41:H42"/>
    <mergeCell ref="P41:P42"/>
    <mergeCell ref="Q41:Q42"/>
    <mergeCell ref="I41:I42"/>
    <mergeCell ref="J41:J42"/>
    <mergeCell ref="K41:K42"/>
    <mergeCell ref="L41:L42"/>
    <mergeCell ref="M41:M42"/>
    <mergeCell ref="N41:N42"/>
    <mergeCell ref="O41:O42"/>
    <mergeCell ref="A39:A40"/>
    <mergeCell ref="E39:E40"/>
    <mergeCell ref="F39:F40"/>
    <mergeCell ref="G39:G40"/>
    <mergeCell ref="H39:H40"/>
    <mergeCell ref="I39:I40"/>
    <mergeCell ref="A41:A42"/>
    <mergeCell ref="J43:J44"/>
    <mergeCell ref="K43:K44"/>
    <mergeCell ref="L43:L44"/>
    <mergeCell ref="M43:M44"/>
    <mergeCell ref="N43:N44"/>
    <mergeCell ref="O43:O44"/>
    <mergeCell ref="P43:P44"/>
    <mergeCell ref="Q43:Q44"/>
    <mergeCell ref="D43:D44"/>
    <mergeCell ref="D45:D46"/>
    <mergeCell ref="E45:E46"/>
    <mergeCell ref="F45:F46"/>
    <mergeCell ref="G45:G46"/>
    <mergeCell ref="H45:H46"/>
    <mergeCell ref="P45:P46"/>
    <mergeCell ref="Q45:Q46"/>
    <mergeCell ref="I45:I46"/>
    <mergeCell ref="J45:J46"/>
    <mergeCell ref="K45:K46"/>
    <mergeCell ref="L45:L46"/>
    <mergeCell ref="M45:M46"/>
    <mergeCell ref="N45:N46"/>
    <mergeCell ref="O45:O46"/>
    <mergeCell ref="A43:A44"/>
    <mergeCell ref="E43:E44"/>
    <mergeCell ref="F43:F44"/>
    <mergeCell ref="G43:G44"/>
    <mergeCell ref="H43:H44"/>
    <mergeCell ref="I43:I44"/>
    <mergeCell ref="A45:A46"/>
    <mergeCell ref="L73:L74"/>
    <mergeCell ref="D73:D74"/>
    <mergeCell ref="Q52:Q53"/>
    <mergeCell ref="R52:R53"/>
    <mergeCell ref="J52:J53"/>
    <mergeCell ref="K52:K53"/>
    <mergeCell ref="L52:L53"/>
    <mergeCell ref="M52:M53"/>
    <mergeCell ref="N52:N53"/>
    <mergeCell ref="O52:O53"/>
    <mergeCell ref="P52:P53"/>
    <mergeCell ref="O54:O55"/>
    <mergeCell ref="P54:P55"/>
    <mergeCell ref="H54:H55"/>
    <mergeCell ref="I54:I55"/>
    <mergeCell ref="J54:J55"/>
    <mergeCell ref="K54:K55"/>
    <mergeCell ref="L54:L55"/>
    <mergeCell ref="M54:M55"/>
    <mergeCell ref="N54:N55"/>
    <mergeCell ref="E68:E69"/>
    <mergeCell ref="F68:F69"/>
    <mergeCell ref="E71:E72"/>
    <mergeCell ref="M71:M72"/>
    <mergeCell ref="N71:N72"/>
    <mergeCell ref="O71:O72"/>
    <mergeCell ref="P71:P72"/>
    <mergeCell ref="Q71:Q72"/>
    <mergeCell ref="E56:E57"/>
    <mergeCell ref="F56:F57"/>
    <mergeCell ref="G56:G57"/>
    <mergeCell ref="P62:P63"/>
    <mergeCell ref="A66:A67"/>
    <mergeCell ref="A68:A69"/>
    <mergeCell ref="A71:A72"/>
    <mergeCell ref="A73:A74"/>
    <mergeCell ref="A64:A65"/>
    <mergeCell ref="E64:E65"/>
    <mergeCell ref="F64:F65"/>
    <mergeCell ref="G64:G65"/>
    <mergeCell ref="H64:H65"/>
    <mergeCell ref="I64:I65"/>
    <mergeCell ref="I66:I67"/>
    <mergeCell ref="L68:L69"/>
    <mergeCell ref="M68:M69"/>
    <mergeCell ref="N68:N69"/>
    <mergeCell ref="O68:O69"/>
    <mergeCell ref="P68:P69"/>
    <mergeCell ref="Q68:Q69"/>
    <mergeCell ref="D68:D69"/>
    <mergeCell ref="D71:D72"/>
    <mergeCell ref="O73:O74"/>
    <mergeCell ref="P73:P74"/>
    <mergeCell ref="M73:M74"/>
    <mergeCell ref="N73:N74"/>
    <mergeCell ref="Q73:Q74"/>
    <mergeCell ref="D64:D65"/>
    <mergeCell ref="D66:D67"/>
    <mergeCell ref="J66:J67"/>
    <mergeCell ref="K66:K67"/>
    <mergeCell ref="L66:L67"/>
    <mergeCell ref="M66:M67"/>
    <mergeCell ref="N66:N67"/>
    <mergeCell ref="K73:K74"/>
    <mergeCell ref="P75:P76"/>
    <mergeCell ref="Q75:Q76"/>
    <mergeCell ref="I75:I76"/>
    <mergeCell ref="J75:J76"/>
    <mergeCell ref="K75:K76"/>
    <mergeCell ref="L75:L76"/>
    <mergeCell ref="M75:M76"/>
    <mergeCell ref="N75:N76"/>
    <mergeCell ref="O75:O76"/>
    <mergeCell ref="E73:E74"/>
    <mergeCell ref="F73:F74"/>
    <mergeCell ref="G73:G74"/>
    <mergeCell ref="H73:H74"/>
    <mergeCell ref="I73:I74"/>
    <mergeCell ref="J73:J74"/>
    <mergeCell ref="R68:R69"/>
    <mergeCell ref="G66:G67"/>
    <mergeCell ref="H66:H67"/>
    <mergeCell ref="G68:G69"/>
    <mergeCell ref="H68:H69"/>
    <mergeCell ref="I68:I69"/>
    <mergeCell ref="J68:J69"/>
    <mergeCell ref="K68:K69"/>
    <mergeCell ref="F71:F72"/>
    <mergeCell ref="G71:G72"/>
    <mergeCell ref="H71:H72"/>
    <mergeCell ref="I71:I72"/>
    <mergeCell ref="J71:J72"/>
    <mergeCell ref="K71:K72"/>
    <mergeCell ref="L71:L72"/>
    <mergeCell ref="E66:E67"/>
    <mergeCell ref="F66:F67"/>
    <mergeCell ref="J79:J80"/>
    <mergeCell ref="K79:K80"/>
    <mergeCell ref="L79:L80"/>
    <mergeCell ref="M79:M80"/>
    <mergeCell ref="N79:N80"/>
    <mergeCell ref="O79:O80"/>
    <mergeCell ref="A77:A78"/>
    <mergeCell ref="E77:E78"/>
    <mergeCell ref="F77:F78"/>
    <mergeCell ref="G77:G78"/>
    <mergeCell ref="H77:H78"/>
    <mergeCell ref="I77:I78"/>
    <mergeCell ref="A79:A80"/>
    <mergeCell ref="D75:D76"/>
    <mergeCell ref="E75:E76"/>
    <mergeCell ref="F75:F76"/>
    <mergeCell ref="G75:G76"/>
    <mergeCell ref="H75:H76"/>
    <mergeCell ref="D81:D82"/>
    <mergeCell ref="D83:D84"/>
    <mergeCell ref="E83:E84"/>
    <mergeCell ref="F83:F84"/>
    <mergeCell ref="G83:G84"/>
    <mergeCell ref="H83:H84"/>
    <mergeCell ref="P83:P84"/>
    <mergeCell ref="Q83:Q84"/>
    <mergeCell ref="I83:I84"/>
    <mergeCell ref="J83:J84"/>
    <mergeCell ref="K83:K84"/>
    <mergeCell ref="L83:L84"/>
    <mergeCell ref="M83:M84"/>
    <mergeCell ref="N83:N84"/>
    <mergeCell ref="O83:O84"/>
    <mergeCell ref="A75:A76"/>
    <mergeCell ref="J77:J78"/>
    <mergeCell ref="K77:K78"/>
    <mergeCell ref="L77:L78"/>
    <mergeCell ref="M77:M78"/>
    <mergeCell ref="N77:N78"/>
    <mergeCell ref="O77:O78"/>
    <mergeCell ref="P77:P78"/>
    <mergeCell ref="Q77:Q78"/>
    <mergeCell ref="D77:D78"/>
    <mergeCell ref="D79:D80"/>
    <mergeCell ref="E79:E80"/>
    <mergeCell ref="F79:F80"/>
    <mergeCell ref="G79:G80"/>
    <mergeCell ref="H79:H80"/>
    <mergeCell ref="P79:P80"/>
    <mergeCell ref="Q79:Q80"/>
    <mergeCell ref="R50:R51"/>
    <mergeCell ref="Q54:Q55"/>
    <mergeCell ref="R54:R55"/>
    <mergeCell ref="M56:M57"/>
    <mergeCell ref="R56:R57"/>
    <mergeCell ref="A54:A55"/>
    <mergeCell ref="A56:A57"/>
    <mergeCell ref="D50:D51"/>
    <mergeCell ref="D52:D53"/>
    <mergeCell ref="D54:D55"/>
    <mergeCell ref="E54:E55"/>
    <mergeCell ref="F54:F55"/>
    <mergeCell ref="G54:G55"/>
    <mergeCell ref="N56:N57"/>
    <mergeCell ref="O56:O57"/>
    <mergeCell ref="K56:K57"/>
    <mergeCell ref="L56:L57"/>
    <mergeCell ref="D56:D57"/>
    <mergeCell ref="A50:A51"/>
    <mergeCell ref="A52:A53"/>
    <mergeCell ref="J56:J57"/>
    <mergeCell ref="A47:A48"/>
    <mergeCell ref="E47:E48"/>
    <mergeCell ref="F47:F48"/>
    <mergeCell ref="G47:G48"/>
    <mergeCell ref="H47:H48"/>
    <mergeCell ref="I47:I48"/>
    <mergeCell ref="I50:I51"/>
    <mergeCell ref="E50:E51"/>
    <mergeCell ref="F50:F51"/>
    <mergeCell ref="E52:E53"/>
    <mergeCell ref="F52:F53"/>
    <mergeCell ref="G52:G53"/>
    <mergeCell ref="H52:H53"/>
    <mergeCell ref="I52:I53"/>
    <mergeCell ref="D47:D48"/>
    <mergeCell ref="H56:H57"/>
    <mergeCell ref="I56:I57"/>
    <mergeCell ref="J47:J48"/>
    <mergeCell ref="K47:K48"/>
    <mergeCell ref="L47:L48"/>
    <mergeCell ref="M47:M48"/>
    <mergeCell ref="N47:N48"/>
    <mergeCell ref="O47:O48"/>
    <mergeCell ref="P47:P48"/>
    <mergeCell ref="Q47:Q48"/>
    <mergeCell ref="G50:G51"/>
    <mergeCell ref="H50:H51"/>
    <mergeCell ref="J50:J51"/>
    <mergeCell ref="K50:K51"/>
    <mergeCell ref="L50:L51"/>
    <mergeCell ref="M50:M51"/>
    <mergeCell ref="N50:N51"/>
    <mergeCell ref="P56:P57"/>
    <mergeCell ref="Q56:Q57"/>
    <mergeCell ref="O50:O51"/>
    <mergeCell ref="P50:P51"/>
    <mergeCell ref="Q50:Q51"/>
    <mergeCell ref="M94:M95"/>
    <mergeCell ref="N94:N95"/>
    <mergeCell ref="Q60:Q61"/>
    <mergeCell ref="R60:R61"/>
    <mergeCell ref="J60:J61"/>
    <mergeCell ref="K60:K61"/>
    <mergeCell ref="L60:L61"/>
    <mergeCell ref="M60:M61"/>
    <mergeCell ref="N60:N61"/>
    <mergeCell ref="O60:O61"/>
    <mergeCell ref="P60:P61"/>
    <mergeCell ref="D60:D61"/>
    <mergeCell ref="D62:D63"/>
    <mergeCell ref="E62:E63"/>
    <mergeCell ref="F62:F63"/>
    <mergeCell ref="F58:F59"/>
    <mergeCell ref="G58:G59"/>
    <mergeCell ref="H58:H59"/>
    <mergeCell ref="P58:P59"/>
    <mergeCell ref="Q58:Q59"/>
    <mergeCell ref="R58:R59"/>
    <mergeCell ref="I58:I59"/>
    <mergeCell ref="J58:J59"/>
    <mergeCell ref="K58:K59"/>
    <mergeCell ref="L58:L59"/>
    <mergeCell ref="M58:M59"/>
    <mergeCell ref="N58:N59"/>
    <mergeCell ref="O58:O59"/>
    <mergeCell ref="E81:E82"/>
    <mergeCell ref="F81:F82"/>
    <mergeCell ref="G81:G82"/>
    <mergeCell ref="H81:H82"/>
    <mergeCell ref="J81:J82"/>
    <mergeCell ref="K81:K82"/>
    <mergeCell ref="L81:L82"/>
    <mergeCell ref="M81:M82"/>
    <mergeCell ref="N81:N82"/>
    <mergeCell ref="O81:O82"/>
    <mergeCell ref="P81:P82"/>
    <mergeCell ref="Q81:Q82"/>
    <mergeCell ref="I79:I80"/>
    <mergeCell ref="L89:L90"/>
    <mergeCell ref="M89:M90"/>
    <mergeCell ref="N89:N90"/>
    <mergeCell ref="A58:A59"/>
    <mergeCell ref="G62:G63"/>
    <mergeCell ref="H62:H63"/>
    <mergeCell ref="A60:A61"/>
    <mergeCell ref="E60:E61"/>
    <mergeCell ref="F60:F61"/>
    <mergeCell ref="G60:G61"/>
    <mergeCell ref="H60:H61"/>
    <mergeCell ref="I60:I61"/>
    <mergeCell ref="A62:A63"/>
    <mergeCell ref="J64:J65"/>
    <mergeCell ref="K64:K65"/>
    <mergeCell ref="L64:L65"/>
    <mergeCell ref="M64:M65"/>
    <mergeCell ref="N64:N65"/>
    <mergeCell ref="A81:A82"/>
    <mergeCell ref="I81:I82"/>
    <mergeCell ref="A83:A84"/>
    <mergeCell ref="D58:D59"/>
    <mergeCell ref="E58:E59"/>
    <mergeCell ref="Q62:Q63"/>
    <mergeCell ref="R62:R63"/>
    <mergeCell ref="I62:I63"/>
    <mergeCell ref="J62:J63"/>
    <mergeCell ref="K62:K63"/>
    <mergeCell ref="L62:L63"/>
    <mergeCell ref="M62:M63"/>
    <mergeCell ref="N62:N63"/>
    <mergeCell ref="O62:O63"/>
    <mergeCell ref="O66:O67"/>
    <mergeCell ref="P66:P67"/>
    <mergeCell ref="Q66:Q67"/>
    <mergeCell ref="R66:R67"/>
    <mergeCell ref="Q64:Q65"/>
    <mergeCell ref="R64:R65"/>
    <mergeCell ref="O64:O65"/>
    <mergeCell ref="P64:P65"/>
    <mergeCell ref="O89:O90"/>
    <mergeCell ref="P89:P90"/>
    <mergeCell ref="A92:A93"/>
    <mergeCell ref="A94:A95"/>
    <mergeCell ref="J85:J86"/>
    <mergeCell ref="K85:K86"/>
    <mergeCell ref="L85:L86"/>
    <mergeCell ref="M85:M86"/>
    <mergeCell ref="N85:N86"/>
    <mergeCell ref="O85:O86"/>
    <mergeCell ref="P85:P86"/>
    <mergeCell ref="Q85:Q86"/>
    <mergeCell ref="D85:D86"/>
    <mergeCell ref="D87:D88"/>
    <mergeCell ref="E87:E88"/>
    <mergeCell ref="F87:F88"/>
    <mergeCell ref="G87:G88"/>
    <mergeCell ref="H87:H88"/>
    <mergeCell ref="P87:P88"/>
    <mergeCell ref="Q87:Q88"/>
    <mergeCell ref="I87:I88"/>
    <mergeCell ref="J87:J88"/>
    <mergeCell ref="K87:K88"/>
    <mergeCell ref="L87:L88"/>
    <mergeCell ref="M87:M88"/>
    <mergeCell ref="N87:N88"/>
    <mergeCell ref="O87:O88"/>
    <mergeCell ref="J94:J95"/>
    <mergeCell ref="K94:K95"/>
    <mergeCell ref="O94:O95"/>
    <mergeCell ref="P94:P95"/>
    <mergeCell ref="L94:L95"/>
    <mergeCell ref="P98:P99"/>
    <mergeCell ref="Q98:Q99"/>
    <mergeCell ref="G98:G99"/>
    <mergeCell ref="H98:H99"/>
    <mergeCell ref="J98:J99"/>
    <mergeCell ref="Q94:Q95"/>
    <mergeCell ref="O96:O97"/>
    <mergeCell ref="P96:P97"/>
    <mergeCell ref="A85:A86"/>
    <mergeCell ref="E85:E86"/>
    <mergeCell ref="F85:F86"/>
    <mergeCell ref="G85:G86"/>
    <mergeCell ref="H85:H86"/>
    <mergeCell ref="I85:I86"/>
    <mergeCell ref="A87:A88"/>
    <mergeCell ref="E92:E93"/>
    <mergeCell ref="F92:F93"/>
    <mergeCell ref="E94:E95"/>
    <mergeCell ref="F94:F95"/>
    <mergeCell ref="G94:G95"/>
    <mergeCell ref="H94:H95"/>
    <mergeCell ref="I94:I95"/>
    <mergeCell ref="D89:D90"/>
    <mergeCell ref="D92:D93"/>
    <mergeCell ref="D94:D95"/>
    <mergeCell ref="A89:A90"/>
    <mergeCell ref="E89:E90"/>
    <mergeCell ref="F89:F90"/>
    <mergeCell ref="G89:G90"/>
    <mergeCell ref="H89:H90"/>
    <mergeCell ref="J89:J90"/>
    <mergeCell ref="K89:K90"/>
    <mergeCell ref="A98:A99"/>
    <mergeCell ref="A100:A101"/>
    <mergeCell ref="E100:E101"/>
    <mergeCell ref="F100:F101"/>
    <mergeCell ref="G100:G101"/>
    <mergeCell ref="H100:H101"/>
    <mergeCell ref="A102:A103"/>
    <mergeCell ref="N102:N103"/>
    <mergeCell ref="Q89:Q90"/>
    <mergeCell ref="O92:O93"/>
    <mergeCell ref="P92:P93"/>
    <mergeCell ref="Q92:Q93"/>
    <mergeCell ref="G92:G93"/>
    <mergeCell ref="H92:H93"/>
    <mergeCell ref="J92:J93"/>
    <mergeCell ref="K92:K93"/>
    <mergeCell ref="L92:L93"/>
    <mergeCell ref="M92:M93"/>
    <mergeCell ref="N92:N93"/>
    <mergeCell ref="I89:I90"/>
    <mergeCell ref="I92:I93"/>
    <mergeCell ref="A96:A97"/>
    <mergeCell ref="D98:D99"/>
    <mergeCell ref="E98:E99"/>
    <mergeCell ref="F98:F99"/>
    <mergeCell ref="I98:I99"/>
    <mergeCell ref="Q96:Q97"/>
    <mergeCell ref="H96:H97"/>
    <mergeCell ref="I96:I97"/>
    <mergeCell ref="J96:J97"/>
    <mergeCell ref="K96:K97"/>
    <mergeCell ref="L96:L97"/>
    <mergeCell ref="J106:J107"/>
    <mergeCell ref="K106:K107"/>
    <mergeCell ref="L106:L107"/>
    <mergeCell ref="M106:M107"/>
    <mergeCell ref="N106:N107"/>
    <mergeCell ref="O106:O107"/>
    <mergeCell ref="K98:K99"/>
    <mergeCell ref="L98:L99"/>
    <mergeCell ref="M98:M99"/>
    <mergeCell ref="N98:N99"/>
    <mergeCell ref="D96:D97"/>
    <mergeCell ref="E96:E97"/>
    <mergeCell ref="F96:F97"/>
    <mergeCell ref="G96:G97"/>
    <mergeCell ref="D100:D101"/>
    <mergeCell ref="D102:D103"/>
    <mergeCell ref="E102:E103"/>
    <mergeCell ref="F102:F103"/>
    <mergeCell ref="M96:M97"/>
    <mergeCell ref="N96:N97"/>
    <mergeCell ref="O98:O99"/>
    <mergeCell ref="P100:P101"/>
    <mergeCell ref="Q100:Q101"/>
    <mergeCell ref="P102:P103"/>
    <mergeCell ref="Q102:Q103"/>
    <mergeCell ref="I100:I101"/>
    <mergeCell ref="J100:J101"/>
    <mergeCell ref="K100:K101"/>
    <mergeCell ref="L100:L101"/>
    <mergeCell ref="M100:M101"/>
    <mergeCell ref="N100:N101"/>
    <mergeCell ref="O100:O101"/>
    <mergeCell ref="A104:A105"/>
    <mergeCell ref="E104:E105"/>
    <mergeCell ref="F104:F105"/>
    <mergeCell ref="G104:G105"/>
    <mergeCell ref="H104:H105"/>
    <mergeCell ref="I104:I105"/>
    <mergeCell ref="O102:O103"/>
    <mergeCell ref="G102:G103"/>
    <mergeCell ref="H102:H103"/>
    <mergeCell ref="I102:I103"/>
    <mergeCell ref="J102:J103"/>
    <mergeCell ref="K102:K103"/>
    <mergeCell ref="L102:L103"/>
    <mergeCell ref="M102:M103"/>
    <mergeCell ref="A106:A107"/>
    <mergeCell ref="K119:K120"/>
    <mergeCell ref="L119:L120"/>
    <mergeCell ref="M119:M120"/>
    <mergeCell ref="N119:N120"/>
    <mergeCell ref="O119:O120"/>
    <mergeCell ref="P119:P120"/>
    <mergeCell ref="Q119:Q120"/>
    <mergeCell ref="D119:D120"/>
    <mergeCell ref="E119:E120"/>
    <mergeCell ref="F119:F120"/>
    <mergeCell ref="G119:G120"/>
    <mergeCell ref="H119:H120"/>
    <mergeCell ref="I119:I120"/>
    <mergeCell ref="J119:J120"/>
    <mergeCell ref="J104:J105"/>
    <mergeCell ref="K104:K105"/>
    <mergeCell ref="L104:L105"/>
    <mergeCell ref="M104:M105"/>
    <mergeCell ref="N104:N105"/>
    <mergeCell ref="O104:O105"/>
    <mergeCell ref="P104:P105"/>
    <mergeCell ref="Q104:Q105"/>
    <mergeCell ref="D104:D105"/>
    <mergeCell ref="D106:D107"/>
    <mergeCell ref="E106:E107"/>
    <mergeCell ref="F106:F107"/>
    <mergeCell ref="G106:G107"/>
    <mergeCell ref="H106:H107"/>
    <mergeCell ref="P106:P107"/>
    <mergeCell ref="Q106:Q107"/>
    <mergeCell ref="I106:I107"/>
    <mergeCell ref="P135:P136"/>
    <mergeCell ref="Q135:Q136"/>
    <mergeCell ref="D135:D136"/>
    <mergeCell ref="E135:E136"/>
    <mergeCell ref="F135:F136"/>
    <mergeCell ref="G135:G136"/>
    <mergeCell ref="H135:H136"/>
    <mergeCell ref="I135:I136"/>
    <mergeCell ref="J135:J136"/>
    <mergeCell ref="K137:K138"/>
    <mergeCell ref="L137:L138"/>
    <mergeCell ref="M137:M138"/>
    <mergeCell ref="N137:N138"/>
    <mergeCell ref="O137:O138"/>
    <mergeCell ref="P137:P138"/>
    <mergeCell ref="Q137:Q138"/>
    <mergeCell ref="D137:D138"/>
    <mergeCell ref="E137:E138"/>
    <mergeCell ref="F137:F138"/>
    <mergeCell ref="G137:G138"/>
    <mergeCell ref="H137:H138"/>
    <mergeCell ref="I137:I138"/>
    <mergeCell ref="J137:J138"/>
    <mergeCell ref="P139:P140"/>
    <mergeCell ref="Q139:Q140"/>
    <mergeCell ref="D139:D140"/>
    <mergeCell ref="E139:E140"/>
    <mergeCell ref="F139:F140"/>
    <mergeCell ref="G139:G140"/>
    <mergeCell ref="H139:H140"/>
    <mergeCell ref="I139:I140"/>
    <mergeCell ref="J139:J140"/>
    <mergeCell ref="K141:K142"/>
    <mergeCell ref="L141:L142"/>
    <mergeCell ref="M141:M142"/>
    <mergeCell ref="N141:N142"/>
    <mergeCell ref="G141:G142"/>
    <mergeCell ref="H141:H142"/>
    <mergeCell ref="I141:I142"/>
    <mergeCell ref="J141:J142"/>
    <mergeCell ref="E141:E142"/>
    <mergeCell ref="F141:F142"/>
    <mergeCell ref="A152:A153"/>
    <mergeCell ref="G148:G149"/>
    <mergeCell ref="H148:H149"/>
    <mergeCell ref="I148:I149"/>
    <mergeCell ref="J148:J149"/>
    <mergeCell ref="A148:A149"/>
    <mergeCell ref="A150:A151"/>
    <mergeCell ref="D150:D151"/>
    <mergeCell ref="E150:E151"/>
    <mergeCell ref="F150:F151"/>
    <mergeCell ref="G150:G151"/>
    <mergeCell ref="H150:H151"/>
    <mergeCell ref="M152:M153"/>
    <mergeCell ref="P146:P147"/>
    <mergeCell ref="Q146:Q147"/>
    <mergeCell ref="D146:D147"/>
    <mergeCell ref="O141:O142"/>
    <mergeCell ref="E146:E147"/>
    <mergeCell ref="E148:E149"/>
    <mergeCell ref="F148:F149"/>
    <mergeCell ref="D152:D153"/>
    <mergeCell ref="E152:E153"/>
    <mergeCell ref="P150:P151"/>
    <mergeCell ref="Q150:Q151"/>
    <mergeCell ref="I150:I151"/>
    <mergeCell ref="J150:J151"/>
    <mergeCell ref="K150:K151"/>
    <mergeCell ref="L150:L151"/>
    <mergeCell ref="K146:K147"/>
    <mergeCell ref="L146:L147"/>
    <mergeCell ref="M146:M147"/>
    <mergeCell ref="O146:O147"/>
    <mergeCell ref="E154:E155"/>
    <mergeCell ref="F154:F155"/>
    <mergeCell ref="G154:G155"/>
    <mergeCell ref="E166:E167"/>
    <mergeCell ref="F166:F167"/>
    <mergeCell ref="G166:G167"/>
    <mergeCell ref="H166:H167"/>
    <mergeCell ref="I166:I167"/>
    <mergeCell ref="O143:O144"/>
    <mergeCell ref="P143:P144"/>
    <mergeCell ref="Q143:Q144"/>
    <mergeCell ref="D143:D144"/>
    <mergeCell ref="E143:E144"/>
    <mergeCell ref="F143:F144"/>
    <mergeCell ref="G143:G144"/>
    <mergeCell ref="H143:H144"/>
    <mergeCell ref="I143:I144"/>
    <mergeCell ref="J143:J144"/>
    <mergeCell ref="K143:K144"/>
    <mergeCell ref="L143:L144"/>
    <mergeCell ref="M143:M144"/>
    <mergeCell ref="N143:N144"/>
    <mergeCell ref="H154:H155"/>
    <mergeCell ref="D154:D155"/>
    <mergeCell ref="E160:E161"/>
    <mergeCell ref="F160:F161"/>
    <mergeCell ref="P154:P155"/>
    <mergeCell ref="Q154:Q155"/>
    <mergeCell ref="M154:M155"/>
    <mergeCell ref="N154:N155"/>
    <mergeCell ref="O154:O155"/>
    <mergeCell ref="M166:M167"/>
    <mergeCell ref="E186:E187"/>
    <mergeCell ref="F186:F187"/>
    <mergeCell ref="G186:G187"/>
    <mergeCell ref="H186:H187"/>
    <mergeCell ref="I186:I187"/>
    <mergeCell ref="J186:J187"/>
    <mergeCell ref="E190:E191"/>
    <mergeCell ref="F190:F191"/>
    <mergeCell ref="F170:F171"/>
    <mergeCell ref="G170:G171"/>
    <mergeCell ref="N146:N147"/>
    <mergeCell ref="D160:D161"/>
    <mergeCell ref="B156:G156"/>
    <mergeCell ref="K166:K167"/>
    <mergeCell ref="L166:L167"/>
    <mergeCell ref="D158:D159"/>
    <mergeCell ref="E158:E159"/>
    <mergeCell ref="F158:F159"/>
    <mergeCell ref="G158:G159"/>
    <mergeCell ref="H158:H159"/>
    <mergeCell ref="I158:I159"/>
    <mergeCell ref="K160:K161"/>
    <mergeCell ref="L160:L161"/>
    <mergeCell ref="M160:M161"/>
    <mergeCell ref="N160:N161"/>
    <mergeCell ref="D164:D165"/>
    <mergeCell ref="E164:E165"/>
    <mergeCell ref="F164:F165"/>
    <mergeCell ref="G164:G165"/>
    <mergeCell ref="H164:H165"/>
    <mergeCell ref="I164:I165"/>
    <mergeCell ref="D166:D167"/>
    <mergeCell ref="H170:H171"/>
    <mergeCell ref="I170:I171"/>
    <mergeCell ref="G190:G191"/>
    <mergeCell ref="H190:H191"/>
    <mergeCell ref="I190:I191"/>
    <mergeCell ref="J190:J191"/>
    <mergeCell ref="L170:L171"/>
    <mergeCell ref="O188:O189"/>
    <mergeCell ref="P188:P189"/>
    <mergeCell ref="E188:E189"/>
    <mergeCell ref="B162:H162"/>
    <mergeCell ref="J164:J165"/>
    <mergeCell ref="K164:K165"/>
    <mergeCell ref="M190:M191"/>
    <mergeCell ref="N158:N159"/>
    <mergeCell ref="D190:D191"/>
    <mergeCell ref="K188:K189"/>
    <mergeCell ref="L188:L189"/>
    <mergeCell ref="D170:D171"/>
    <mergeCell ref="E170:E171"/>
    <mergeCell ref="N190:N191"/>
    <mergeCell ref="O190:O191"/>
    <mergeCell ref="P190:P191"/>
    <mergeCell ref="O170:O171"/>
    <mergeCell ref="P170:P171"/>
    <mergeCell ref="K186:K187"/>
    <mergeCell ref="L186:L187"/>
    <mergeCell ref="M186:M187"/>
    <mergeCell ref="N186:N187"/>
    <mergeCell ref="O186:O187"/>
    <mergeCell ref="P186:P187"/>
    <mergeCell ref="D186:D187"/>
  </mergeCells>
  <conditionalFormatting sqref="D17:D19 D20:J20">
    <cfRule type="expression" dxfId="109" priority="1">
      <formula>D17=""</formula>
    </cfRule>
  </conditionalFormatting>
  <conditionalFormatting sqref="D11:F15">
    <cfRule type="expression" dxfId="108" priority="2">
      <formula>D11=""</formula>
    </cfRule>
  </conditionalFormatting>
  <conditionalFormatting sqref="D14:F14">
    <cfRule type="expression" dxfId="107" priority="3">
      <formula>D14=""</formula>
    </cfRule>
  </conditionalFormatting>
  <conditionalFormatting sqref="F29:G48">
    <cfRule type="expression" dxfId="106" priority="4">
      <formula>F29="rumus"</formula>
    </cfRule>
  </conditionalFormatting>
  <conditionalFormatting sqref="F50:G69">
    <cfRule type="expression" dxfId="105" priority="5">
      <formula>F50="rumus"</formula>
    </cfRule>
  </conditionalFormatting>
  <conditionalFormatting sqref="F71:G90">
    <cfRule type="expression" dxfId="104" priority="6">
      <formula>F71="rumus"</formula>
    </cfRule>
  </conditionalFormatting>
  <conditionalFormatting sqref="F92:G111">
    <cfRule type="expression" dxfId="103" priority="7">
      <formula>F92="rumus"</formula>
    </cfRule>
  </conditionalFormatting>
  <conditionalFormatting sqref="F113:G122">
    <cfRule type="expression" dxfId="102" priority="8">
      <formula>F113="rumus"</formula>
    </cfRule>
  </conditionalFormatting>
  <conditionalFormatting sqref="F124:G133">
    <cfRule type="expression" dxfId="101" priority="9">
      <formula>F124="rumus"</formula>
    </cfRule>
  </conditionalFormatting>
  <conditionalFormatting sqref="F135:G144">
    <cfRule type="expression" dxfId="100" priority="10">
      <formula>F135="rumus"</formula>
    </cfRule>
  </conditionalFormatting>
  <conditionalFormatting sqref="F146:G155">
    <cfRule type="expression" dxfId="99" priority="11">
      <formula>F146="rumus"</formula>
    </cfRule>
  </conditionalFormatting>
  <conditionalFormatting sqref="F158:G161">
    <cfRule type="expression" dxfId="98" priority="12">
      <formula>F158="rumus"</formula>
    </cfRule>
  </conditionalFormatting>
  <conditionalFormatting sqref="F164:G167">
    <cfRule type="expression" dxfId="97" priority="13">
      <formula>F164="rumus"</formula>
    </cfRule>
  </conditionalFormatting>
  <conditionalFormatting sqref="F170:G191">
    <cfRule type="expression" dxfId="96" priority="14">
      <formula>F170="rumus"</formula>
    </cfRule>
  </conditionalFormatting>
  <conditionalFormatting sqref="F194:G199">
    <cfRule type="expression" dxfId="95" priority="15">
      <formula>F194="rumus"</formula>
    </cfRule>
  </conditionalFormatting>
  <conditionalFormatting sqref="F202:G207">
    <cfRule type="expression" dxfId="94" priority="16">
      <formula>F202="rumus"</formula>
    </cfRule>
  </conditionalFormatting>
  <conditionalFormatting sqref="I29:I48 I50:I69 I71:I90 I146:I155 I158:I161 I164:I167 I170:I191 I202:I207">
    <cfRule type="expression" dxfId="93" priority="17">
      <formula>I29="rumus"</formula>
    </cfRule>
  </conditionalFormatting>
  <conditionalFormatting sqref="I92:I111">
    <cfRule type="expression" dxfId="92" priority="18">
      <formula>I92="rumus"</formula>
    </cfRule>
  </conditionalFormatting>
  <conditionalFormatting sqref="I113:I122">
    <cfRule type="expression" dxfId="91" priority="19">
      <formula>I113="rumus"</formula>
    </cfRule>
  </conditionalFormatting>
  <conditionalFormatting sqref="I124:I133">
    <cfRule type="expression" dxfId="90" priority="20">
      <formula>I124="rumus"</formula>
    </cfRule>
  </conditionalFormatting>
  <conditionalFormatting sqref="I135:I144">
    <cfRule type="expression" dxfId="89" priority="21">
      <formula>I135="rumus"</formula>
    </cfRule>
  </conditionalFormatting>
  <conditionalFormatting sqref="I194:I199">
    <cfRule type="expression" dxfId="88" priority="22">
      <formula>I194="rumus"</formula>
    </cfRule>
  </conditionalFormatting>
  <dataValidations count="7">
    <dataValidation type="list" allowBlank="1" showInputMessage="1" showErrorMessage="1" prompt="pilih dengan mengklik segitiga dipojok kotak" sqref="K49 K70 K91 K112 K123 K134 K145 K158 K160 K164 K166 K194 K196 K198 K190" xr:uid="{00000000-0002-0000-0200-000001000000}">
      <formula1>"1 Penulis,2 Penulis (ke-1),2 Penulis (ke-2),3 Penulis (ke-1),3 Penulis (ke-2),3 Penulis (ke-3),4 Penulis (ke-1),4 Penulis (ke-2),4 Penulis (ke-3),4 Penulis (ke-4)"</formula1>
    </dataValidation>
    <dataValidation type="list" allowBlank="1" showInputMessage="1" showErrorMessage="1" prompt="pilih dengan mengklik segitiga dipojok kotak" sqref="L158 L160" xr:uid="{00000000-0002-0000-0200-000002000000}">
      <formula1>"Menerjemahkan/menyadur BUKU ILMIAH persemester"</formula1>
    </dataValidation>
    <dataValidation type="list" allowBlank="1" showInputMessage="1" showErrorMessage="1" prompt="pilih dengan mengklik segitiga dipojok kotak" sqref="K202 K204 K206" xr:uid="{00000000-0002-0000-0200-000004000000}">
      <formula1>"1 Penulis,2 Penulis,3 Penulis,4 Penulis"</formula1>
    </dataValidation>
    <dataValidation type="list" allowBlank="1" showInputMessage="1" showErrorMessage="1" prompt="pilih dengan mengklik segitiga dipojok kotak" sqref="L164 L166" xr:uid="{00000000-0002-0000-0200-000005000000}">
      <formula1>"Mengedit/menyunting KARYA ILMIAH persemester"</formula1>
    </dataValidation>
    <dataValidation type="list" allowBlank="1" showErrorMessage="1" sqref="L26" xr:uid="{00000000-0002-0000-0200-000006000000}">
      <formula1>"a"</formula1>
    </dataValidation>
    <dataValidation type="list" allowBlank="1" showInputMessage="1" showErrorMessage="1" prompt="pilih dengan mengklik segitiga dipojok kotak" sqref="K29 K31 K33 K35 K37 K39 K41 K43 K45 K47 K154 K52 K54 K56 K58 K60 K62 K64 K66 K68 K71 K73 K75 K77 K79 K81 K83 K85 K87 K89 K148 K150 K152 K98 K100 K102 K104 K106 K108 K110 K113 K115 K117 K119 K121 K124 K126 K128 K130 K132 K135 K137 K139 K141 K143 K146" xr:uid="{00000000-0002-0000-0200-000007000000}">
      <formula1>"1 Penulis (ke-1),2 Penulis (ke-1),2 Penulis (ke-2),3 Penulis (ke-1),3 Penulis (ke-2),3 Penulis (ke-3),4 Penulis (ke-1),4 Penulis (ke-2),4 Penulis (ke-3),4 Penulis (ke-4)"</formula1>
    </dataValidation>
    <dataValidation type="list" allowBlank="1" showInputMessage="1" showErrorMessage="1" prompt="pilih dengan mengklik segitiga dipojok kotak" sqref="L194 L196 L198 L202 L204 L206" xr:uid="{00000000-0002-0000-0200-000008000000}">
      <formula1>"a.Internasional,b.Nasional,c.Lokal"</formula1>
    </dataValidation>
  </dataValidations>
  <hyperlinks>
    <hyperlink ref="J50" r:id="rId1" xr:uid="{15BCD060-C4AF-4282-9483-0388846F9387}"/>
    <hyperlink ref="J92" r:id="rId2" xr:uid="{071D1359-1085-46DE-8383-8E276B1BEAA0}"/>
    <hyperlink ref="J94" r:id="rId3" xr:uid="{5402E8C6-F1B1-4BFA-AA3E-71B1501A7A10}"/>
    <hyperlink ref="J96" r:id="rId4" xr:uid="{4869DB9C-9106-4F86-B85C-CB2AFE16E78F}"/>
  </hyperlinks>
  <pageMargins left="0.7" right="0.7" top="0.42" bottom="0.45" header="0" footer="0"/>
  <pageSetup paperSize="9" scale="85"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List!$E$2:$E$25</xm:f>
          </x14:formula1>
          <xm:sqref>L29 L31 L33 L35 L37 L39 L41 L43 L45 L47 L154 L52 L54 L56 L58 L60 L62 L64 L66 L68 L70:L71 L73 L75 L77 L79 L81 L83 L85 L87 L89 L150 L152 L49 L98 L100 L102 L104 L106 L108 L110 L112:L113 L115 L117 L119 L121 L123:L124 L126 L128 L130 L132 L134:L135 L137 L139 L141 L143 L145:L146 L148 L91</xm:sqref>
        </x14:dataValidation>
        <x14:dataValidation type="list" allowBlank="1" showInputMessage="1" showErrorMessage="1" prompt="pilih dengan mengklik segitiga dipojok kotak" xr:uid="{00000000-0002-0000-0200-000003000000}">
          <x14:formula1>
            <xm:f>List!$Z$2:$Z$7</xm:f>
          </x14:formula1>
          <xm:sqref>L190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0"/>
  <sheetViews>
    <sheetView topLeftCell="E1" workbookViewId="0">
      <selection activeCell="K20" sqref="K20"/>
    </sheetView>
  </sheetViews>
  <sheetFormatPr defaultColWidth="12.625" defaultRowHeight="15" customHeight="1" x14ac:dyDescent="0.2"/>
  <cols>
    <col min="1" max="1" width="12.625" customWidth="1"/>
    <col min="2" max="2" width="29.625" customWidth="1"/>
    <col min="3" max="3" width="59.5" customWidth="1"/>
    <col min="4" max="4" width="99.125" customWidth="1"/>
    <col min="5" max="5" width="144" customWidth="1"/>
    <col min="6" max="6" width="7.625" customWidth="1"/>
    <col min="7" max="7" width="7.625" hidden="1" customWidth="1"/>
    <col min="8" max="8" width="12.625" customWidth="1"/>
    <col min="9" max="9" width="11.125" customWidth="1"/>
    <col min="10" max="10" width="7.625" customWidth="1"/>
    <col min="11" max="11" width="18.125" customWidth="1"/>
    <col min="12" max="25" width="7.625" customWidth="1"/>
    <col min="26" max="26" width="97.625" customWidth="1"/>
    <col min="27" max="28" width="7.625" customWidth="1"/>
  </cols>
  <sheetData>
    <row r="1" spans="1:28" x14ac:dyDescent="0.25">
      <c r="B1" s="2">
        <f>COUNTIF(A2:A4,"&lt;&gt;-")</f>
        <v>3</v>
      </c>
    </row>
    <row r="2" spans="1:28" x14ac:dyDescent="0.25">
      <c r="A2" s="2" t="str">
        <f>IF('LAMPIRAN I DONE'!F21="lektor kepala","GURU BESAR (IV/d)",IF('LAMPIRAN I DONE'!F21="lektor","LEKTOR KEPALA (IV/a)",IF('LAMPIRAN I DONE'!F21="asisten ahli","LEKTOR (III/c)",IF('LAMPIRAN I DONE'!F21="tenaga pengajar","ASISTEN AHLI (III/b)","-"))))</f>
        <v>LEKTOR KEPALA (IV/a)</v>
      </c>
      <c r="B2" s="2" t="s">
        <v>26</v>
      </c>
      <c r="C2" s="2" t="s">
        <v>916</v>
      </c>
      <c r="D2" s="2" t="s">
        <v>917</v>
      </c>
      <c r="E2" s="7" t="s">
        <v>918</v>
      </c>
      <c r="F2" s="2">
        <v>40</v>
      </c>
      <c r="G2" s="2" t="s">
        <v>919</v>
      </c>
      <c r="K2" s="2" t="s">
        <v>920</v>
      </c>
      <c r="L2" s="2">
        <v>0</v>
      </c>
      <c r="M2" s="2">
        <v>0</v>
      </c>
      <c r="N2" s="2" t="s">
        <v>921</v>
      </c>
      <c r="O2" s="2" t="s">
        <v>922</v>
      </c>
      <c r="P2" s="2" t="s">
        <v>923</v>
      </c>
      <c r="Q2" s="2" t="s">
        <v>923</v>
      </c>
      <c r="R2" s="154">
        <f>'Rekapitulasi (S3)'!D33</f>
        <v>0</v>
      </c>
      <c r="S2" s="155">
        <f>W2</f>
        <v>0</v>
      </c>
      <c r="T2" s="155">
        <f>'Rekapitulasi (S3)'!D30</f>
        <v>0</v>
      </c>
      <c r="U2" s="155">
        <f>'Rekapitulasi (S3)'!D31</f>
        <v>0</v>
      </c>
      <c r="V2" s="155">
        <f>'Rekapitulasi (S3)'!D32</f>
        <v>0</v>
      </c>
      <c r="W2" s="155">
        <f>'Rekapitulasi (S3)'!E28</f>
        <v>0</v>
      </c>
      <c r="X2" s="155">
        <f>'Rekapitulasi (S3)'!E30</f>
        <v>0</v>
      </c>
      <c r="Z2" s="2" t="s">
        <v>924</v>
      </c>
      <c r="AA2" s="2">
        <v>60</v>
      </c>
      <c r="AB2" s="2" t="s">
        <v>925</v>
      </c>
    </row>
    <row r="3" spans="1:28" x14ac:dyDescent="0.25">
      <c r="A3" s="2" t="str">
        <f>IF('LAMPIRAN I DONE'!F21="lektor kepala","GURU BESAR (IV/e)",IF('LAMPIRAN I DONE'!F21="lektor","LEKTOR KEPALA (IV/b)",IF('LAMPIRAN I DONE'!F21="asisten ahli","LEKTOR (III/d)",IF('LAMPIRAN I DONE'!F21="tenaga pengajar","-","-"))))</f>
        <v>LEKTOR KEPALA (IV/b)</v>
      </c>
      <c r="B3" s="2" t="s">
        <v>926</v>
      </c>
      <c r="C3" s="2" t="s">
        <v>927</v>
      </c>
      <c r="D3" s="2" t="s">
        <v>928</v>
      </c>
      <c r="E3" s="7" t="s">
        <v>929</v>
      </c>
      <c r="F3" s="2">
        <v>20</v>
      </c>
      <c r="G3" s="2" t="s">
        <v>930</v>
      </c>
      <c r="H3" s="2" t="s">
        <v>10</v>
      </c>
      <c r="I3" s="2">
        <v>1</v>
      </c>
      <c r="J3" s="2">
        <v>2001</v>
      </c>
      <c r="K3" s="2" t="s">
        <v>931</v>
      </c>
      <c r="L3" s="2">
        <v>0</v>
      </c>
      <c r="M3" s="2">
        <v>0</v>
      </c>
      <c r="N3" s="2" t="s">
        <v>932</v>
      </c>
      <c r="O3" s="2" t="s">
        <v>933</v>
      </c>
      <c r="P3" s="2" t="s">
        <v>923</v>
      </c>
      <c r="Q3" s="2" t="s">
        <v>923</v>
      </c>
      <c r="R3" s="154">
        <f>'Rekapitulasi (S3)'!D41</f>
        <v>0</v>
      </c>
      <c r="S3" s="155">
        <f>'Rekapitulasi (S3)'!D36</f>
        <v>0</v>
      </c>
      <c r="T3" s="155">
        <f>'Rekapitulasi (S3)'!D38</f>
        <v>0</v>
      </c>
      <c r="U3" s="155">
        <f>'Rekapitulasi (S3)'!D39</f>
        <v>0</v>
      </c>
      <c r="V3" s="155">
        <f>'Rekapitulasi (S3)'!D40</f>
        <v>0</v>
      </c>
      <c r="W3" s="155">
        <f>'Rekapitulasi (S3)'!E36</f>
        <v>0</v>
      </c>
      <c r="X3" s="155">
        <f>'Rekapitulasi (S3)'!E38</f>
        <v>0</v>
      </c>
      <c r="Z3" s="2" t="s">
        <v>934</v>
      </c>
      <c r="AA3" s="2">
        <v>50</v>
      </c>
      <c r="AB3" s="2" t="s">
        <v>935</v>
      </c>
    </row>
    <row r="4" spans="1:28" x14ac:dyDescent="0.25">
      <c r="A4" s="2" t="str">
        <f>IF('LAMPIRAN I DONE'!F21="lektor kepala","-",IF('LAMPIRAN I DONE'!F21="lektor","LEKTOR KEPALA (IV/c)",IF('LAMPIRAN I DONE'!F21="asisten ahli","-",IF('LAMPIRAN I DONE'!F21="tenaga pengajar","-","-"))))</f>
        <v>LEKTOR KEPALA (IV/c)</v>
      </c>
      <c r="B4" s="2" t="s">
        <v>936</v>
      </c>
      <c r="C4" s="2" t="s">
        <v>937</v>
      </c>
      <c r="D4" s="2" t="s">
        <v>938</v>
      </c>
      <c r="E4" s="7" t="s">
        <v>939</v>
      </c>
      <c r="F4" s="2">
        <v>15</v>
      </c>
      <c r="G4" s="2" t="s">
        <v>919</v>
      </c>
      <c r="H4" s="2" t="s">
        <v>940</v>
      </c>
      <c r="I4" s="2">
        <v>2</v>
      </c>
      <c r="J4" s="2">
        <v>2002</v>
      </c>
      <c r="K4" s="2" t="s">
        <v>941</v>
      </c>
      <c r="L4" s="2">
        <v>90</v>
      </c>
      <c r="M4" s="2">
        <v>10</v>
      </c>
      <c r="N4" s="2" t="s">
        <v>932</v>
      </c>
      <c r="O4" s="2" t="s">
        <v>933</v>
      </c>
      <c r="P4" s="2" t="s">
        <v>923</v>
      </c>
      <c r="Q4" s="2" t="s">
        <v>923</v>
      </c>
      <c r="R4" s="154">
        <f>'Rekapitulasi (S3)'!D49</f>
        <v>0</v>
      </c>
      <c r="S4" s="155">
        <f>'Rekapitulasi (S3)'!D44</f>
        <v>0</v>
      </c>
      <c r="T4" s="155">
        <f>'Rekapitulasi (S3)'!D46</f>
        <v>0</v>
      </c>
      <c r="U4" s="155">
        <f>'Rekapitulasi (S3)'!D47</f>
        <v>0</v>
      </c>
      <c r="V4" s="155">
        <f>'Rekapitulasi (S3)'!D48</f>
        <v>0</v>
      </c>
      <c r="W4" s="155">
        <f>'Rekapitulasi (S3)'!E44</f>
        <v>0</v>
      </c>
      <c r="X4" s="155">
        <f>'Rekapitulasi (S3)'!E46</f>
        <v>0</v>
      </c>
      <c r="Z4" s="2" t="s">
        <v>942</v>
      </c>
      <c r="AA4" s="2">
        <v>40</v>
      </c>
      <c r="AB4" s="2" t="s">
        <v>943</v>
      </c>
    </row>
    <row r="5" spans="1:28" x14ac:dyDescent="0.25">
      <c r="B5" s="2" t="s">
        <v>944</v>
      </c>
      <c r="C5" s="2" t="s">
        <v>945</v>
      </c>
      <c r="D5" s="2" t="s">
        <v>946</v>
      </c>
      <c r="E5" s="7" t="s">
        <v>947</v>
      </c>
      <c r="F5" s="2">
        <v>10</v>
      </c>
      <c r="G5" s="2" t="s">
        <v>919</v>
      </c>
      <c r="H5" s="2" t="s">
        <v>948</v>
      </c>
      <c r="I5" s="2">
        <v>3</v>
      </c>
      <c r="J5" s="2">
        <v>2003</v>
      </c>
      <c r="K5" s="2" t="s">
        <v>949</v>
      </c>
      <c r="L5" s="2">
        <v>180</v>
      </c>
      <c r="M5" s="2">
        <v>20</v>
      </c>
      <c r="N5" s="2" t="s">
        <v>950</v>
      </c>
      <c r="O5" s="2" t="s">
        <v>950</v>
      </c>
      <c r="P5" s="2" t="s">
        <v>923</v>
      </c>
      <c r="Q5" s="2" t="s">
        <v>923</v>
      </c>
      <c r="R5" s="154">
        <f>'Rekapitulasi (S3)'!D57</f>
        <v>0</v>
      </c>
      <c r="S5" s="155">
        <f>'Rekapitulasi (S3)'!D52</f>
        <v>0</v>
      </c>
      <c r="T5" s="155">
        <f>'Rekapitulasi (S3)'!D54</f>
        <v>0</v>
      </c>
      <c r="U5" s="155">
        <f>'Rekapitulasi (S3)'!D55</f>
        <v>0</v>
      </c>
      <c r="V5" s="155">
        <f>'Rekapitulasi (S3)'!D56</f>
        <v>0</v>
      </c>
      <c r="W5" s="155">
        <f>'Rekapitulasi (S3)'!E52</f>
        <v>0</v>
      </c>
      <c r="X5" s="155">
        <f>'Rekapitulasi (S3)'!E54</f>
        <v>0</v>
      </c>
      <c r="Z5" s="2" t="s">
        <v>951</v>
      </c>
      <c r="AA5" s="2">
        <v>30</v>
      </c>
      <c r="AB5" s="2" t="s">
        <v>952</v>
      </c>
    </row>
    <row r="6" spans="1:28" x14ac:dyDescent="0.25">
      <c r="B6" s="2" t="s">
        <v>953</v>
      </c>
      <c r="C6" s="2" t="s">
        <v>954</v>
      </c>
      <c r="D6" s="2" t="s">
        <v>955</v>
      </c>
      <c r="E6" s="7" t="s">
        <v>956</v>
      </c>
      <c r="F6" s="2">
        <v>40</v>
      </c>
      <c r="G6" s="2" t="s">
        <v>957</v>
      </c>
      <c r="H6" s="2" t="s">
        <v>958</v>
      </c>
      <c r="I6" s="2">
        <v>4</v>
      </c>
      <c r="J6" s="2">
        <v>2004</v>
      </c>
      <c r="K6" s="2" t="s">
        <v>959</v>
      </c>
      <c r="L6" s="2">
        <v>315</v>
      </c>
      <c r="M6" s="2">
        <v>35</v>
      </c>
      <c r="N6" s="2" t="s">
        <v>950</v>
      </c>
      <c r="O6" s="2" t="s">
        <v>950</v>
      </c>
      <c r="P6" s="2" t="s">
        <v>923</v>
      </c>
      <c r="Q6" s="2" t="s">
        <v>923</v>
      </c>
      <c r="R6" s="154">
        <f>'Rekapitulasi (S3)'!D65</f>
        <v>0</v>
      </c>
      <c r="S6" s="155">
        <f>'Rekapitulasi (S3)'!D60</f>
        <v>0</v>
      </c>
      <c r="T6" s="155">
        <f>'Rekapitulasi (S3)'!D62</f>
        <v>0</v>
      </c>
      <c r="U6" s="155">
        <f>'Rekapitulasi (S3)'!D63</f>
        <v>0</v>
      </c>
      <c r="V6" s="155">
        <f>'Rekapitulasi (S3)'!D64</f>
        <v>0</v>
      </c>
      <c r="W6" s="155">
        <f>'Rekapitulasi (S3)'!E60</f>
        <v>0</v>
      </c>
      <c r="X6" s="155">
        <f>'Rekapitulasi (S3)'!E62</f>
        <v>0</v>
      </c>
      <c r="Z6" s="2" t="s">
        <v>960</v>
      </c>
      <c r="AA6" s="2">
        <v>20</v>
      </c>
      <c r="AB6" s="2" t="s">
        <v>961</v>
      </c>
    </row>
    <row r="7" spans="1:28" x14ac:dyDescent="0.25">
      <c r="B7" s="2" t="s">
        <v>962</v>
      </c>
      <c r="C7" s="2" t="s">
        <v>963</v>
      </c>
      <c r="D7" s="2" t="s">
        <v>964</v>
      </c>
      <c r="E7" s="7" t="s">
        <v>965</v>
      </c>
      <c r="F7" s="2">
        <v>30</v>
      </c>
      <c r="G7" s="2" t="s">
        <v>957</v>
      </c>
      <c r="H7" s="2" t="s">
        <v>966</v>
      </c>
      <c r="I7" s="2">
        <v>5</v>
      </c>
      <c r="J7" s="2">
        <v>2005</v>
      </c>
      <c r="K7" s="2" t="s">
        <v>967</v>
      </c>
      <c r="L7" s="2">
        <v>450</v>
      </c>
      <c r="M7" s="2">
        <v>50</v>
      </c>
      <c r="N7" s="2" t="s">
        <v>950</v>
      </c>
      <c r="O7" s="2" t="s">
        <v>950</v>
      </c>
      <c r="P7" s="2" t="s">
        <v>923</v>
      </c>
      <c r="Q7" s="2" t="s">
        <v>923</v>
      </c>
      <c r="R7" s="154">
        <f>'Rekapitulasi (S3)'!D73</f>
        <v>0</v>
      </c>
      <c r="S7" s="155">
        <f>'Rekapitulasi (S3)'!D68</f>
        <v>0</v>
      </c>
      <c r="T7" s="155">
        <f>'Rekapitulasi (S3)'!D70</f>
        <v>0</v>
      </c>
      <c r="U7" s="155">
        <f>'Rekapitulasi (S3)'!D71</f>
        <v>0</v>
      </c>
      <c r="V7" s="155">
        <f>'Rekapitulasi (S3)'!D72</f>
        <v>0</v>
      </c>
      <c r="W7" s="155">
        <f>'Rekapitulasi (S3)'!E68</f>
        <v>0</v>
      </c>
      <c r="X7" s="155">
        <f>'Rekapitulasi (S3)'!E70</f>
        <v>0</v>
      </c>
      <c r="Z7" s="2" t="s">
        <v>897</v>
      </c>
      <c r="AA7" s="2">
        <v>15</v>
      </c>
      <c r="AB7" s="2" t="s">
        <v>968</v>
      </c>
    </row>
    <row r="8" spans="1:28" x14ac:dyDescent="0.25">
      <c r="B8" s="2" t="s">
        <v>969</v>
      </c>
      <c r="C8" s="2" t="s">
        <v>970</v>
      </c>
      <c r="D8" s="2" t="s">
        <v>971</v>
      </c>
      <c r="E8" s="7" t="s">
        <v>972</v>
      </c>
      <c r="F8" s="2">
        <v>20</v>
      </c>
      <c r="G8" s="2" t="s">
        <v>957</v>
      </c>
      <c r="H8" s="2" t="s">
        <v>973</v>
      </c>
      <c r="I8" s="2">
        <v>6</v>
      </c>
      <c r="J8" s="2">
        <v>2006</v>
      </c>
      <c r="K8" s="2" t="s">
        <v>974</v>
      </c>
      <c r="L8" s="2">
        <v>585</v>
      </c>
      <c r="M8" s="2">
        <v>65</v>
      </c>
      <c r="N8" s="2" t="s">
        <v>933</v>
      </c>
      <c r="O8" s="2" t="s">
        <v>932</v>
      </c>
      <c r="P8" s="2" t="s">
        <v>923</v>
      </c>
      <c r="Q8" s="2" t="s">
        <v>923</v>
      </c>
      <c r="R8" s="154">
        <f>'Rekapitulasi (S3)'!D81</f>
        <v>0</v>
      </c>
      <c r="S8" s="155">
        <f>'Rekapitulasi (S3)'!D76</f>
        <v>0</v>
      </c>
      <c r="T8" s="155">
        <f>'Rekapitulasi (S3)'!D78</f>
        <v>0</v>
      </c>
      <c r="U8" s="155">
        <f>'Rekapitulasi (S3)'!D79</f>
        <v>0</v>
      </c>
      <c r="V8" s="155">
        <f>'Rekapitulasi (S3)'!D80</f>
        <v>0</v>
      </c>
      <c r="W8" s="155">
        <f>'Rekapitulasi (S3)'!E76</f>
        <v>0</v>
      </c>
      <c r="X8" s="155">
        <f>'Rekapitulasi (S3)'!E78</f>
        <v>0</v>
      </c>
    </row>
    <row r="9" spans="1:28" x14ac:dyDescent="0.25">
      <c r="B9" s="2" t="s">
        <v>975</v>
      </c>
      <c r="C9" s="2" t="s">
        <v>976</v>
      </c>
      <c r="D9" s="2" t="s">
        <v>977</v>
      </c>
      <c r="E9" s="7" t="s">
        <v>869</v>
      </c>
      <c r="F9" s="2">
        <v>25</v>
      </c>
      <c r="G9" s="2" t="s">
        <v>978</v>
      </c>
      <c r="H9" s="2" t="s">
        <v>15</v>
      </c>
      <c r="I9" s="2">
        <v>7</v>
      </c>
      <c r="J9" s="2">
        <v>2007</v>
      </c>
      <c r="K9" s="2" t="s">
        <v>979</v>
      </c>
      <c r="L9" s="2">
        <v>765</v>
      </c>
      <c r="M9" s="2">
        <v>85</v>
      </c>
      <c r="N9" s="2" t="s">
        <v>933</v>
      </c>
      <c r="O9" s="2" t="s">
        <v>932</v>
      </c>
      <c r="P9" s="2" t="s">
        <v>923</v>
      </c>
      <c r="Q9" s="2" t="s">
        <v>923</v>
      </c>
      <c r="R9" s="154">
        <f>'Rekapitulasi (S3)'!D89</f>
        <v>0</v>
      </c>
      <c r="S9" s="155">
        <f>'Rekapitulasi (S3)'!D84</f>
        <v>0</v>
      </c>
      <c r="T9" s="155">
        <f>'Rekapitulasi (S3)'!D86</f>
        <v>0</v>
      </c>
      <c r="U9" s="155">
        <f>'Rekapitulasi (S3)'!D87</f>
        <v>0</v>
      </c>
      <c r="V9" s="155">
        <f>'Rekapitulasi (S3)'!D88</f>
        <v>0</v>
      </c>
      <c r="W9" s="155">
        <f>'Rekapitulasi (S3)'!E84</f>
        <v>0</v>
      </c>
      <c r="X9" s="155">
        <f>'Rekapitulasi (S3)'!E86</f>
        <v>0</v>
      </c>
    </row>
    <row r="10" spans="1:28" x14ac:dyDescent="0.25">
      <c r="B10" s="2" t="s">
        <v>980</v>
      </c>
      <c r="C10" s="2" t="s">
        <v>981</v>
      </c>
      <c r="D10" s="2" t="s">
        <v>982</v>
      </c>
      <c r="E10" s="7" t="s">
        <v>983</v>
      </c>
      <c r="F10" s="2">
        <v>15</v>
      </c>
      <c r="G10" s="2" t="s">
        <v>978</v>
      </c>
      <c r="H10" s="2" t="s">
        <v>984</v>
      </c>
      <c r="I10" s="2">
        <v>8</v>
      </c>
      <c r="J10" s="2">
        <v>2008</v>
      </c>
    </row>
    <row r="11" spans="1:28" x14ac:dyDescent="0.25">
      <c r="B11" s="2" t="s">
        <v>985</v>
      </c>
      <c r="C11" s="2" t="s">
        <v>986</v>
      </c>
      <c r="D11" s="2" t="s">
        <v>987</v>
      </c>
      <c r="E11" s="7" t="s">
        <v>988</v>
      </c>
      <c r="F11" s="2">
        <v>20</v>
      </c>
      <c r="G11" s="2" t="s">
        <v>978</v>
      </c>
      <c r="H11" s="2" t="s">
        <v>989</v>
      </c>
      <c r="I11" s="2">
        <v>9</v>
      </c>
      <c r="J11" s="2">
        <v>2009</v>
      </c>
    </row>
    <row r="12" spans="1:28" x14ac:dyDescent="0.25">
      <c r="C12" s="2" t="s">
        <v>990</v>
      </c>
      <c r="D12" s="2" t="s">
        <v>991</v>
      </c>
      <c r="E12" s="7" t="s">
        <v>992</v>
      </c>
      <c r="F12" s="2">
        <v>10</v>
      </c>
      <c r="G12" s="2" t="s">
        <v>993</v>
      </c>
      <c r="H12" s="2" t="s">
        <v>994</v>
      </c>
      <c r="I12" s="2">
        <v>10</v>
      </c>
      <c r="J12" s="2">
        <v>2010</v>
      </c>
    </row>
    <row r="13" spans="1:28" x14ac:dyDescent="0.25">
      <c r="C13" s="2" t="s">
        <v>995</v>
      </c>
      <c r="D13" s="2" t="s">
        <v>996</v>
      </c>
      <c r="E13" s="7" t="s">
        <v>997</v>
      </c>
      <c r="F13" s="2">
        <v>10</v>
      </c>
      <c r="G13" s="2" t="s">
        <v>993</v>
      </c>
      <c r="H13" s="2" t="s">
        <v>998</v>
      </c>
      <c r="I13" s="2">
        <v>11</v>
      </c>
      <c r="J13" s="2">
        <v>2011</v>
      </c>
    </row>
    <row r="14" spans="1:28" x14ac:dyDescent="0.25">
      <c r="C14" s="2" t="s">
        <v>999</v>
      </c>
      <c r="D14" s="2" t="s">
        <v>1000</v>
      </c>
      <c r="E14" s="7" t="s">
        <v>1001</v>
      </c>
      <c r="F14" s="2">
        <v>30</v>
      </c>
      <c r="G14" s="2" t="s">
        <v>1002</v>
      </c>
      <c r="H14" s="2" t="s">
        <v>1003</v>
      </c>
      <c r="I14" s="2">
        <v>12</v>
      </c>
      <c r="J14" s="2">
        <v>2012</v>
      </c>
    </row>
    <row r="15" spans="1:28" x14ac:dyDescent="0.25">
      <c r="C15" s="2" t="s">
        <v>1004</v>
      </c>
      <c r="D15" s="2" t="s">
        <v>1005</v>
      </c>
      <c r="E15" s="7" t="s">
        <v>1006</v>
      </c>
      <c r="F15" s="2">
        <v>25</v>
      </c>
      <c r="J15" s="2">
        <v>2013</v>
      </c>
    </row>
    <row r="16" spans="1:28" x14ac:dyDescent="0.25">
      <c r="C16" s="2" t="s">
        <v>1007</v>
      </c>
      <c r="D16" s="2" t="s">
        <v>1008</v>
      </c>
      <c r="E16" s="7" t="s">
        <v>1009</v>
      </c>
      <c r="F16" s="2">
        <v>15</v>
      </c>
      <c r="J16" s="2">
        <v>2014</v>
      </c>
    </row>
    <row r="17" spans="3:10" x14ac:dyDescent="0.25">
      <c r="C17" s="2" t="s">
        <v>1010</v>
      </c>
      <c r="D17" s="2" t="s">
        <v>1011</v>
      </c>
      <c r="E17" s="7" t="s">
        <v>877</v>
      </c>
      <c r="F17" s="2">
        <v>10</v>
      </c>
      <c r="G17" s="2" t="s">
        <v>1012</v>
      </c>
      <c r="J17" s="2">
        <v>2015</v>
      </c>
    </row>
    <row r="18" spans="3:10" x14ac:dyDescent="0.25">
      <c r="C18" s="2" t="s">
        <v>1013</v>
      </c>
      <c r="D18" s="2" t="s">
        <v>1014</v>
      </c>
      <c r="E18" s="7" t="s">
        <v>1015</v>
      </c>
      <c r="F18" s="2">
        <v>10</v>
      </c>
      <c r="G18" s="2" t="s">
        <v>1016</v>
      </c>
      <c r="J18" s="2">
        <v>2016</v>
      </c>
    </row>
    <row r="19" spans="3:10" x14ac:dyDescent="0.25">
      <c r="C19" s="2" t="s">
        <v>1017</v>
      </c>
      <c r="D19" s="2" t="s">
        <v>1018</v>
      </c>
      <c r="E19" s="7" t="s">
        <v>1019</v>
      </c>
      <c r="F19" s="2">
        <v>5</v>
      </c>
      <c r="G19" s="2" t="s">
        <v>1020</v>
      </c>
      <c r="J19" s="2">
        <v>2017</v>
      </c>
    </row>
    <row r="20" spans="3:10" x14ac:dyDescent="0.25">
      <c r="C20" s="2" t="s">
        <v>1021</v>
      </c>
      <c r="D20" s="2" t="s">
        <v>1022</v>
      </c>
      <c r="E20" s="7" t="s">
        <v>1023</v>
      </c>
      <c r="F20" s="2">
        <v>5</v>
      </c>
      <c r="G20" s="2" t="s">
        <v>1002</v>
      </c>
      <c r="J20" s="2">
        <v>2018</v>
      </c>
    </row>
    <row r="21" spans="3:10" ht="15.75" customHeight="1" x14ac:dyDescent="0.25">
      <c r="C21" s="2" t="s">
        <v>1024</v>
      </c>
      <c r="D21" s="2" t="s">
        <v>1025</v>
      </c>
      <c r="E21" s="7" t="s">
        <v>1026</v>
      </c>
      <c r="F21" s="2">
        <v>3</v>
      </c>
      <c r="G21" s="2" t="s">
        <v>1012</v>
      </c>
      <c r="J21" s="2">
        <v>2019</v>
      </c>
    </row>
    <row r="22" spans="3:10" ht="15.75" customHeight="1" x14ac:dyDescent="0.25">
      <c r="C22" s="2" t="s">
        <v>1027</v>
      </c>
      <c r="D22" s="2" t="s">
        <v>1028</v>
      </c>
      <c r="E22" s="7" t="s">
        <v>1029</v>
      </c>
      <c r="F22" s="2">
        <v>10</v>
      </c>
      <c r="G22" s="2" t="s">
        <v>1002</v>
      </c>
      <c r="J22" s="2">
        <v>2020</v>
      </c>
    </row>
    <row r="23" spans="3:10" ht="15.75" customHeight="1" x14ac:dyDescent="0.25">
      <c r="C23" s="2" t="s">
        <v>1030</v>
      </c>
      <c r="D23" s="2" t="s">
        <v>1031</v>
      </c>
      <c r="E23" s="7" t="s">
        <v>882</v>
      </c>
      <c r="F23" s="2">
        <v>5</v>
      </c>
      <c r="G23" s="2" t="s">
        <v>1012</v>
      </c>
      <c r="J23" s="2">
        <v>2021</v>
      </c>
    </row>
    <row r="24" spans="3:10" ht="15.75" customHeight="1" x14ac:dyDescent="0.25">
      <c r="C24" s="2" t="s">
        <v>1032</v>
      </c>
      <c r="D24" s="2" t="s">
        <v>1033</v>
      </c>
      <c r="E24" s="7" t="s">
        <v>1034</v>
      </c>
      <c r="F24" s="2">
        <v>1</v>
      </c>
      <c r="G24" s="2" t="s">
        <v>1035</v>
      </c>
      <c r="J24" s="2">
        <v>2022</v>
      </c>
    </row>
    <row r="25" spans="3:10" ht="15.75" customHeight="1" x14ac:dyDescent="0.25">
      <c r="C25" s="2" t="s">
        <v>1036</v>
      </c>
      <c r="D25" s="2" t="s">
        <v>1037</v>
      </c>
      <c r="E25" s="7" t="s">
        <v>180</v>
      </c>
      <c r="F25" s="2">
        <v>2</v>
      </c>
      <c r="G25" s="2" t="s">
        <v>1038</v>
      </c>
      <c r="J25" s="2">
        <v>2023</v>
      </c>
    </row>
    <row r="26" spans="3:10" ht="15.75" customHeight="1" x14ac:dyDescent="0.25">
      <c r="C26" s="2" t="s">
        <v>1039</v>
      </c>
      <c r="D26" s="2" t="s">
        <v>1040</v>
      </c>
      <c r="J26" s="2">
        <v>2024</v>
      </c>
    </row>
    <row r="27" spans="3:10" ht="15.75" customHeight="1" x14ac:dyDescent="0.25">
      <c r="C27" s="2" t="s">
        <v>1041</v>
      </c>
      <c r="D27" s="2" t="s">
        <v>1042</v>
      </c>
      <c r="J27" s="2">
        <v>2025</v>
      </c>
    </row>
    <row r="28" spans="3:10" ht="15.75" customHeight="1" x14ac:dyDescent="0.25">
      <c r="C28" s="2" t="s">
        <v>1043</v>
      </c>
      <c r="D28" s="2" t="s">
        <v>1044</v>
      </c>
      <c r="J28" s="2">
        <v>2026</v>
      </c>
    </row>
    <row r="29" spans="3:10" ht="15.75" customHeight="1" x14ac:dyDescent="0.25">
      <c r="C29" s="2" t="s">
        <v>1045</v>
      </c>
      <c r="D29" s="2" t="s">
        <v>1046</v>
      </c>
      <c r="J29" s="2">
        <v>2027</v>
      </c>
    </row>
    <row r="30" spans="3:10" ht="15.75" customHeight="1" x14ac:dyDescent="0.25">
      <c r="C30" s="2" t="s">
        <v>1047</v>
      </c>
      <c r="D30" s="2" t="s">
        <v>1048</v>
      </c>
      <c r="J30" s="2">
        <v>2028</v>
      </c>
    </row>
    <row r="31" spans="3:10" ht="15.75" customHeight="1" x14ac:dyDescent="0.25">
      <c r="C31" s="2" t="s">
        <v>1049</v>
      </c>
      <c r="D31" s="2" t="s">
        <v>1050</v>
      </c>
      <c r="J31" s="2">
        <v>2029</v>
      </c>
    </row>
    <row r="32" spans="3:10" ht="15.75" customHeight="1" x14ac:dyDescent="0.25">
      <c r="C32" s="2" t="s">
        <v>1051</v>
      </c>
      <c r="D32" s="2" t="s">
        <v>1052</v>
      </c>
      <c r="J32">
        <v>2030</v>
      </c>
    </row>
    <row r="33" spans="3:4" ht="15.75" customHeight="1" x14ac:dyDescent="0.25">
      <c r="C33" s="2" t="s">
        <v>1053</v>
      </c>
      <c r="D33" s="2" t="s">
        <v>1054</v>
      </c>
    </row>
    <row r="34" spans="3:4" ht="15.75" customHeight="1" x14ac:dyDescent="0.25">
      <c r="C34" s="2" t="s">
        <v>1055</v>
      </c>
      <c r="D34" s="2" t="s">
        <v>1056</v>
      </c>
    </row>
    <row r="35" spans="3:4" ht="15.75" customHeight="1" x14ac:dyDescent="0.25">
      <c r="C35" s="2" t="s">
        <v>1057</v>
      </c>
      <c r="D35" s="2" t="s">
        <v>1058</v>
      </c>
    </row>
    <row r="36" spans="3:4" ht="15.75" customHeight="1" x14ac:dyDescent="0.25">
      <c r="C36" s="2" t="s">
        <v>39</v>
      </c>
      <c r="D36" s="2" t="s">
        <v>1059</v>
      </c>
    </row>
    <row r="37" spans="3:4" ht="15.75" customHeight="1" x14ac:dyDescent="0.25">
      <c r="C37" s="2" t="s">
        <v>1060</v>
      </c>
      <c r="D37" s="2" t="s">
        <v>1061</v>
      </c>
    </row>
    <row r="38" spans="3:4" ht="15.75" customHeight="1" x14ac:dyDescent="0.25">
      <c r="C38" s="2" t="s">
        <v>1062</v>
      </c>
      <c r="D38" s="2" t="s">
        <v>1063</v>
      </c>
    </row>
    <row r="39" spans="3:4" ht="15.75" customHeight="1" x14ac:dyDescent="0.25">
      <c r="C39" s="2" t="s">
        <v>1064</v>
      </c>
      <c r="D39" s="2" t="s">
        <v>1065</v>
      </c>
    </row>
    <row r="40" spans="3:4" ht="15.75" customHeight="1" x14ac:dyDescent="0.25">
      <c r="C40" s="2" t="s">
        <v>1066</v>
      </c>
      <c r="D40" s="2" t="s">
        <v>1067</v>
      </c>
    </row>
    <row r="41" spans="3:4" ht="15.75" customHeight="1" x14ac:dyDescent="0.25">
      <c r="C41" s="2" t="s">
        <v>1068</v>
      </c>
      <c r="D41" s="2" t="s">
        <v>1069</v>
      </c>
    </row>
    <row r="42" spans="3:4" ht="15.75" customHeight="1" x14ac:dyDescent="0.25">
      <c r="C42" s="2" t="s">
        <v>1070</v>
      </c>
      <c r="D42" s="2" t="s">
        <v>1071</v>
      </c>
    </row>
    <row r="43" spans="3:4" ht="15.75" customHeight="1" x14ac:dyDescent="0.25">
      <c r="C43" s="2" t="s">
        <v>1072</v>
      </c>
      <c r="D43" s="2" t="s">
        <v>1073</v>
      </c>
    </row>
    <row r="44" spans="3:4" ht="15.75" customHeight="1" x14ac:dyDescent="0.25">
      <c r="C44" s="2" t="s">
        <v>1074</v>
      </c>
      <c r="D44" s="2" t="s">
        <v>1075</v>
      </c>
    </row>
    <row r="45" spans="3:4" ht="15.75" customHeight="1" x14ac:dyDescent="0.25">
      <c r="C45" s="2" t="s">
        <v>1076</v>
      </c>
      <c r="D45" s="2" t="s">
        <v>1077</v>
      </c>
    </row>
    <row r="46" spans="3:4" ht="15.75" customHeight="1" x14ac:dyDescent="0.25">
      <c r="C46" s="2" t="s">
        <v>1078</v>
      </c>
      <c r="D46" s="2" t="s">
        <v>1079</v>
      </c>
    </row>
    <row r="47" spans="3:4" ht="15.75" customHeight="1" x14ac:dyDescent="0.25">
      <c r="C47" s="2"/>
    </row>
    <row r="48" spans="3:4" ht="15.75" customHeight="1" x14ac:dyDescent="0.25">
      <c r="C48" s="2"/>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topLeftCell="A38" workbookViewId="0">
      <selection activeCell="E52" sqref="E52"/>
    </sheetView>
  </sheetViews>
  <sheetFormatPr defaultColWidth="12.625" defaultRowHeight="15" customHeight="1" x14ac:dyDescent="0.2"/>
  <cols>
    <col min="1" max="1" width="5.125" customWidth="1"/>
    <col min="2" max="2" width="33" customWidth="1"/>
    <col min="3" max="4" width="13.625" customWidth="1"/>
    <col min="5" max="5" width="15.125" customWidth="1"/>
    <col min="6" max="6" width="14.125" customWidth="1"/>
    <col min="7" max="7" width="14.5" customWidth="1"/>
    <col min="8" max="8" width="15.875" customWidth="1"/>
    <col min="9" max="9" width="57.625" customWidth="1"/>
    <col min="10" max="18" width="7.625" customWidth="1"/>
    <col min="19" max="19" width="7.625" hidden="1" customWidth="1"/>
    <col min="20" max="26" width="7.625" customWidth="1"/>
  </cols>
  <sheetData>
    <row r="1" spans="1:26" x14ac:dyDescent="0.25">
      <c r="C1" s="2"/>
      <c r="D1" s="2"/>
      <c r="E1" s="2"/>
      <c r="F1" s="2" t="s">
        <v>1080</v>
      </c>
      <c r="G1" s="2"/>
      <c r="H1" s="2"/>
      <c r="S1" s="2" t="s">
        <v>1081</v>
      </c>
    </row>
    <row r="2" spans="1:26" x14ac:dyDescent="0.25">
      <c r="C2" s="2"/>
      <c r="D2" s="2"/>
      <c r="E2" s="2"/>
      <c r="F2" s="2" t="s">
        <v>1</v>
      </c>
      <c r="G2" s="2"/>
      <c r="H2" s="2"/>
      <c r="S2" s="2" t="s">
        <v>1082</v>
      </c>
    </row>
    <row r="3" spans="1:26" x14ac:dyDescent="0.25">
      <c r="C3" s="2"/>
      <c r="D3" s="2"/>
      <c r="E3" s="2"/>
      <c r="F3" s="2" t="s">
        <v>2</v>
      </c>
      <c r="G3" s="2"/>
      <c r="H3" s="2"/>
      <c r="S3" s="2" t="s">
        <v>1083</v>
      </c>
    </row>
    <row r="4" spans="1:26" x14ac:dyDescent="0.25">
      <c r="C4" s="2"/>
      <c r="D4" s="2"/>
      <c r="E4" s="2"/>
      <c r="F4" s="2" t="s">
        <v>3</v>
      </c>
      <c r="G4" s="2"/>
      <c r="H4" s="2"/>
      <c r="S4" s="2" t="s">
        <v>1084</v>
      </c>
    </row>
    <row r="5" spans="1:26" x14ac:dyDescent="0.25">
      <c r="C5" s="2"/>
      <c r="D5" s="2"/>
      <c r="E5" s="2"/>
      <c r="F5" s="2" t="s">
        <v>4</v>
      </c>
      <c r="G5" s="2"/>
      <c r="H5" s="2"/>
      <c r="S5" s="2" t="s">
        <v>1085</v>
      </c>
    </row>
    <row r="6" spans="1:26" ht="159" customHeight="1" x14ac:dyDescent="0.25">
      <c r="C6" s="2"/>
      <c r="D6" s="2"/>
      <c r="E6" s="2"/>
      <c r="F6" s="617" t="s">
        <v>5</v>
      </c>
      <c r="G6" s="613"/>
      <c r="H6" s="613"/>
      <c r="S6" s="2" t="s">
        <v>1086</v>
      </c>
    </row>
    <row r="7" spans="1:26" ht="15.75" customHeight="1" x14ac:dyDescent="0.25">
      <c r="A7" s="628" t="s">
        <v>279</v>
      </c>
      <c r="B7" s="613"/>
      <c r="C7" s="613"/>
      <c r="D7" s="613"/>
      <c r="E7" s="613"/>
      <c r="F7" s="613"/>
      <c r="G7" s="613"/>
      <c r="H7" s="613"/>
      <c r="I7" s="4"/>
      <c r="J7" s="4"/>
      <c r="K7" s="4"/>
      <c r="L7" s="4"/>
      <c r="M7" s="4"/>
      <c r="N7" s="4"/>
      <c r="O7" s="4"/>
      <c r="P7" s="4"/>
      <c r="Q7" s="4"/>
      <c r="R7" s="4"/>
      <c r="S7" s="7" t="s">
        <v>1087</v>
      </c>
      <c r="T7" s="4"/>
      <c r="U7" s="4"/>
      <c r="V7" s="4"/>
      <c r="W7" s="4"/>
      <c r="X7" s="4"/>
      <c r="Y7" s="4"/>
      <c r="Z7" s="4"/>
    </row>
    <row r="8" spans="1:26" ht="15.75" customHeight="1" x14ac:dyDescent="0.25">
      <c r="A8" s="628" t="s">
        <v>1088</v>
      </c>
      <c r="B8" s="613"/>
      <c r="C8" s="613"/>
      <c r="D8" s="613"/>
      <c r="E8" s="613"/>
      <c r="F8" s="613"/>
      <c r="G8" s="613"/>
      <c r="H8" s="613"/>
      <c r="I8" s="4"/>
      <c r="J8" s="4"/>
      <c r="K8" s="4"/>
      <c r="L8" s="4"/>
      <c r="M8" s="4"/>
      <c r="N8" s="4"/>
      <c r="O8" s="4"/>
      <c r="P8" s="4"/>
      <c r="Q8" s="4"/>
      <c r="R8" s="4"/>
      <c r="S8" s="4"/>
      <c r="T8" s="4"/>
      <c r="U8" s="4"/>
      <c r="V8" s="4"/>
      <c r="W8" s="4"/>
      <c r="X8" s="4"/>
      <c r="Y8" s="4"/>
      <c r="Z8" s="4"/>
    </row>
    <row r="9" spans="1:26" ht="17.25" customHeight="1" x14ac:dyDescent="0.25">
      <c r="A9" s="626" t="s">
        <v>282</v>
      </c>
      <c r="B9" s="615"/>
      <c r="C9" s="615"/>
      <c r="D9" s="615"/>
      <c r="E9" s="615"/>
      <c r="F9" s="615"/>
      <c r="G9" s="615"/>
      <c r="H9" s="616"/>
      <c r="I9" s="2" t="s">
        <v>13</v>
      </c>
      <c r="K9" s="4"/>
      <c r="L9" s="4"/>
      <c r="M9" s="4"/>
      <c r="N9" s="4"/>
      <c r="O9" s="4"/>
      <c r="P9" s="4"/>
      <c r="Q9" s="4"/>
      <c r="R9" s="4"/>
      <c r="S9" s="4"/>
      <c r="T9" s="4"/>
      <c r="U9" s="4"/>
      <c r="V9" s="4"/>
      <c r="W9" s="4"/>
      <c r="X9" s="4"/>
      <c r="Y9" s="4"/>
      <c r="Z9" s="4"/>
    </row>
    <row r="10" spans="1:26" x14ac:dyDescent="0.25">
      <c r="A10" s="96">
        <v>1</v>
      </c>
      <c r="B10" s="98" t="s">
        <v>1089</v>
      </c>
      <c r="C10" s="624" t="str">
        <f>IF('LAMPIRAN II DONE'!C11&lt;&gt;"",'LAMPIRAN II DONE'!C11,"")</f>
        <v/>
      </c>
      <c r="D10" s="615"/>
      <c r="E10" s="615"/>
      <c r="F10" s="615"/>
      <c r="G10" s="615"/>
      <c r="H10" s="616"/>
      <c r="I10" s="2"/>
      <c r="J10" s="2"/>
      <c r="K10" s="4"/>
      <c r="L10" s="4"/>
      <c r="M10" s="4"/>
      <c r="N10" s="4"/>
      <c r="O10" s="4"/>
      <c r="P10" s="4"/>
      <c r="Q10" s="4"/>
      <c r="R10" s="4"/>
      <c r="S10" s="4"/>
      <c r="T10" s="4"/>
      <c r="U10" s="4"/>
      <c r="V10" s="4"/>
      <c r="W10" s="4"/>
      <c r="X10" s="4"/>
      <c r="Y10" s="4"/>
      <c r="Z10" s="4"/>
    </row>
    <row r="11" spans="1:26" ht="15" customHeight="1" x14ac:dyDescent="0.25">
      <c r="A11" s="96">
        <v>2</v>
      </c>
      <c r="B11" s="98" t="s">
        <v>847</v>
      </c>
      <c r="C11" s="624" t="str">
        <f>IF('LAMPIRAN II DONE'!C12&lt;&gt;"",'LAMPIRAN II DONE'!C12,"")</f>
        <v/>
      </c>
      <c r="D11" s="615"/>
      <c r="E11" s="615"/>
      <c r="F11" s="615"/>
      <c r="G11" s="615"/>
      <c r="H11" s="616"/>
      <c r="I11" s="317"/>
      <c r="J11" s="2" t="s">
        <v>18</v>
      </c>
      <c r="K11" s="4"/>
      <c r="L11" s="4"/>
      <c r="M11" s="4"/>
      <c r="N11" s="4"/>
      <c r="O11" s="4"/>
      <c r="P11" s="4"/>
      <c r="Q11" s="4"/>
      <c r="R11" s="4"/>
      <c r="S11" s="4"/>
      <c r="T11" s="4"/>
      <c r="U11" s="4"/>
      <c r="V11" s="4"/>
      <c r="W11" s="4"/>
      <c r="X11" s="4"/>
      <c r="Y11" s="4"/>
      <c r="Z11" s="4"/>
    </row>
    <row r="12" spans="1:26" ht="15" customHeight="1" x14ac:dyDescent="0.25">
      <c r="A12" s="96">
        <v>3</v>
      </c>
      <c r="B12" s="98" t="s">
        <v>284</v>
      </c>
      <c r="C12" s="624" t="str">
        <f>IF('LAMPIRAN II DONE'!C13&lt;&gt;"",'LAMPIRAN II DONE'!C13,"")</f>
        <v/>
      </c>
      <c r="D12" s="615"/>
      <c r="E12" s="615"/>
      <c r="F12" s="615"/>
      <c r="G12" s="615"/>
      <c r="H12" s="616"/>
      <c r="I12" s="319"/>
      <c r="J12" s="2" t="s">
        <v>291</v>
      </c>
      <c r="K12" s="4"/>
      <c r="L12" s="4"/>
      <c r="M12" s="4"/>
      <c r="N12" s="4"/>
      <c r="O12" s="4"/>
      <c r="P12" s="4"/>
      <c r="Q12" s="4"/>
      <c r="R12" s="4"/>
      <c r="S12" s="4"/>
      <c r="T12" s="4"/>
      <c r="U12" s="4"/>
      <c r="V12" s="4"/>
      <c r="W12" s="4"/>
      <c r="X12" s="4"/>
      <c r="Y12" s="4"/>
      <c r="Z12" s="4"/>
    </row>
    <row r="13" spans="1:26" ht="15" customHeight="1" x14ac:dyDescent="0.25">
      <c r="A13" s="96">
        <v>4</v>
      </c>
      <c r="B13" s="98" t="s">
        <v>285</v>
      </c>
      <c r="C13" s="624" t="str">
        <f>IF('LAMPIRAN II DONE'!C14&lt;&gt;"",'LAMPIRAN II DONE'!C14,"")</f>
        <v/>
      </c>
      <c r="D13" s="615"/>
      <c r="E13" s="615"/>
      <c r="F13" s="615"/>
      <c r="G13" s="615"/>
      <c r="H13" s="616"/>
      <c r="I13" s="4"/>
      <c r="J13" s="136" t="s">
        <v>851</v>
      </c>
      <c r="K13" s="136"/>
      <c r="L13" s="136"/>
      <c r="M13" s="4"/>
      <c r="N13" s="4"/>
      <c r="O13" s="4"/>
      <c r="P13" s="4"/>
      <c r="Q13" s="4"/>
      <c r="R13" s="4"/>
      <c r="S13" s="4"/>
      <c r="T13" s="4"/>
      <c r="U13" s="4"/>
      <c r="V13" s="4"/>
      <c r="W13" s="4"/>
      <c r="X13" s="4"/>
      <c r="Y13" s="4"/>
      <c r="Z13" s="4"/>
    </row>
    <row r="14" spans="1:26" ht="15" customHeight="1" x14ac:dyDescent="0.25">
      <c r="A14" s="96">
        <v>5</v>
      </c>
      <c r="B14" s="98" t="s">
        <v>286</v>
      </c>
      <c r="C14" s="624" t="str">
        <f>IF('LAMPIRAN II DONE'!C15&lt;&gt;"",'LAMPIRAN II DONE'!C15,"")</f>
        <v/>
      </c>
      <c r="D14" s="615"/>
      <c r="E14" s="615"/>
      <c r="F14" s="615"/>
      <c r="G14" s="615"/>
      <c r="H14" s="616"/>
      <c r="I14" s="4"/>
      <c r="J14" s="136" t="s">
        <v>853</v>
      </c>
      <c r="K14" s="4"/>
      <c r="L14" s="4"/>
      <c r="M14" s="4"/>
      <c r="N14" s="4"/>
      <c r="O14" s="4"/>
      <c r="P14" s="4"/>
      <c r="Q14" s="4"/>
      <c r="R14" s="4"/>
      <c r="S14" s="4"/>
      <c r="T14" s="4"/>
      <c r="U14" s="4"/>
      <c r="V14" s="4"/>
      <c r="W14" s="4"/>
      <c r="X14" s="4"/>
      <c r="Y14" s="4"/>
      <c r="Z14" s="4"/>
    </row>
    <row r="15" spans="1:26" ht="16.5" customHeight="1" x14ac:dyDescent="0.25">
      <c r="A15" s="626" t="s">
        <v>287</v>
      </c>
      <c r="B15" s="615"/>
      <c r="C15" s="615"/>
      <c r="D15" s="615"/>
      <c r="E15" s="615"/>
      <c r="F15" s="615"/>
      <c r="G15" s="615"/>
      <c r="H15" s="616"/>
      <c r="I15" s="4"/>
      <c r="J15" s="4"/>
      <c r="K15" s="4"/>
      <c r="L15" s="4"/>
      <c r="M15" s="4"/>
      <c r="N15" s="4"/>
      <c r="O15" s="4"/>
      <c r="P15" s="4"/>
      <c r="Q15" s="4"/>
      <c r="R15" s="4"/>
      <c r="S15" s="4"/>
      <c r="T15" s="4"/>
      <c r="U15" s="4"/>
      <c r="V15" s="4"/>
      <c r="W15" s="4"/>
      <c r="X15" s="4"/>
      <c r="Y15" s="4"/>
      <c r="Z15" s="4"/>
    </row>
    <row r="16" spans="1:26" x14ac:dyDescent="0.25">
      <c r="A16" s="96">
        <v>1</v>
      </c>
      <c r="B16" s="97" t="s">
        <v>1089</v>
      </c>
      <c r="C16" s="710" t="str">
        <f>IF('LAMPIRAN I DONE'!F15&lt;&gt;"",'LAMPIRAN I DONE'!F15,"")</f>
        <v>Dahliar Ananda</v>
      </c>
      <c r="D16" s="615"/>
      <c r="E16" s="615"/>
      <c r="F16" s="615"/>
      <c r="G16" s="615"/>
      <c r="H16" s="616"/>
      <c r="I16" s="4"/>
      <c r="J16" s="4"/>
      <c r="K16" s="4"/>
      <c r="L16" s="4"/>
      <c r="M16" s="4"/>
      <c r="N16" s="4"/>
      <c r="O16" s="4"/>
      <c r="P16" s="4"/>
      <c r="Q16" s="4"/>
      <c r="R16" s="4"/>
      <c r="S16" s="4"/>
      <c r="T16" s="4"/>
      <c r="U16" s="4"/>
      <c r="V16" s="4"/>
      <c r="W16" s="4"/>
      <c r="X16" s="4"/>
      <c r="Y16" s="4"/>
      <c r="Z16" s="4"/>
    </row>
    <row r="17" spans="1:26" ht="15" customHeight="1" x14ac:dyDescent="0.25">
      <c r="A17" s="96">
        <v>2</v>
      </c>
      <c r="B17" s="97" t="s">
        <v>847</v>
      </c>
      <c r="C17" s="624" t="str">
        <f>IF('LAMPIRAN I DONE'!F16&lt;&gt;"",'LAMPIRAN I DONE'!F16,"")</f>
        <v>0402058203 / 09820030</v>
      </c>
      <c r="D17" s="615"/>
      <c r="E17" s="615"/>
      <c r="F17" s="615"/>
      <c r="G17" s="615"/>
      <c r="H17" s="616"/>
      <c r="I17" s="4"/>
      <c r="J17" s="4"/>
      <c r="K17" s="4"/>
      <c r="L17" s="4"/>
      <c r="M17" s="4"/>
      <c r="N17" s="4"/>
      <c r="O17" s="4"/>
      <c r="P17" s="4"/>
      <c r="Q17" s="4"/>
      <c r="R17" s="4"/>
      <c r="S17" s="4"/>
      <c r="T17" s="4"/>
      <c r="U17" s="4"/>
      <c r="V17" s="4"/>
      <c r="W17" s="4"/>
      <c r="X17" s="4"/>
      <c r="Y17" s="4"/>
      <c r="Z17" s="4"/>
    </row>
    <row r="18" spans="1:26" ht="15" customHeight="1" x14ac:dyDescent="0.25">
      <c r="A18" s="96">
        <v>3</v>
      </c>
      <c r="B18" s="97" t="s">
        <v>284</v>
      </c>
      <c r="C18" s="624" t="str">
        <f>IF('LAMPIRAN II DONE'!C19&lt;&gt;"",'LAMPIRAN II DONE'!C19,"")</f>
        <v>-</v>
      </c>
      <c r="D18" s="615"/>
      <c r="E18" s="615"/>
      <c r="F18" s="615"/>
      <c r="G18" s="615"/>
      <c r="H18" s="616"/>
      <c r="I18" s="4"/>
      <c r="J18" s="4"/>
      <c r="K18" s="4"/>
      <c r="L18" s="4"/>
      <c r="M18" s="4"/>
      <c r="N18" s="4"/>
      <c r="O18" s="4"/>
      <c r="P18" s="4"/>
      <c r="Q18" s="4"/>
      <c r="R18" s="4"/>
      <c r="S18" s="4"/>
      <c r="T18" s="4"/>
      <c r="U18" s="4"/>
      <c r="V18" s="4"/>
      <c r="W18" s="4"/>
      <c r="X18" s="4"/>
      <c r="Y18" s="4"/>
      <c r="Z18" s="4"/>
    </row>
    <row r="19" spans="1:26" ht="15" customHeight="1" x14ac:dyDescent="0.25">
      <c r="A19" s="96">
        <v>4</v>
      </c>
      <c r="B19" s="97" t="s">
        <v>288</v>
      </c>
      <c r="C19" s="710" t="str">
        <f>IF('LAMPIRAN I DONE'!F21&lt;&gt;"",'LAMPIRAN I DONE'!F21,"")</f>
        <v>Lektor</v>
      </c>
      <c r="D19" s="615"/>
      <c r="E19" s="615"/>
      <c r="F19" s="615"/>
      <c r="G19" s="615"/>
      <c r="H19" s="616"/>
      <c r="I19" s="4"/>
      <c r="J19" s="4"/>
      <c r="K19" s="4"/>
      <c r="L19" s="4"/>
      <c r="M19" s="4"/>
      <c r="N19" s="4"/>
      <c r="O19" s="4"/>
      <c r="P19" s="4"/>
      <c r="Q19" s="4"/>
      <c r="R19" s="4"/>
      <c r="S19" s="4"/>
      <c r="T19" s="4"/>
      <c r="U19" s="4"/>
      <c r="V19" s="4"/>
      <c r="W19" s="4"/>
      <c r="X19" s="4"/>
      <c r="Y19" s="4"/>
      <c r="Z19" s="4"/>
    </row>
    <row r="20" spans="1:26" ht="15" customHeight="1" x14ac:dyDescent="0.25">
      <c r="A20" s="96">
        <v>5</v>
      </c>
      <c r="B20" s="97" t="s">
        <v>286</v>
      </c>
      <c r="C20" s="710" t="str">
        <f>IF('LAMPIRAN I DONE'!F25&lt;&gt;"",'LAMPIRAN I DONE'!F25,"")</f>
        <v>S1 Rekayasa Perangkat Lunak Kampus Surabaya Fakultas Informatika di Universitas Telkom pada LLDIKTI Wilayah IV Jawa Barat dan Banten</v>
      </c>
      <c r="D20" s="615"/>
      <c r="E20" s="615"/>
      <c r="F20" s="615"/>
      <c r="G20" s="615"/>
      <c r="H20" s="616"/>
      <c r="I20" s="4"/>
      <c r="J20" s="4"/>
      <c r="K20" s="4"/>
      <c r="L20" s="4"/>
      <c r="M20" s="4"/>
      <c r="N20" s="4"/>
      <c r="O20" s="4"/>
      <c r="P20" s="4"/>
      <c r="Q20" s="4"/>
      <c r="R20" s="4"/>
      <c r="S20" s="4"/>
      <c r="T20" s="4"/>
      <c r="U20" s="4"/>
      <c r="V20" s="4"/>
      <c r="W20" s="4"/>
      <c r="X20" s="4"/>
      <c r="Y20" s="4"/>
      <c r="Z20" s="4"/>
    </row>
    <row r="21" spans="1:26" ht="15.75" customHeight="1" x14ac:dyDescent="0.25">
      <c r="A21" s="622" t="s">
        <v>1090</v>
      </c>
      <c r="B21" s="615"/>
      <c r="C21" s="615"/>
      <c r="D21" s="615"/>
      <c r="E21" s="615"/>
      <c r="F21" s="615"/>
      <c r="G21" s="615"/>
      <c r="H21" s="616"/>
      <c r="I21" s="4"/>
      <c r="J21" s="4"/>
      <c r="K21" s="4"/>
      <c r="L21" s="4"/>
      <c r="M21" s="4"/>
      <c r="N21" s="4"/>
      <c r="O21" s="4"/>
      <c r="P21" s="4"/>
      <c r="Q21" s="4"/>
      <c r="R21" s="4"/>
      <c r="S21" s="4"/>
      <c r="T21" s="4"/>
      <c r="U21" s="4"/>
      <c r="V21" s="4"/>
      <c r="W21" s="4"/>
      <c r="X21" s="4"/>
      <c r="Y21" s="4"/>
      <c r="Z21" s="4"/>
    </row>
    <row r="22" spans="1:26" ht="43.5" customHeight="1" x14ac:dyDescent="0.25">
      <c r="A22" s="99" t="s">
        <v>45</v>
      </c>
      <c r="B22" s="99" t="s">
        <v>292</v>
      </c>
      <c r="C22" s="99" t="s">
        <v>293</v>
      </c>
      <c r="D22" s="99" t="s">
        <v>294</v>
      </c>
      <c r="E22" s="99" t="s">
        <v>295</v>
      </c>
      <c r="F22" s="99" t="s">
        <v>296</v>
      </c>
      <c r="G22" s="99" t="s">
        <v>297</v>
      </c>
      <c r="H22" s="99" t="s">
        <v>298</v>
      </c>
      <c r="I22" s="4"/>
      <c r="J22" s="4"/>
      <c r="K22" s="4"/>
      <c r="L22" s="4"/>
      <c r="M22" s="4"/>
      <c r="N22" s="4"/>
      <c r="O22" s="4"/>
      <c r="P22" s="4"/>
      <c r="Q22" s="4"/>
      <c r="R22" s="4"/>
      <c r="S22" s="4"/>
      <c r="T22" s="4"/>
      <c r="U22" s="4"/>
      <c r="V22" s="4"/>
      <c r="W22" s="4"/>
      <c r="X22" s="4"/>
      <c r="Y22" s="4"/>
      <c r="Z22" s="4"/>
    </row>
    <row r="23" spans="1:26" ht="15.75" customHeight="1" x14ac:dyDescent="0.25">
      <c r="A23" s="100">
        <v>1</v>
      </c>
      <c r="B23" s="100">
        <v>2</v>
      </c>
      <c r="C23" s="100">
        <v>3</v>
      </c>
      <c r="D23" s="100">
        <v>4</v>
      </c>
      <c r="E23" s="100">
        <v>5</v>
      </c>
      <c r="F23" s="100">
        <v>6</v>
      </c>
      <c r="G23" s="100">
        <v>7</v>
      </c>
      <c r="H23" s="100">
        <v>8</v>
      </c>
      <c r="I23" s="4"/>
      <c r="J23" s="4"/>
      <c r="K23" s="4"/>
      <c r="L23" s="4"/>
      <c r="M23" s="4"/>
      <c r="N23" s="4"/>
      <c r="O23" s="4"/>
      <c r="P23" s="4"/>
      <c r="Q23" s="4"/>
      <c r="R23" s="4"/>
      <c r="S23" s="4"/>
      <c r="T23" s="4"/>
      <c r="U23" s="4"/>
      <c r="V23" s="4"/>
      <c r="W23" s="4"/>
      <c r="X23" s="4"/>
      <c r="Y23" s="4"/>
      <c r="Z23" s="4"/>
    </row>
    <row r="24" spans="1:26" ht="15.75" customHeight="1" x14ac:dyDescent="0.25">
      <c r="A24" s="99" t="s">
        <v>187</v>
      </c>
      <c r="B24" s="414" t="s">
        <v>1091</v>
      </c>
      <c r="C24" s="447"/>
      <c r="D24" s="447"/>
      <c r="E24" s="447"/>
      <c r="F24" s="447"/>
      <c r="G24" s="447"/>
      <c r="H24" s="448"/>
      <c r="I24" s="4"/>
      <c r="J24" s="4"/>
      <c r="K24" s="4"/>
      <c r="L24" s="4"/>
      <c r="M24" s="4"/>
      <c r="N24" s="4"/>
      <c r="O24" s="4"/>
      <c r="P24" s="4"/>
      <c r="Q24" s="4"/>
      <c r="R24" s="4"/>
      <c r="S24" s="4"/>
      <c r="T24" s="4"/>
      <c r="U24" s="4"/>
      <c r="V24" s="4"/>
      <c r="W24" s="4"/>
      <c r="X24" s="4"/>
      <c r="Y24" s="4"/>
      <c r="Z24" s="4"/>
    </row>
    <row r="25" spans="1:26" ht="15.75" customHeight="1" x14ac:dyDescent="0.25">
      <c r="A25" s="115" t="s">
        <v>56</v>
      </c>
      <c r="B25" s="707" t="s">
        <v>1092</v>
      </c>
      <c r="C25" s="615"/>
      <c r="D25" s="615"/>
      <c r="E25" s="615"/>
      <c r="F25" s="615"/>
      <c r="G25" s="615"/>
      <c r="H25" s="616"/>
      <c r="I25" s="4"/>
      <c r="J25" s="4"/>
      <c r="K25" s="4"/>
      <c r="L25" s="4"/>
      <c r="M25" s="4"/>
      <c r="N25" s="4"/>
      <c r="O25" s="4"/>
      <c r="P25" s="4"/>
      <c r="Q25" s="4"/>
      <c r="R25" s="4"/>
      <c r="S25" s="4"/>
      <c r="T25" s="4"/>
      <c r="U25" s="4"/>
      <c r="V25" s="4"/>
      <c r="W25" s="4"/>
      <c r="X25" s="4"/>
      <c r="Y25" s="4"/>
      <c r="Z25" s="4"/>
    </row>
    <row r="26" spans="1:26" ht="15.75" customHeight="1" x14ac:dyDescent="0.25">
      <c r="A26" s="109">
        <v>1</v>
      </c>
      <c r="B26" s="445" t="s">
        <v>1093</v>
      </c>
      <c r="C26" s="148" t="s">
        <v>1094</v>
      </c>
      <c r="D26" s="148" t="s">
        <v>1095</v>
      </c>
      <c r="E26" s="398" t="str">
        <f t="shared" ref="E26:E35" si="0">IF(I26&lt;&gt;"",1,"")</f>
        <v/>
      </c>
      <c r="F26" s="398" t="str">
        <f t="shared" ref="F26:F35" si="1">IF(I26&lt;&gt;"",J26,"")</f>
        <v/>
      </c>
      <c r="G26" s="399" t="str">
        <f t="shared" ref="G26:G35" si="2">IF(J26&lt;&gt;"rumus","1 x "&amp;J26&amp;" = "&amp;J26,"rumus")</f>
        <v>rumus</v>
      </c>
      <c r="H26" s="134" t="s">
        <v>1096</v>
      </c>
      <c r="I26" s="420"/>
      <c r="J26" s="401" t="str">
        <f t="shared" ref="J26:J35" si="3">IF(I26="Menduduki jabatan pimpinan persemester",5.5,"rumus")</f>
        <v>rumus</v>
      </c>
      <c r="K26" s="4"/>
      <c r="L26" s="4"/>
      <c r="M26" s="4"/>
      <c r="N26" s="4"/>
      <c r="O26" s="4"/>
      <c r="P26" s="4"/>
      <c r="Q26" s="4"/>
      <c r="R26" s="4"/>
      <c r="S26" s="4"/>
      <c r="T26" s="4"/>
      <c r="U26" s="4"/>
      <c r="V26" s="4"/>
      <c r="W26" s="4"/>
      <c r="X26" s="4"/>
      <c r="Y26" s="4"/>
      <c r="Z26" s="4"/>
    </row>
    <row r="27" spans="1:26" ht="15.75" customHeight="1" x14ac:dyDescent="0.25">
      <c r="A27" s="109">
        <v>2</v>
      </c>
      <c r="B27" s="397" t="s">
        <v>817</v>
      </c>
      <c r="C27" s="148" t="s">
        <v>26</v>
      </c>
      <c r="D27" s="148"/>
      <c r="E27" s="398" t="str">
        <f t="shared" si="0"/>
        <v/>
      </c>
      <c r="F27" s="398" t="str">
        <f t="shared" si="1"/>
        <v/>
      </c>
      <c r="G27" s="399" t="str">
        <f t="shared" si="2"/>
        <v>rumus</v>
      </c>
      <c r="H27" s="134" t="s">
        <v>26</v>
      </c>
      <c r="I27" s="420"/>
      <c r="J27" s="401" t="str">
        <f t="shared" si="3"/>
        <v>rumus</v>
      </c>
      <c r="K27" s="4"/>
      <c r="L27" s="4"/>
      <c r="M27" s="4"/>
      <c r="N27" s="4"/>
      <c r="O27" s="4"/>
      <c r="P27" s="4"/>
      <c r="Q27" s="4"/>
      <c r="R27" s="4"/>
      <c r="S27" s="4"/>
      <c r="T27" s="4"/>
      <c r="U27" s="4"/>
      <c r="V27" s="4"/>
      <c r="W27" s="4"/>
      <c r="X27" s="4"/>
      <c r="Y27" s="4"/>
      <c r="Z27" s="4"/>
    </row>
    <row r="28" spans="1:26" ht="15.75" customHeight="1" x14ac:dyDescent="0.25">
      <c r="A28" s="109">
        <v>3</v>
      </c>
      <c r="B28" s="397" t="s">
        <v>817</v>
      </c>
      <c r="C28" s="148" t="s">
        <v>26</v>
      </c>
      <c r="D28" s="148"/>
      <c r="E28" s="398" t="str">
        <f t="shared" si="0"/>
        <v/>
      </c>
      <c r="F28" s="398" t="str">
        <f t="shared" si="1"/>
        <v/>
      </c>
      <c r="G28" s="399" t="str">
        <f t="shared" si="2"/>
        <v>rumus</v>
      </c>
      <c r="H28" s="134" t="s">
        <v>26</v>
      </c>
      <c r="I28" s="420"/>
      <c r="J28" s="401" t="str">
        <f t="shared" si="3"/>
        <v>rumus</v>
      </c>
      <c r="K28" s="4"/>
      <c r="L28" s="4"/>
      <c r="M28" s="4"/>
      <c r="N28" s="4"/>
      <c r="O28" s="4"/>
      <c r="P28" s="4"/>
      <c r="Q28" s="4"/>
      <c r="R28" s="4"/>
      <c r="S28" s="4"/>
      <c r="T28" s="4"/>
      <c r="U28" s="4"/>
      <c r="V28" s="4"/>
      <c r="W28" s="4"/>
      <c r="X28" s="4"/>
      <c r="Y28" s="4"/>
      <c r="Z28" s="4"/>
    </row>
    <row r="29" spans="1:26" ht="15.75" customHeight="1" x14ac:dyDescent="0.25">
      <c r="A29" s="109">
        <v>4</v>
      </c>
      <c r="B29" s="397" t="s">
        <v>817</v>
      </c>
      <c r="C29" s="148" t="s">
        <v>26</v>
      </c>
      <c r="D29" s="148"/>
      <c r="E29" s="398" t="str">
        <f t="shared" si="0"/>
        <v/>
      </c>
      <c r="F29" s="398" t="str">
        <f t="shared" si="1"/>
        <v/>
      </c>
      <c r="G29" s="399" t="str">
        <f t="shared" si="2"/>
        <v>rumus</v>
      </c>
      <c r="H29" s="134" t="s">
        <v>26</v>
      </c>
      <c r="I29" s="420"/>
      <c r="J29" s="401" t="str">
        <f t="shared" si="3"/>
        <v>rumus</v>
      </c>
      <c r="K29" s="4"/>
      <c r="L29" s="4"/>
      <c r="M29" s="4"/>
      <c r="N29" s="4"/>
      <c r="O29" s="4"/>
      <c r="P29" s="4"/>
      <c r="Q29" s="4"/>
      <c r="R29" s="4"/>
      <c r="S29" s="4"/>
      <c r="T29" s="4"/>
      <c r="U29" s="4"/>
      <c r="V29" s="4"/>
      <c r="W29" s="4"/>
      <c r="X29" s="4"/>
      <c r="Y29" s="4"/>
      <c r="Z29" s="4"/>
    </row>
    <row r="30" spans="1:26" ht="15.75" customHeight="1" x14ac:dyDescent="0.25">
      <c r="A30" s="109">
        <v>5</v>
      </c>
      <c r="B30" s="397" t="s">
        <v>817</v>
      </c>
      <c r="C30" s="148" t="s">
        <v>26</v>
      </c>
      <c r="D30" s="148"/>
      <c r="E30" s="398" t="str">
        <f t="shared" si="0"/>
        <v/>
      </c>
      <c r="F30" s="398" t="str">
        <f t="shared" si="1"/>
        <v/>
      </c>
      <c r="G30" s="399" t="str">
        <f t="shared" si="2"/>
        <v>rumus</v>
      </c>
      <c r="H30" s="134" t="s">
        <v>26</v>
      </c>
      <c r="I30" s="420"/>
      <c r="J30" s="401" t="str">
        <f t="shared" si="3"/>
        <v>rumus</v>
      </c>
      <c r="K30" s="4"/>
      <c r="L30" s="4"/>
      <c r="M30" s="4"/>
      <c r="N30" s="4"/>
      <c r="O30" s="4"/>
      <c r="P30" s="4"/>
      <c r="Q30" s="4"/>
      <c r="R30" s="4"/>
      <c r="S30" s="4"/>
      <c r="T30" s="4"/>
      <c r="U30" s="4"/>
      <c r="V30" s="4"/>
      <c r="W30" s="4"/>
      <c r="X30" s="4"/>
      <c r="Y30" s="4"/>
      <c r="Z30" s="4"/>
    </row>
    <row r="31" spans="1:26" ht="15.75" customHeight="1" x14ac:dyDescent="0.25">
      <c r="A31" s="109">
        <v>6</v>
      </c>
      <c r="B31" s="397" t="s">
        <v>817</v>
      </c>
      <c r="C31" s="148" t="s">
        <v>26</v>
      </c>
      <c r="D31" s="148"/>
      <c r="E31" s="398" t="str">
        <f t="shared" si="0"/>
        <v/>
      </c>
      <c r="F31" s="398" t="str">
        <f t="shared" si="1"/>
        <v/>
      </c>
      <c r="G31" s="399" t="str">
        <f t="shared" si="2"/>
        <v>rumus</v>
      </c>
      <c r="H31" s="134" t="s">
        <v>26</v>
      </c>
      <c r="I31" s="420"/>
      <c r="J31" s="401" t="str">
        <f t="shared" si="3"/>
        <v>rumus</v>
      </c>
      <c r="K31" s="4"/>
      <c r="L31" s="4"/>
      <c r="M31" s="4"/>
      <c r="N31" s="4"/>
      <c r="O31" s="4"/>
      <c r="P31" s="4"/>
      <c r="Q31" s="4"/>
      <c r="R31" s="4"/>
      <c r="S31" s="4"/>
      <c r="T31" s="4"/>
      <c r="U31" s="4"/>
      <c r="V31" s="4"/>
      <c r="W31" s="4"/>
      <c r="X31" s="4"/>
      <c r="Y31" s="4"/>
      <c r="Z31" s="4"/>
    </row>
    <row r="32" spans="1:26" ht="15.75" customHeight="1" x14ac:dyDescent="0.25">
      <c r="A32" s="109">
        <v>7</v>
      </c>
      <c r="B32" s="397" t="s">
        <v>817</v>
      </c>
      <c r="C32" s="148" t="s">
        <v>26</v>
      </c>
      <c r="D32" s="148"/>
      <c r="E32" s="398" t="str">
        <f t="shared" si="0"/>
        <v/>
      </c>
      <c r="F32" s="398" t="str">
        <f t="shared" si="1"/>
        <v/>
      </c>
      <c r="G32" s="399" t="str">
        <f t="shared" si="2"/>
        <v>rumus</v>
      </c>
      <c r="H32" s="134" t="s">
        <v>26</v>
      </c>
      <c r="I32" s="420"/>
      <c r="J32" s="401" t="str">
        <f t="shared" si="3"/>
        <v>rumus</v>
      </c>
      <c r="K32" s="4"/>
      <c r="L32" s="4"/>
      <c r="M32" s="4"/>
      <c r="N32" s="4"/>
      <c r="O32" s="4"/>
      <c r="P32" s="4"/>
      <c r="Q32" s="4"/>
      <c r="R32" s="4"/>
      <c r="S32" s="4"/>
      <c r="T32" s="4"/>
      <c r="U32" s="4"/>
      <c r="V32" s="4"/>
      <c r="W32" s="4"/>
      <c r="X32" s="4"/>
      <c r="Y32" s="4"/>
      <c r="Z32" s="4"/>
    </row>
    <row r="33" spans="1:26" ht="15.75" customHeight="1" x14ac:dyDescent="0.25">
      <c r="A33" s="109">
        <v>8</v>
      </c>
      <c r="B33" s="397" t="s">
        <v>817</v>
      </c>
      <c r="C33" s="148" t="s">
        <v>26</v>
      </c>
      <c r="D33" s="148"/>
      <c r="E33" s="398" t="str">
        <f t="shared" si="0"/>
        <v/>
      </c>
      <c r="F33" s="398" t="str">
        <f t="shared" si="1"/>
        <v/>
      </c>
      <c r="G33" s="399" t="str">
        <f t="shared" si="2"/>
        <v>rumus</v>
      </c>
      <c r="H33" s="134" t="s">
        <v>26</v>
      </c>
      <c r="I33" s="420"/>
      <c r="J33" s="401" t="str">
        <f t="shared" si="3"/>
        <v>rumus</v>
      </c>
      <c r="K33" s="4"/>
      <c r="L33" s="4"/>
      <c r="M33" s="4"/>
      <c r="N33" s="4"/>
      <c r="O33" s="4"/>
      <c r="P33" s="4"/>
      <c r="Q33" s="4"/>
      <c r="R33" s="4"/>
      <c r="S33" s="4"/>
      <c r="T33" s="4"/>
      <c r="U33" s="4"/>
      <c r="V33" s="4"/>
      <c r="W33" s="4"/>
      <c r="X33" s="4"/>
      <c r="Y33" s="4"/>
      <c r="Z33" s="4"/>
    </row>
    <row r="34" spans="1:26" ht="15.75" customHeight="1" x14ac:dyDescent="0.25">
      <c r="A34" s="109">
        <v>9</v>
      </c>
      <c r="B34" s="397" t="s">
        <v>817</v>
      </c>
      <c r="C34" s="148" t="s">
        <v>26</v>
      </c>
      <c r="D34" s="148"/>
      <c r="E34" s="398" t="str">
        <f t="shared" si="0"/>
        <v/>
      </c>
      <c r="F34" s="398" t="str">
        <f t="shared" si="1"/>
        <v/>
      </c>
      <c r="G34" s="399" t="str">
        <f t="shared" si="2"/>
        <v>rumus</v>
      </c>
      <c r="H34" s="134" t="s">
        <v>26</v>
      </c>
      <c r="I34" s="420"/>
      <c r="J34" s="401" t="str">
        <f t="shared" si="3"/>
        <v>rumus</v>
      </c>
      <c r="K34" s="4"/>
      <c r="L34" s="4"/>
      <c r="M34" s="4"/>
      <c r="N34" s="4"/>
      <c r="O34" s="4"/>
      <c r="P34" s="4"/>
      <c r="Q34" s="4"/>
      <c r="R34" s="4"/>
      <c r="S34" s="4"/>
      <c r="T34" s="4"/>
      <c r="U34" s="4"/>
      <c r="V34" s="4"/>
      <c r="W34" s="4"/>
      <c r="X34" s="4"/>
      <c r="Y34" s="4"/>
      <c r="Z34" s="4"/>
    </row>
    <row r="35" spans="1:26" ht="15.75" customHeight="1" x14ac:dyDescent="0.25">
      <c r="A35" s="109">
        <v>10</v>
      </c>
      <c r="B35" s="397" t="s">
        <v>817</v>
      </c>
      <c r="C35" s="148" t="s">
        <v>26</v>
      </c>
      <c r="D35" s="148"/>
      <c r="E35" s="398" t="str">
        <f t="shared" si="0"/>
        <v/>
      </c>
      <c r="F35" s="398" t="str">
        <f t="shared" si="1"/>
        <v/>
      </c>
      <c r="G35" s="399" t="str">
        <f t="shared" si="2"/>
        <v>rumus</v>
      </c>
      <c r="H35" s="134" t="s">
        <v>26</v>
      </c>
      <c r="I35" s="420"/>
      <c r="J35" s="401" t="str">
        <f t="shared" si="3"/>
        <v>rumus</v>
      </c>
      <c r="K35" s="4"/>
      <c r="L35" s="4"/>
      <c r="M35" s="4"/>
      <c r="N35" s="4"/>
      <c r="O35" s="4"/>
      <c r="P35" s="4"/>
      <c r="Q35" s="4"/>
      <c r="R35" s="4"/>
      <c r="S35" s="4"/>
      <c r="T35" s="4"/>
      <c r="U35" s="4"/>
      <c r="V35" s="4"/>
      <c r="W35" s="4"/>
      <c r="X35" s="4"/>
      <c r="Y35" s="4"/>
      <c r="Z35" s="4"/>
    </row>
    <row r="36" spans="1:26" ht="15.75" customHeight="1" x14ac:dyDescent="0.25">
      <c r="A36" s="128"/>
      <c r="B36" s="614" t="s">
        <v>304</v>
      </c>
      <c r="C36" s="615"/>
      <c r="D36" s="615"/>
      <c r="E36" s="615"/>
      <c r="F36" s="615"/>
      <c r="G36" s="107">
        <f>SUM(J26:J35)</f>
        <v>0</v>
      </c>
      <c r="H36" s="448"/>
      <c r="I36" s="4"/>
      <c r="J36" s="4"/>
      <c r="K36" s="4"/>
      <c r="L36" s="4"/>
      <c r="M36" s="4"/>
      <c r="N36" s="4"/>
      <c r="O36" s="4"/>
      <c r="P36" s="4"/>
      <c r="Q36" s="4"/>
      <c r="R36" s="4"/>
      <c r="S36" s="4"/>
      <c r="T36" s="4"/>
      <c r="U36" s="4"/>
      <c r="V36" s="4"/>
      <c r="W36" s="4"/>
      <c r="X36" s="4"/>
      <c r="Y36" s="4"/>
      <c r="Z36" s="4"/>
    </row>
    <row r="37" spans="1:26" ht="15.75" customHeight="1" x14ac:dyDescent="0.25">
      <c r="A37" s="115" t="s">
        <v>61</v>
      </c>
      <c r="B37" s="709" t="s">
        <v>1097</v>
      </c>
      <c r="C37" s="615"/>
      <c r="D37" s="615"/>
      <c r="E37" s="615"/>
      <c r="F37" s="615"/>
      <c r="G37" s="615"/>
      <c r="H37" s="616"/>
      <c r="I37" s="4"/>
      <c r="J37" s="4"/>
      <c r="K37" s="4"/>
      <c r="L37" s="4"/>
      <c r="M37" s="4"/>
      <c r="N37" s="4"/>
      <c r="O37" s="4"/>
      <c r="P37" s="4"/>
      <c r="Q37" s="4"/>
      <c r="R37" s="4"/>
      <c r="S37" s="4"/>
      <c r="T37" s="4"/>
      <c r="U37" s="4"/>
      <c r="V37" s="4"/>
      <c r="W37" s="4"/>
      <c r="X37" s="4"/>
      <c r="Y37" s="4"/>
      <c r="Z37" s="4"/>
    </row>
    <row r="38" spans="1:26" ht="15.75" customHeight="1" x14ac:dyDescent="0.25">
      <c r="A38" s="109">
        <v>1</v>
      </c>
      <c r="B38" s="570" t="s">
        <v>1098</v>
      </c>
      <c r="C38" s="586" t="s">
        <v>1099</v>
      </c>
      <c r="D38" s="581" t="s">
        <v>1100</v>
      </c>
      <c r="E38" s="398">
        <f t="shared" ref="E38:E47" si="4">IF(I38&lt;&gt;"",1,"")</f>
        <v>1</v>
      </c>
      <c r="F38" s="398">
        <f t="shared" ref="F38:F47" si="5">IF(I38&lt;&gt;"",J38,"")</f>
        <v>3</v>
      </c>
      <c r="G38" s="399" t="str">
        <f t="shared" ref="G38:G47" si="6">IF(J38&lt;&gt;"rumus","1 x "&amp;J38&amp;" = "&amp;J38,"rumus")</f>
        <v>1 x 3 = 3</v>
      </c>
      <c r="H38" s="148" t="s">
        <v>26</v>
      </c>
      <c r="I38" s="577" t="s">
        <v>1101</v>
      </c>
      <c r="J38" s="401">
        <f t="shared" ref="J38:J47" si="7">IF(I38="Melaksanakan pengembangan perprogram",3,"rumus")</f>
        <v>3</v>
      </c>
      <c r="K38" s="4"/>
      <c r="L38" s="4"/>
      <c r="M38" s="4"/>
      <c r="N38" s="4"/>
      <c r="O38" s="4"/>
      <c r="P38" s="4"/>
      <c r="Q38" s="4"/>
      <c r="R38" s="4"/>
      <c r="S38" s="4"/>
      <c r="T38" s="4"/>
      <c r="U38" s="4"/>
      <c r="V38" s="4"/>
      <c r="W38" s="4"/>
      <c r="X38" s="4"/>
      <c r="Y38" s="4"/>
      <c r="Z38" s="4"/>
    </row>
    <row r="39" spans="1:26" ht="15.75" customHeight="1" x14ac:dyDescent="0.25">
      <c r="A39" s="109">
        <v>2</v>
      </c>
      <c r="B39" s="571" t="s">
        <v>1102</v>
      </c>
      <c r="C39" s="587" t="s">
        <v>1103</v>
      </c>
      <c r="D39" s="585" t="s">
        <v>1104</v>
      </c>
      <c r="E39" s="398">
        <f t="shared" si="4"/>
        <v>1</v>
      </c>
      <c r="F39" s="398">
        <f t="shared" si="5"/>
        <v>3</v>
      </c>
      <c r="G39" s="399" t="str">
        <f t="shared" si="6"/>
        <v>1 x 3 = 3</v>
      </c>
      <c r="H39" s="148"/>
      <c r="I39" s="577" t="s">
        <v>1101</v>
      </c>
      <c r="J39" s="401">
        <f t="shared" si="7"/>
        <v>3</v>
      </c>
      <c r="K39" s="4"/>
      <c r="L39" s="4"/>
      <c r="M39" s="4"/>
      <c r="N39" s="4"/>
      <c r="O39" s="4"/>
      <c r="P39" s="4"/>
      <c r="Q39" s="4"/>
      <c r="R39" s="4"/>
      <c r="S39" s="4"/>
      <c r="T39" s="4"/>
      <c r="U39" s="4"/>
      <c r="V39" s="4"/>
      <c r="W39" s="4"/>
      <c r="X39" s="4"/>
      <c r="Y39" s="4"/>
      <c r="Z39" s="4"/>
    </row>
    <row r="40" spans="1:26" ht="15.75" customHeight="1" x14ac:dyDescent="0.25">
      <c r="A40" s="109">
        <v>3</v>
      </c>
      <c r="B40" s="571" t="s">
        <v>1105</v>
      </c>
      <c r="C40" s="587" t="s">
        <v>1106</v>
      </c>
      <c r="D40" s="585" t="s">
        <v>1107</v>
      </c>
      <c r="E40" s="398">
        <f t="shared" si="4"/>
        <v>1</v>
      </c>
      <c r="F40" s="398">
        <f t="shared" si="5"/>
        <v>3</v>
      </c>
      <c r="G40" s="399" t="str">
        <f t="shared" si="6"/>
        <v>1 x 3 = 3</v>
      </c>
      <c r="H40" s="148"/>
      <c r="I40" s="577" t="s">
        <v>1101</v>
      </c>
      <c r="J40" s="401">
        <f t="shared" si="7"/>
        <v>3</v>
      </c>
      <c r="K40" s="4"/>
      <c r="L40" s="4"/>
      <c r="M40" s="4"/>
      <c r="N40" s="4"/>
      <c r="O40" s="4"/>
      <c r="P40" s="4"/>
      <c r="Q40" s="4"/>
      <c r="R40" s="4"/>
      <c r="S40" s="4"/>
      <c r="T40" s="4"/>
      <c r="U40" s="4"/>
      <c r="V40" s="4"/>
      <c r="W40" s="4"/>
      <c r="X40" s="4"/>
      <c r="Y40" s="4"/>
      <c r="Z40" s="4"/>
    </row>
    <row r="41" spans="1:26" ht="15.75" customHeight="1" x14ac:dyDescent="0.25">
      <c r="A41" s="109">
        <v>4</v>
      </c>
      <c r="B41" s="571" t="s">
        <v>1108</v>
      </c>
      <c r="C41" s="587" t="s">
        <v>1109</v>
      </c>
      <c r="D41" s="585" t="s">
        <v>1110</v>
      </c>
      <c r="E41" s="398">
        <f t="shared" si="4"/>
        <v>1</v>
      </c>
      <c r="F41" s="398">
        <f t="shared" si="5"/>
        <v>3</v>
      </c>
      <c r="G41" s="399" t="str">
        <f t="shared" si="6"/>
        <v>1 x 3 = 3</v>
      </c>
      <c r="H41" s="148"/>
      <c r="I41" s="577" t="s">
        <v>1101</v>
      </c>
      <c r="J41" s="401">
        <f t="shared" si="7"/>
        <v>3</v>
      </c>
      <c r="K41" s="4"/>
      <c r="L41" s="4"/>
      <c r="M41" s="4"/>
      <c r="N41" s="4"/>
      <c r="O41" s="4"/>
      <c r="P41" s="4"/>
      <c r="Q41" s="4"/>
      <c r="R41" s="4"/>
      <c r="S41" s="4"/>
      <c r="T41" s="4"/>
      <c r="U41" s="4"/>
      <c r="V41" s="4"/>
      <c r="W41" s="4"/>
      <c r="X41" s="4"/>
      <c r="Y41" s="4"/>
      <c r="Z41" s="4"/>
    </row>
    <row r="42" spans="1:26" ht="15.75" customHeight="1" x14ac:dyDescent="0.25">
      <c r="A42" s="109">
        <v>5</v>
      </c>
      <c r="B42" s="571" t="s">
        <v>1111</v>
      </c>
      <c r="C42" s="587" t="s">
        <v>1112</v>
      </c>
      <c r="D42" s="585" t="s">
        <v>1113</v>
      </c>
      <c r="E42" s="398">
        <f t="shared" si="4"/>
        <v>1</v>
      </c>
      <c r="F42" s="398">
        <f t="shared" si="5"/>
        <v>3</v>
      </c>
      <c r="G42" s="399" t="str">
        <f t="shared" si="6"/>
        <v>1 x 3 = 3</v>
      </c>
      <c r="H42" s="148"/>
      <c r="I42" s="577" t="s">
        <v>1101</v>
      </c>
      <c r="J42" s="401">
        <f t="shared" si="7"/>
        <v>3</v>
      </c>
      <c r="K42" s="4"/>
      <c r="L42" s="4"/>
      <c r="M42" s="4"/>
      <c r="N42" s="4"/>
      <c r="O42" s="4"/>
      <c r="P42" s="4"/>
      <c r="Q42" s="4"/>
      <c r="R42" s="4"/>
      <c r="S42" s="4"/>
      <c r="T42" s="4"/>
      <c r="U42" s="4"/>
      <c r="V42" s="4"/>
      <c r="W42" s="4"/>
      <c r="X42" s="4"/>
      <c r="Y42" s="4"/>
      <c r="Z42" s="4"/>
    </row>
    <row r="43" spans="1:26" ht="15.75" customHeight="1" x14ac:dyDescent="0.25">
      <c r="A43" s="109">
        <v>6</v>
      </c>
      <c r="B43" s="571" t="s">
        <v>1114</v>
      </c>
      <c r="C43" s="587" t="s">
        <v>1115</v>
      </c>
      <c r="D43" s="585" t="s">
        <v>1116</v>
      </c>
      <c r="E43" s="398">
        <f t="shared" si="4"/>
        <v>1</v>
      </c>
      <c r="F43" s="398">
        <f t="shared" si="5"/>
        <v>3</v>
      </c>
      <c r="G43" s="399" t="str">
        <f t="shared" si="6"/>
        <v>1 x 3 = 3</v>
      </c>
      <c r="H43" s="148"/>
      <c r="I43" s="577" t="s">
        <v>1101</v>
      </c>
      <c r="J43" s="401">
        <f t="shared" si="7"/>
        <v>3</v>
      </c>
      <c r="K43" s="4"/>
      <c r="L43" s="4"/>
      <c r="M43" s="4"/>
      <c r="N43" s="4"/>
      <c r="O43" s="4"/>
      <c r="P43" s="4"/>
      <c r="Q43" s="4"/>
      <c r="R43" s="4"/>
      <c r="S43" s="4"/>
      <c r="T43" s="4"/>
      <c r="U43" s="4"/>
      <c r="V43" s="4"/>
      <c r="W43" s="4"/>
      <c r="X43" s="4"/>
      <c r="Y43" s="4"/>
      <c r="Z43" s="4"/>
    </row>
    <row r="44" spans="1:26" ht="15.75" customHeight="1" x14ac:dyDescent="0.25">
      <c r="A44" s="109">
        <v>7</v>
      </c>
      <c r="B44" s="571" t="s">
        <v>1117</v>
      </c>
      <c r="C44" s="587" t="s">
        <v>1118</v>
      </c>
      <c r="D44" s="585" t="s">
        <v>1119</v>
      </c>
      <c r="E44" s="398">
        <f t="shared" si="4"/>
        <v>1</v>
      </c>
      <c r="F44" s="398">
        <f t="shared" si="5"/>
        <v>3</v>
      </c>
      <c r="G44" s="399" t="str">
        <f t="shared" si="6"/>
        <v>1 x 3 = 3</v>
      </c>
      <c r="H44" s="148"/>
      <c r="I44" s="577" t="s">
        <v>1101</v>
      </c>
      <c r="J44" s="401">
        <f t="shared" si="7"/>
        <v>3</v>
      </c>
      <c r="K44" s="4"/>
      <c r="L44" s="4"/>
      <c r="M44" s="4"/>
      <c r="N44" s="4"/>
      <c r="O44" s="4"/>
      <c r="P44" s="4"/>
      <c r="Q44" s="4"/>
      <c r="R44" s="4"/>
      <c r="S44" s="4"/>
      <c r="T44" s="4"/>
      <c r="U44" s="4"/>
      <c r="V44" s="4"/>
      <c r="W44" s="4"/>
      <c r="X44" s="4"/>
      <c r="Y44" s="4"/>
      <c r="Z44" s="4"/>
    </row>
    <row r="45" spans="1:26" ht="15.75" customHeight="1" x14ac:dyDescent="0.25">
      <c r="A45" s="109">
        <v>8</v>
      </c>
      <c r="B45" s="571" t="s">
        <v>1120</v>
      </c>
      <c r="C45" s="587" t="s">
        <v>1121</v>
      </c>
      <c r="D45" s="585" t="s">
        <v>1122</v>
      </c>
      <c r="E45" s="398">
        <f t="shared" si="4"/>
        <v>1</v>
      </c>
      <c r="F45" s="398">
        <f t="shared" si="5"/>
        <v>3</v>
      </c>
      <c r="G45" s="399" t="str">
        <f t="shared" si="6"/>
        <v>1 x 3 = 3</v>
      </c>
      <c r="H45" s="148"/>
      <c r="I45" s="577" t="s">
        <v>1101</v>
      </c>
      <c r="J45" s="401">
        <f t="shared" si="7"/>
        <v>3</v>
      </c>
      <c r="K45" s="4"/>
      <c r="L45" s="4"/>
      <c r="M45" s="4"/>
      <c r="N45" s="4"/>
      <c r="O45" s="4"/>
      <c r="P45" s="4"/>
      <c r="Q45" s="4"/>
      <c r="R45" s="4"/>
      <c r="S45" s="4"/>
      <c r="T45" s="4"/>
      <c r="U45" s="4"/>
      <c r="V45" s="4"/>
      <c r="W45" s="4"/>
      <c r="X45" s="4"/>
      <c r="Y45" s="4"/>
      <c r="Z45" s="4"/>
    </row>
    <row r="46" spans="1:26" ht="15.75" customHeight="1" x14ac:dyDescent="0.25">
      <c r="A46" s="109">
        <v>9</v>
      </c>
      <c r="B46" s="397" t="s">
        <v>821</v>
      </c>
      <c r="C46" s="148"/>
      <c r="D46" s="148"/>
      <c r="E46" s="398" t="str">
        <f t="shared" si="4"/>
        <v/>
      </c>
      <c r="F46" s="398" t="str">
        <f t="shared" si="5"/>
        <v/>
      </c>
      <c r="G46" s="399" t="str">
        <f t="shared" si="6"/>
        <v>rumus</v>
      </c>
      <c r="H46" s="148"/>
      <c r="I46" s="420"/>
      <c r="J46" s="401" t="str">
        <f t="shared" si="7"/>
        <v>rumus</v>
      </c>
      <c r="K46" s="4"/>
      <c r="L46" s="4"/>
      <c r="M46" s="4"/>
      <c r="N46" s="4"/>
      <c r="O46" s="4"/>
      <c r="P46" s="4"/>
      <c r="Q46" s="4"/>
      <c r="R46" s="4"/>
      <c r="S46" s="4"/>
      <c r="T46" s="4"/>
      <c r="U46" s="4"/>
      <c r="V46" s="4"/>
      <c r="W46" s="4"/>
      <c r="X46" s="4"/>
      <c r="Y46" s="4"/>
      <c r="Z46" s="4"/>
    </row>
    <row r="47" spans="1:26" ht="15.75" customHeight="1" x14ac:dyDescent="0.25">
      <c r="A47" s="109">
        <v>10</v>
      </c>
      <c r="B47" s="397" t="s">
        <v>821</v>
      </c>
      <c r="C47" s="148"/>
      <c r="D47" s="148"/>
      <c r="E47" s="398" t="str">
        <f t="shared" si="4"/>
        <v/>
      </c>
      <c r="F47" s="398" t="str">
        <f t="shared" si="5"/>
        <v/>
      </c>
      <c r="G47" s="399" t="str">
        <f t="shared" si="6"/>
        <v>rumus</v>
      </c>
      <c r="H47" s="148"/>
      <c r="I47" s="420"/>
      <c r="J47" s="401" t="str">
        <f t="shared" si="7"/>
        <v>rumus</v>
      </c>
      <c r="K47" s="4"/>
      <c r="L47" s="4"/>
      <c r="M47" s="4"/>
      <c r="N47" s="4"/>
      <c r="O47" s="4"/>
      <c r="P47" s="4"/>
      <c r="Q47" s="4"/>
      <c r="R47" s="4"/>
      <c r="S47" s="4"/>
      <c r="T47" s="4"/>
      <c r="U47" s="4"/>
      <c r="V47" s="4"/>
      <c r="W47" s="4"/>
      <c r="X47" s="4"/>
      <c r="Y47" s="4"/>
      <c r="Z47" s="4"/>
    </row>
    <row r="48" spans="1:26" ht="15.75" customHeight="1" x14ac:dyDescent="0.25">
      <c r="A48" s="128"/>
      <c r="B48" s="614" t="s">
        <v>304</v>
      </c>
      <c r="C48" s="615"/>
      <c r="D48" s="615"/>
      <c r="E48" s="615"/>
      <c r="F48" s="615"/>
      <c r="G48" s="107">
        <f>SUM(J38:J47)</f>
        <v>24</v>
      </c>
      <c r="H48" s="448"/>
      <c r="I48" s="4"/>
      <c r="J48" s="4"/>
      <c r="K48" s="4"/>
      <c r="L48" s="4"/>
      <c r="M48" s="4"/>
      <c r="N48" s="4"/>
      <c r="O48" s="4"/>
      <c r="P48" s="4"/>
      <c r="Q48" s="4"/>
      <c r="R48" s="4"/>
      <c r="S48" s="4"/>
      <c r="T48" s="4"/>
      <c r="U48" s="4"/>
      <c r="V48" s="4"/>
      <c r="W48" s="4"/>
      <c r="X48" s="4"/>
      <c r="Y48" s="4"/>
      <c r="Z48" s="4"/>
    </row>
    <row r="49" spans="1:26" ht="15.75" customHeight="1" x14ac:dyDescent="0.25">
      <c r="A49" s="115" t="s">
        <v>70</v>
      </c>
      <c r="B49" s="707" t="s">
        <v>1123</v>
      </c>
      <c r="C49" s="615"/>
      <c r="D49" s="615"/>
      <c r="E49" s="615"/>
      <c r="F49" s="615"/>
      <c r="G49" s="615"/>
      <c r="H49" s="616"/>
      <c r="I49" s="4"/>
      <c r="J49" s="4"/>
      <c r="K49" s="4"/>
      <c r="L49" s="4"/>
      <c r="M49" s="4"/>
      <c r="N49" s="4"/>
      <c r="O49" s="4"/>
      <c r="P49" s="4"/>
      <c r="Q49" s="4"/>
      <c r="R49" s="4"/>
      <c r="S49" s="4"/>
      <c r="T49" s="4"/>
      <c r="U49" s="4"/>
      <c r="V49" s="4"/>
      <c r="W49" s="4"/>
      <c r="X49" s="4"/>
      <c r="Y49" s="4"/>
      <c r="Z49" s="4"/>
    </row>
    <row r="50" spans="1:26" ht="15.75" customHeight="1" x14ac:dyDescent="0.25">
      <c r="A50" s="109">
        <v>1</v>
      </c>
      <c r="B50" s="570" t="s">
        <v>1124</v>
      </c>
      <c r="C50" s="586" t="s">
        <v>1125</v>
      </c>
      <c r="D50" s="581" t="s">
        <v>1126</v>
      </c>
      <c r="E50" s="398">
        <f t="shared" ref="E50:E59" si="8">IF(I50&lt;&gt;"",1,"")</f>
        <v>1</v>
      </c>
      <c r="F50" s="398">
        <f t="shared" ref="F50:F59" si="9">IF(I50&lt;&gt;"",J50,"")</f>
        <v>2</v>
      </c>
      <c r="G50" s="399" t="str">
        <f t="shared" ref="G50:G59" si="10">IF(J50&lt;&gt;"rumus","1 x "&amp;J50&amp;" = "&amp;J50,"rumus")</f>
        <v>1 x 2 = 2</v>
      </c>
      <c r="H50" s="148" t="s">
        <v>26</v>
      </c>
      <c r="I50" s="577" t="s">
        <v>1085</v>
      </c>
      <c r="J50" s="401">
        <f t="shared" ref="J50:J59" si="11">IF(I50&lt;&gt;"",IF(I50="a.1).Terjadwal/terprogram Dalam satu semester atau lebih Tingkat Internasional tiap program",4,IF(I50="a.2).Terjadwal/terprogram Dalam satu semester atau lebih Tingkat Nasional tiap program",3,IF(I50="a.3).Terjadwal/terprogram Dalam satu semester atau lebih Tingkat Lokal tiap program",2,IF(I50="a.4).Terjadwal/terprogram Kurang dari satu semester dan minimal satu bulan Tingkat Internasional tiap program",3,IF(I50="a.5).Terjadwal/terprogram Kurang dari satu semester dan minimal satu bulan Tingkat Nasional tiap program",2,IF(I50="a.6).Terjadwal/terprogram Kurang dari satu semester dan minimal satu bulan Tingkat Lokal tiap program",1,IF(I50="b.Insidental, tiap kegiatan program",1,""))))))),"rumus")</f>
        <v>2</v>
      </c>
      <c r="K50" s="4"/>
      <c r="L50" s="4"/>
      <c r="M50" s="4"/>
      <c r="N50" s="4"/>
      <c r="O50" s="4"/>
      <c r="P50" s="4"/>
      <c r="Q50" s="4"/>
      <c r="R50" s="4"/>
      <c r="S50" s="4"/>
      <c r="T50" s="4"/>
      <c r="U50" s="4"/>
      <c r="V50" s="4"/>
      <c r="W50" s="4"/>
      <c r="X50" s="4"/>
      <c r="Y50" s="4"/>
      <c r="Z50" s="4"/>
    </row>
    <row r="51" spans="1:26" ht="15.75" customHeight="1" x14ac:dyDescent="0.25">
      <c r="A51" s="109">
        <v>2</v>
      </c>
      <c r="B51" s="571" t="s">
        <v>1127</v>
      </c>
      <c r="C51" s="587" t="s">
        <v>1128</v>
      </c>
      <c r="D51" s="585" t="s">
        <v>1129</v>
      </c>
      <c r="E51" s="398">
        <f t="shared" si="8"/>
        <v>1</v>
      </c>
      <c r="F51" s="398">
        <f t="shared" si="9"/>
        <v>2</v>
      </c>
      <c r="G51" s="399" t="str">
        <f t="shared" si="10"/>
        <v>1 x 2 = 2</v>
      </c>
      <c r="H51" s="148" t="s">
        <v>26</v>
      </c>
      <c r="I51" s="577" t="s">
        <v>1085</v>
      </c>
      <c r="J51" s="401">
        <f t="shared" si="11"/>
        <v>2</v>
      </c>
      <c r="K51" s="4"/>
      <c r="L51" s="4"/>
      <c r="M51" s="4"/>
      <c r="N51" s="4"/>
      <c r="O51" s="4"/>
      <c r="P51" s="4"/>
      <c r="Q51" s="4"/>
      <c r="R51" s="4"/>
      <c r="S51" s="4"/>
      <c r="T51" s="4"/>
      <c r="U51" s="4"/>
      <c r="V51" s="4"/>
      <c r="W51" s="4"/>
      <c r="X51" s="4"/>
      <c r="Y51" s="4"/>
      <c r="Z51" s="4"/>
    </row>
    <row r="52" spans="1:26" ht="15.75" customHeight="1" x14ac:dyDescent="0.25">
      <c r="A52" s="109">
        <v>3</v>
      </c>
      <c r="B52" s="397" t="s">
        <v>821</v>
      </c>
      <c r="C52" s="148" t="s">
        <v>26</v>
      </c>
      <c r="D52" s="148"/>
      <c r="E52" s="398" t="str">
        <f t="shared" si="8"/>
        <v/>
      </c>
      <c r="F52" s="398" t="str">
        <f t="shared" si="9"/>
        <v/>
      </c>
      <c r="G52" s="399" t="str">
        <f t="shared" si="10"/>
        <v>rumus</v>
      </c>
      <c r="H52" s="148" t="s">
        <v>26</v>
      </c>
      <c r="I52" s="427"/>
      <c r="J52" s="401" t="str">
        <f t="shared" si="11"/>
        <v>rumus</v>
      </c>
      <c r="K52" s="4"/>
      <c r="L52" s="4"/>
      <c r="M52" s="4"/>
      <c r="N52" s="4"/>
      <c r="O52" s="4"/>
      <c r="P52" s="4"/>
      <c r="Q52" s="4"/>
      <c r="R52" s="4"/>
      <c r="S52" s="4"/>
      <c r="T52" s="4"/>
      <c r="U52" s="4"/>
      <c r="V52" s="4"/>
      <c r="W52" s="4"/>
      <c r="X52" s="4"/>
      <c r="Y52" s="4"/>
      <c r="Z52" s="4"/>
    </row>
    <row r="53" spans="1:26" ht="15" customHeight="1" x14ac:dyDescent="0.25">
      <c r="A53" s="109">
        <v>4</v>
      </c>
      <c r="B53" s="397" t="s">
        <v>821</v>
      </c>
      <c r="C53" s="148" t="s">
        <v>26</v>
      </c>
      <c r="D53" s="148"/>
      <c r="E53" s="398" t="str">
        <f t="shared" si="8"/>
        <v/>
      </c>
      <c r="F53" s="398" t="str">
        <f t="shared" si="9"/>
        <v/>
      </c>
      <c r="G53" s="399" t="str">
        <f t="shared" si="10"/>
        <v>rumus</v>
      </c>
      <c r="H53" s="148" t="s">
        <v>26</v>
      </c>
      <c r="I53" s="427"/>
      <c r="J53" s="401" t="str">
        <f t="shared" si="11"/>
        <v>rumus</v>
      </c>
      <c r="K53" s="4"/>
      <c r="L53" s="4"/>
      <c r="M53" s="4"/>
      <c r="N53" s="4"/>
      <c r="O53" s="4"/>
      <c r="P53" s="4"/>
      <c r="Q53" s="4"/>
      <c r="R53" s="4"/>
      <c r="S53" s="4"/>
      <c r="T53" s="4"/>
      <c r="U53" s="4"/>
      <c r="V53" s="4"/>
      <c r="W53" s="4"/>
      <c r="X53" s="4"/>
      <c r="Y53" s="4"/>
      <c r="Z53" s="4"/>
    </row>
    <row r="54" spans="1:26" ht="16.5" customHeight="1" x14ac:dyDescent="0.25">
      <c r="A54" s="109">
        <v>5</v>
      </c>
      <c r="B54" s="397" t="s">
        <v>821</v>
      </c>
      <c r="C54" s="148" t="s">
        <v>26</v>
      </c>
      <c r="D54" s="148"/>
      <c r="E54" s="398" t="str">
        <f t="shared" si="8"/>
        <v/>
      </c>
      <c r="F54" s="398" t="str">
        <f t="shared" si="9"/>
        <v/>
      </c>
      <c r="G54" s="399" t="str">
        <f t="shared" si="10"/>
        <v>rumus</v>
      </c>
      <c r="H54" s="148" t="s">
        <v>26</v>
      </c>
      <c r="I54" s="427"/>
      <c r="J54" s="401" t="str">
        <f t="shared" si="11"/>
        <v>rumus</v>
      </c>
      <c r="K54" s="4"/>
      <c r="L54" s="4"/>
      <c r="M54" s="4"/>
      <c r="N54" s="4"/>
      <c r="O54" s="4"/>
      <c r="P54" s="4"/>
      <c r="Q54" s="4"/>
      <c r="R54" s="4"/>
      <c r="S54" s="4"/>
      <c r="T54" s="4"/>
      <c r="U54" s="4"/>
      <c r="V54" s="4"/>
      <c r="W54" s="4"/>
      <c r="X54" s="4"/>
      <c r="Y54" s="4"/>
      <c r="Z54" s="4"/>
    </row>
    <row r="55" spans="1:26" ht="16.5" customHeight="1" x14ac:dyDescent="0.25">
      <c r="A55" s="109">
        <v>6</v>
      </c>
      <c r="B55" s="397" t="s">
        <v>821</v>
      </c>
      <c r="C55" s="148" t="s">
        <v>26</v>
      </c>
      <c r="D55" s="148"/>
      <c r="E55" s="398" t="str">
        <f t="shared" si="8"/>
        <v/>
      </c>
      <c r="F55" s="398" t="str">
        <f t="shared" si="9"/>
        <v/>
      </c>
      <c r="G55" s="399" t="str">
        <f t="shared" si="10"/>
        <v>rumus</v>
      </c>
      <c r="H55" s="148" t="s">
        <v>26</v>
      </c>
      <c r="I55" s="427"/>
      <c r="J55" s="401" t="str">
        <f t="shared" si="11"/>
        <v>rumus</v>
      </c>
      <c r="K55" s="4"/>
      <c r="L55" s="4"/>
      <c r="M55" s="4"/>
      <c r="N55" s="4"/>
      <c r="O55" s="4"/>
      <c r="P55" s="4"/>
      <c r="Q55" s="4"/>
      <c r="R55" s="4"/>
      <c r="S55" s="4"/>
      <c r="T55" s="4"/>
      <c r="U55" s="4"/>
      <c r="V55" s="4"/>
      <c r="W55" s="4"/>
      <c r="X55" s="4"/>
      <c r="Y55" s="4"/>
      <c r="Z55" s="4"/>
    </row>
    <row r="56" spans="1:26" ht="16.5" customHeight="1" x14ac:dyDescent="0.25">
      <c r="A56" s="109">
        <v>7</v>
      </c>
      <c r="B56" s="397" t="s">
        <v>821</v>
      </c>
      <c r="C56" s="148" t="s">
        <v>26</v>
      </c>
      <c r="D56" s="148"/>
      <c r="E56" s="398" t="str">
        <f t="shared" si="8"/>
        <v/>
      </c>
      <c r="F56" s="398" t="str">
        <f t="shared" si="9"/>
        <v/>
      </c>
      <c r="G56" s="399" t="str">
        <f t="shared" si="10"/>
        <v>rumus</v>
      </c>
      <c r="H56" s="148" t="s">
        <v>26</v>
      </c>
      <c r="I56" s="427"/>
      <c r="J56" s="401" t="str">
        <f t="shared" si="11"/>
        <v>rumus</v>
      </c>
      <c r="K56" s="4"/>
      <c r="L56" s="4"/>
      <c r="M56" s="4"/>
      <c r="N56" s="4"/>
      <c r="O56" s="4"/>
      <c r="P56" s="4"/>
      <c r="Q56" s="4"/>
      <c r="R56" s="4"/>
      <c r="S56" s="4"/>
      <c r="T56" s="4"/>
      <c r="U56" s="4"/>
      <c r="V56" s="4"/>
      <c r="W56" s="4"/>
      <c r="X56" s="4"/>
      <c r="Y56" s="4"/>
      <c r="Z56" s="4"/>
    </row>
    <row r="57" spans="1:26" ht="16.5" customHeight="1" x14ac:dyDescent="0.25">
      <c r="A57" s="109">
        <v>8</v>
      </c>
      <c r="B57" s="397" t="s">
        <v>821</v>
      </c>
      <c r="C57" s="148" t="s">
        <v>26</v>
      </c>
      <c r="D57" s="148"/>
      <c r="E57" s="398" t="str">
        <f t="shared" si="8"/>
        <v/>
      </c>
      <c r="F57" s="398" t="str">
        <f t="shared" si="9"/>
        <v/>
      </c>
      <c r="G57" s="399" t="str">
        <f t="shared" si="10"/>
        <v>rumus</v>
      </c>
      <c r="H57" s="148" t="s">
        <v>26</v>
      </c>
      <c r="I57" s="427"/>
      <c r="J57" s="401" t="str">
        <f t="shared" si="11"/>
        <v>rumus</v>
      </c>
      <c r="K57" s="4"/>
      <c r="L57" s="4"/>
      <c r="M57" s="4"/>
      <c r="N57" s="4"/>
      <c r="O57" s="4"/>
      <c r="P57" s="4"/>
      <c r="Q57" s="4"/>
      <c r="R57" s="4"/>
      <c r="S57" s="4"/>
      <c r="T57" s="4"/>
      <c r="U57" s="4"/>
      <c r="V57" s="4"/>
      <c r="W57" s="4"/>
      <c r="X57" s="4"/>
      <c r="Y57" s="4"/>
      <c r="Z57" s="4"/>
    </row>
    <row r="58" spans="1:26" ht="16.5" customHeight="1" x14ac:dyDescent="0.25">
      <c r="A58" s="109">
        <v>9</v>
      </c>
      <c r="B58" s="397" t="s">
        <v>821</v>
      </c>
      <c r="C58" s="148" t="s">
        <v>26</v>
      </c>
      <c r="D58" s="148"/>
      <c r="E58" s="398" t="str">
        <f t="shared" si="8"/>
        <v/>
      </c>
      <c r="F58" s="398" t="str">
        <f t="shared" si="9"/>
        <v/>
      </c>
      <c r="G58" s="399" t="str">
        <f t="shared" si="10"/>
        <v>rumus</v>
      </c>
      <c r="H58" s="148" t="s">
        <v>26</v>
      </c>
      <c r="I58" s="427"/>
      <c r="J58" s="401" t="str">
        <f t="shared" si="11"/>
        <v>rumus</v>
      </c>
      <c r="K58" s="4"/>
      <c r="L58" s="4"/>
      <c r="M58" s="4"/>
      <c r="N58" s="4"/>
      <c r="O58" s="4"/>
      <c r="P58" s="4"/>
      <c r="Q58" s="4"/>
      <c r="R58" s="4"/>
      <c r="S58" s="4"/>
      <c r="T58" s="4"/>
      <c r="U58" s="4"/>
      <c r="V58" s="4"/>
      <c r="W58" s="4"/>
      <c r="X58" s="4"/>
      <c r="Y58" s="4"/>
      <c r="Z58" s="4"/>
    </row>
    <row r="59" spans="1:26" ht="16.5" customHeight="1" x14ac:dyDescent="0.25">
      <c r="A59" s="109">
        <v>10</v>
      </c>
      <c r="B59" s="397" t="s">
        <v>821</v>
      </c>
      <c r="C59" s="4"/>
      <c r="D59" s="4"/>
      <c r="E59" s="398" t="str">
        <f t="shared" si="8"/>
        <v/>
      </c>
      <c r="F59" s="398" t="str">
        <f t="shared" si="9"/>
        <v/>
      </c>
      <c r="G59" s="399" t="str">
        <f t="shared" si="10"/>
        <v>rumus</v>
      </c>
      <c r="H59" s="148" t="s">
        <v>26</v>
      </c>
      <c r="I59" s="427"/>
      <c r="J59" s="401" t="str">
        <f t="shared" si="11"/>
        <v>rumus</v>
      </c>
      <c r="K59" s="4"/>
      <c r="L59" s="4"/>
      <c r="M59" s="4"/>
      <c r="N59" s="4"/>
      <c r="O59" s="4"/>
      <c r="P59" s="4"/>
      <c r="Q59" s="4"/>
      <c r="R59" s="4"/>
      <c r="S59" s="4"/>
      <c r="T59" s="4"/>
      <c r="U59" s="4"/>
      <c r="V59" s="4"/>
      <c r="W59" s="4"/>
      <c r="X59" s="4"/>
      <c r="Y59" s="4"/>
      <c r="Z59" s="4"/>
    </row>
    <row r="60" spans="1:26" ht="15.75" customHeight="1" x14ac:dyDescent="0.25">
      <c r="A60" s="128"/>
      <c r="B60" s="614" t="s">
        <v>304</v>
      </c>
      <c r="C60" s="615"/>
      <c r="D60" s="615"/>
      <c r="E60" s="615"/>
      <c r="F60" s="615"/>
      <c r="G60" s="107">
        <f>SUM(J50:J59)</f>
        <v>4</v>
      </c>
      <c r="H60" s="448"/>
      <c r="I60" s="4"/>
      <c r="J60" s="4"/>
      <c r="K60" s="4"/>
      <c r="L60" s="4"/>
      <c r="M60" s="4"/>
      <c r="N60" s="4"/>
      <c r="O60" s="4"/>
      <c r="P60" s="4"/>
      <c r="Q60" s="4"/>
      <c r="R60" s="4"/>
      <c r="S60" s="4"/>
      <c r="T60" s="4"/>
      <c r="U60" s="4"/>
      <c r="V60" s="4"/>
      <c r="W60" s="4"/>
      <c r="X60" s="4"/>
      <c r="Y60" s="4"/>
      <c r="Z60" s="4"/>
    </row>
    <row r="61" spans="1:26" ht="15.75" customHeight="1" x14ac:dyDescent="0.25">
      <c r="A61" s="115" t="s">
        <v>73</v>
      </c>
      <c r="B61" s="707" t="s">
        <v>1130</v>
      </c>
      <c r="C61" s="615"/>
      <c r="D61" s="615"/>
      <c r="E61" s="615"/>
      <c r="F61" s="615"/>
      <c r="G61" s="615"/>
      <c r="H61" s="616"/>
      <c r="I61" s="4"/>
      <c r="J61" s="4"/>
      <c r="K61" s="4"/>
      <c r="L61" s="4"/>
      <c r="M61" s="4"/>
      <c r="N61" s="4"/>
      <c r="O61" s="4"/>
      <c r="P61" s="4"/>
      <c r="Q61" s="4"/>
      <c r="R61" s="4"/>
      <c r="S61" s="4"/>
      <c r="T61" s="4"/>
      <c r="U61" s="4"/>
      <c r="V61" s="4"/>
      <c r="W61" s="4"/>
      <c r="X61" s="4"/>
      <c r="Y61" s="4"/>
      <c r="Z61" s="4"/>
    </row>
    <row r="62" spans="1:26" ht="15.75" customHeight="1" x14ac:dyDescent="0.25">
      <c r="A62" s="109">
        <v>1</v>
      </c>
      <c r="B62" s="397" t="s">
        <v>817</v>
      </c>
      <c r="C62" s="148" t="s">
        <v>26</v>
      </c>
      <c r="D62" s="148"/>
      <c r="E62" s="398" t="str">
        <f t="shared" ref="E62:E71" si="12">IF(I62&lt;&gt;"",1,"")</f>
        <v/>
      </c>
      <c r="F62" s="398" t="str">
        <f t="shared" ref="F62:F71" si="13">IF(I62&lt;&gt;"",J62,"")</f>
        <v/>
      </c>
      <c r="G62" s="399" t="str">
        <f t="shared" ref="G62:G71" si="14">IF(J62&lt;&gt;"rumus","1 x "&amp;J62&amp;" = "&amp;J62,"rumus")</f>
        <v>rumus</v>
      </c>
      <c r="H62" s="148" t="s">
        <v>26</v>
      </c>
      <c r="I62" s="420"/>
      <c r="J62" s="401" t="str">
        <f t="shared" ref="J62:J71" si="15">IF(I62&lt;&gt;"",IF(I62="a.Berdasarkan bidang keahlian",1.5,IF(I62="b.Berdasarkan penugasan lembaga Perguruan Tinggi",1,IF(I62="c.Berdasarkan fungsi dan jabatan",0.5,""))),"rumus")</f>
        <v>rumus</v>
      </c>
      <c r="K62" s="4"/>
      <c r="L62" s="4"/>
      <c r="M62" s="4"/>
      <c r="N62" s="4"/>
      <c r="O62" s="4"/>
      <c r="P62" s="4"/>
      <c r="Q62" s="4"/>
      <c r="R62" s="4"/>
      <c r="S62" s="4"/>
      <c r="T62" s="4"/>
      <c r="U62" s="4"/>
      <c r="V62" s="4"/>
      <c r="W62" s="4"/>
      <c r="X62" s="4"/>
      <c r="Y62" s="4"/>
      <c r="Z62" s="4"/>
    </row>
    <row r="63" spans="1:26" ht="15.75" customHeight="1" x14ac:dyDescent="0.25">
      <c r="A63" s="109">
        <v>2</v>
      </c>
      <c r="B63" s="397" t="s">
        <v>817</v>
      </c>
      <c r="C63" s="148" t="s">
        <v>26</v>
      </c>
      <c r="D63" s="148"/>
      <c r="E63" s="398" t="str">
        <f t="shared" si="12"/>
        <v/>
      </c>
      <c r="F63" s="398" t="str">
        <f t="shared" si="13"/>
        <v/>
      </c>
      <c r="G63" s="399" t="str">
        <f t="shared" si="14"/>
        <v>rumus</v>
      </c>
      <c r="H63" s="148" t="s">
        <v>26</v>
      </c>
      <c r="I63" s="420"/>
      <c r="J63" s="401" t="str">
        <f t="shared" si="15"/>
        <v>rumus</v>
      </c>
      <c r="K63" s="4"/>
      <c r="L63" s="4"/>
      <c r="M63" s="4"/>
      <c r="N63" s="4"/>
      <c r="O63" s="4"/>
      <c r="P63" s="4"/>
      <c r="Q63" s="4"/>
      <c r="R63" s="4"/>
      <c r="S63" s="4"/>
      <c r="T63" s="4"/>
      <c r="U63" s="4"/>
      <c r="V63" s="4"/>
      <c r="W63" s="4"/>
      <c r="X63" s="4"/>
      <c r="Y63" s="4"/>
      <c r="Z63" s="4"/>
    </row>
    <row r="64" spans="1:26" ht="15.75" customHeight="1" x14ac:dyDescent="0.25">
      <c r="A64" s="109">
        <v>3</v>
      </c>
      <c r="B64" s="397" t="s">
        <v>817</v>
      </c>
      <c r="C64" s="148" t="s">
        <v>26</v>
      </c>
      <c r="D64" s="148"/>
      <c r="E64" s="398" t="str">
        <f t="shared" si="12"/>
        <v/>
      </c>
      <c r="F64" s="398" t="str">
        <f t="shared" si="13"/>
        <v/>
      </c>
      <c r="G64" s="399" t="str">
        <f t="shared" si="14"/>
        <v>rumus</v>
      </c>
      <c r="H64" s="148" t="s">
        <v>26</v>
      </c>
      <c r="I64" s="420"/>
      <c r="J64" s="401" t="str">
        <f t="shared" si="15"/>
        <v>rumus</v>
      </c>
      <c r="K64" s="4"/>
      <c r="L64" s="4"/>
      <c r="M64" s="4"/>
      <c r="N64" s="4"/>
      <c r="O64" s="4"/>
      <c r="P64" s="4"/>
      <c r="Q64" s="4"/>
      <c r="R64" s="4"/>
      <c r="S64" s="4"/>
      <c r="T64" s="4"/>
      <c r="U64" s="4"/>
      <c r="V64" s="4"/>
      <c r="W64" s="4"/>
      <c r="X64" s="4"/>
      <c r="Y64" s="4"/>
      <c r="Z64" s="4"/>
    </row>
    <row r="65" spans="1:26" ht="15.75" customHeight="1" x14ac:dyDescent="0.25">
      <c r="A65" s="109">
        <v>4</v>
      </c>
      <c r="B65" s="397" t="s">
        <v>817</v>
      </c>
      <c r="C65" s="148" t="s">
        <v>26</v>
      </c>
      <c r="D65" s="148"/>
      <c r="E65" s="398" t="str">
        <f t="shared" si="12"/>
        <v/>
      </c>
      <c r="F65" s="398" t="str">
        <f t="shared" si="13"/>
        <v/>
      </c>
      <c r="G65" s="399" t="str">
        <f t="shared" si="14"/>
        <v>rumus</v>
      </c>
      <c r="H65" s="148" t="s">
        <v>26</v>
      </c>
      <c r="I65" s="420"/>
      <c r="J65" s="401" t="str">
        <f t="shared" si="15"/>
        <v>rumus</v>
      </c>
      <c r="K65" s="4"/>
      <c r="L65" s="4"/>
      <c r="M65" s="4"/>
      <c r="N65" s="4"/>
      <c r="O65" s="4"/>
      <c r="P65" s="4"/>
      <c r="Q65" s="4"/>
      <c r="R65" s="4"/>
      <c r="S65" s="4"/>
      <c r="T65" s="4"/>
      <c r="U65" s="4"/>
      <c r="V65" s="4"/>
      <c r="W65" s="4"/>
      <c r="X65" s="4"/>
      <c r="Y65" s="4"/>
      <c r="Z65" s="4"/>
    </row>
    <row r="66" spans="1:26" ht="15.75" customHeight="1" x14ac:dyDescent="0.25">
      <c r="A66" s="109">
        <v>5</v>
      </c>
      <c r="B66" s="397" t="s">
        <v>817</v>
      </c>
      <c r="C66" s="148" t="s">
        <v>26</v>
      </c>
      <c r="D66" s="148"/>
      <c r="E66" s="398" t="str">
        <f t="shared" si="12"/>
        <v/>
      </c>
      <c r="F66" s="398" t="str">
        <f t="shared" si="13"/>
        <v/>
      </c>
      <c r="G66" s="399" t="str">
        <f t="shared" si="14"/>
        <v>rumus</v>
      </c>
      <c r="H66" s="148" t="s">
        <v>26</v>
      </c>
      <c r="I66" s="420"/>
      <c r="J66" s="401" t="str">
        <f t="shared" si="15"/>
        <v>rumus</v>
      </c>
      <c r="K66" s="4"/>
      <c r="L66" s="4"/>
      <c r="M66" s="4"/>
      <c r="N66" s="4"/>
      <c r="O66" s="4"/>
      <c r="P66" s="4"/>
      <c r="Q66" s="4"/>
      <c r="R66" s="4"/>
      <c r="S66" s="4"/>
      <c r="T66" s="4"/>
      <c r="U66" s="4"/>
      <c r="V66" s="4"/>
      <c r="W66" s="4"/>
      <c r="X66" s="4"/>
      <c r="Y66" s="4"/>
      <c r="Z66" s="4"/>
    </row>
    <row r="67" spans="1:26" ht="15.75" customHeight="1" x14ac:dyDescent="0.25">
      <c r="A67" s="109">
        <v>6</v>
      </c>
      <c r="B67" s="397" t="s">
        <v>817</v>
      </c>
      <c r="C67" s="148" t="s">
        <v>26</v>
      </c>
      <c r="D67" s="148"/>
      <c r="E67" s="398" t="str">
        <f t="shared" si="12"/>
        <v/>
      </c>
      <c r="F67" s="398" t="str">
        <f t="shared" si="13"/>
        <v/>
      </c>
      <c r="G67" s="399" t="str">
        <f t="shared" si="14"/>
        <v>rumus</v>
      </c>
      <c r="H67" s="148" t="s">
        <v>26</v>
      </c>
      <c r="I67" s="420"/>
      <c r="J67" s="401" t="str">
        <f t="shared" si="15"/>
        <v>rumus</v>
      </c>
      <c r="K67" s="4"/>
      <c r="L67" s="4"/>
      <c r="M67" s="4"/>
      <c r="N67" s="4"/>
      <c r="O67" s="4"/>
      <c r="P67" s="4"/>
      <c r="Q67" s="4"/>
      <c r="R67" s="4"/>
      <c r="S67" s="4"/>
      <c r="T67" s="4"/>
      <c r="U67" s="4"/>
      <c r="V67" s="4"/>
      <c r="W67" s="4"/>
      <c r="X67" s="4"/>
      <c r="Y67" s="4"/>
      <c r="Z67" s="4"/>
    </row>
    <row r="68" spans="1:26" ht="15.75" customHeight="1" x14ac:dyDescent="0.25">
      <c r="A68" s="109">
        <v>7</v>
      </c>
      <c r="B68" s="397" t="s">
        <v>817</v>
      </c>
      <c r="C68" s="148" t="s">
        <v>26</v>
      </c>
      <c r="D68" s="148"/>
      <c r="E68" s="398" t="str">
        <f t="shared" si="12"/>
        <v/>
      </c>
      <c r="F68" s="398" t="str">
        <f t="shared" si="13"/>
        <v/>
      </c>
      <c r="G68" s="399" t="str">
        <f t="shared" si="14"/>
        <v>rumus</v>
      </c>
      <c r="H68" s="148" t="s">
        <v>26</v>
      </c>
      <c r="I68" s="420"/>
      <c r="J68" s="401" t="str">
        <f t="shared" si="15"/>
        <v>rumus</v>
      </c>
      <c r="K68" s="4"/>
      <c r="L68" s="4"/>
      <c r="M68" s="4"/>
      <c r="N68" s="4"/>
      <c r="O68" s="4"/>
      <c r="P68" s="4"/>
      <c r="Q68" s="4"/>
      <c r="R68" s="4"/>
      <c r="S68" s="4"/>
      <c r="T68" s="4"/>
      <c r="U68" s="4"/>
      <c r="V68" s="4"/>
      <c r="W68" s="4"/>
      <c r="X68" s="4"/>
      <c r="Y68" s="4"/>
      <c r="Z68" s="4"/>
    </row>
    <row r="69" spans="1:26" ht="15.75" customHeight="1" x14ac:dyDescent="0.25">
      <c r="A69" s="109">
        <v>8</v>
      </c>
      <c r="B69" s="397" t="s">
        <v>817</v>
      </c>
      <c r="C69" s="148" t="s">
        <v>26</v>
      </c>
      <c r="D69" s="148"/>
      <c r="E69" s="398" t="str">
        <f t="shared" si="12"/>
        <v/>
      </c>
      <c r="F69" s="398" t="str">
        <f t="shared" si="13"/>
        <v/>
      </c>
      <c r="G69" s="399" t="str">
        <f t="shared" si="14"/>
        <v>rumus</v>
      </c>
      <c r="H69" s="148" t="s">
        <v>26</v>
      </c>
      <c r="I69" s="420"/>
      <c r="J69" s="401" t="str">
        <f t="shared" si="15"/>
        <v>rumus</v>
      </c>
      <c r="K69" s="4"/>
      <c r="L69" s="4"/>
      <c r="M69" s="4"/>
      <c r="N69" s="4"/>
      <c r="O69" s="4"/>
      <c r="P69" s="4"/>
      <c r="Q69" s="4"/>
      <c r="R69" s="4"/>
      <c r="S69" s="4"/>
      <c r="T69" s="4"/>
      <c r="U69" s="4"/>
      <c r="V69" s="4"/>
      <c r="W69" s="4"/>
      <c r="X69" s="4"/>
      <c r="Y69" s="4"/>
      <c r="Z69" s="4"/>
    </row>
    <row r="70" spans="1:26" ht="15.75" customHeight="1" x14ac:dyDescent="0.25">
      <c r="A70" s="109">
        <v>9</v>
      </c>
      <c r="B70" s="397" t="s">
        <v>817</v>
      </c>
      <c r="C70" s="148" t="s">
        <v>26</v>
      </c>
      <c r="D70" s="148"/>
      <c r="E70" s="398" t="str">
        <f t="shared" si="12"/>
        <v/>
      </c>
      <c r="F70" s="398" t="str">
        <f t="shared" si="13"/>
        <v/>
      </c>
      <c r="G70" s="399" t="str">
        <f t="shared" si="14"/>
        <v>rumus</v>
      </c>
      <c r="H70" s="148" t="s">
        <v>26</v>
      </c>
      <c r="I70" s="420"/>
      <c r="J70" s="401" t="str">
        <f t="shared" si="15"/>
        <v>rumus</v>
      </c>
      <c r="K70" s="4"/>
      <c r="L70" s="4"/>
      <c r="M70" s="4"/>
      <c r="N70" s="4"/>
      <c r="O70" s="4"/>
      <c r="P70" s="4"/>
      <c r="Q70" s="4"/>
      <c r="R70" s="4"/>
      <c r="S70" s="4"/>
      <c r="T70" s="4"/>
      <c r="U70" s="4"/>
      <c r="V70" s="4"/>
      <c r="W70" s="4"/>
      <c r="X70" s="4"/>
      <c r="Y70" s="4"/>
      <c r="Z70" s="4"/>
    </row>
    <row r="71" spans="1:26" ht="15.75" customHeight="1" x14ac:dyDescent="0.25">
      <c r="A71" s="109">
        <v>10</v>
      </c>
      <c r="B71" s="397" t="s">
        <v>817</v>
      </c>
      <c r="C71" s="148" t="s">
        <v>26</v>
      </c>
      <c r="D71" s="148"/>
      <c r="E71" s="398" t="str">
        <f t="shared" si="12"/>
        <v/>
      </c>
      <c r="F71" s="398" t="str">
        <f t="shared" si="13"/>
        <v/>
      </c>
      <c r="G71" s="399" t="str">
        <f t="shared" si="14"/>
        <v>rumus</v>
      </c>
      <c r="H71" s="148" t="s">
        <v>26</v>
      </c>
      <c r="I71" s="420"/>
      <c r="J71" s="401" t="str">
        <f t="shared" si="15"/>
        <v>rumus</v>
      </c>
      <c r="K71" s="4"/>
      <c r="L71" s="4"/>
      <c r="M71" s="4"/>
      <c r="N71" s="4"/>
      <c r="O71" s="4"/>
      <c r="P71" s="4"/>
      <c r="Q71" s="4"/>
      <c r="R71" s="4"/>
      <c r="S71" s="4"/>
      <c r="T71" s="4"/>
      <c r="U71" s="4"/>
      <c r="V71" s="4"/>
      <c r="W71" s="4"/>
      <c r="X71" s="4"/>
      <c r="Y71" s="4"/>
      <c r="Z71" s="4"/>
    </row>
    <row r="72" spans="1:26" ht="15.75" customHeight="1" x14ac:dyDescent="0.25">
      <c r="A72" s="128"/>
      <c r="B72" s="614" t="s">
        <v>304</v>
      </c>
      <c r="C72" s="615"/>
      <c r="D72" s="615"/>
      <c r="E72" s="615"/>
      <c r="F72" s="615"/>
      <c r="G72" s="107">
        <f>SUM(J62:J71)</f>
        <v>0</v>
      </c>
      <c r="H72" s="448"/>
      <c r="I72" s="4"/>
      <c r="J72" s="4"/>
      <c r="K72" s="4"/>
      <c r="L72" s="4"/>
      <c r="M72" s="4"/>
      <c r="N72" s="4"/>
      <c r="O72" s="4"/>
      <c r="P72" s="4"/>
      <c r="Q72" s="4"/>
      <c r="R72" s="4"/>
      <c r="S72" s="4"/>
      <c r="T72" s="4"/>
      <c r="U72" s="4"/>
      <c r="V72" s="4"/>
      <c r="W72" s="4"/>
      <c r="X72" s="4"/>
      <c r="Y72" s="4"/>
      <c r="Z72" s="4"/>
    </row>
    <row r="73" spans="1:26" ht="15.75" customHeight="1" x14ac:dyDescent="0.25">
      <c r="A73" s="115" t="s">
        <v>85</v>
      </c>
      <c r="B73" s="707" t="s">
        <v>1131</v>
      </c>
      <c r="C73" s="615"/>
      <c r="D73" s="615"/>
      <c r="E73" s="615"/>
      <c r="F73" s="615"/>
      <c r="G73" s="615"/>
      <c r="H73" s="616"/>
      <c r="I73" s="4"/>
      <c r="J73" s="4"/>
      <c r="K73" s="4"/>
      <c r="L73" s="4"/>
      <c r="M73" s="4"/>
      <c r="N73" s="4"/>
      <c r="O73" s="4"/>
      <c r="P73" s="4"/>
      <c r="Q73" s="4"/>
      <c r="R73" s="4"/>
      <c r="S73" s="4"/>
      <c r="T73" s="4"/>
      <c r="U73" s="4"/>
      <c r="V73" s="4"/>
      <c r="W73" s="4"/>
      <c r="X73" s="4"/>
      <c r="Y73" s="4"/>
      <c r="Z73" s="4"/>
    </row>
    <row r="74" spans="1:26" ht="15" customHeight="1" x14ac:dyDescent="0.25">
      <c r="A74" s="109">
        <v>1</v>
      </c>
      <c r="B74" s="397" t="s">
        <v>1132</v>
      </c>
      <c r="C74" s="156" t="s">
        <v>26</v>
      </c>
      <c r="D74" s="156"/>
      <c r="E74" s="398" t="str">
        <f t="shared" ref="E74:E83" si="16">IF(I74&lt;&gt;"",1,"")</f>
        <v/>
      </c>
      <c r="F74" s="398" t="str">
        <f t="shared" ref="F74:F83" si="17">IF(I74&lt;&gt;"",J74,"")</f>
        <v/>
      </c>
      <c r="G74" s="399" t="str">
        <f t="shared" ref="G74:G83" si="18">IF(J74&lt;&gt;"rumus","1 x "&amp;J74&amp;" = "&amp;J74,"rumus")</f>
        <v>rumus</v>
      </c>
      <c r="H74" s="156" t="s">
        <v>26</v>
      </c>
      <c r="I74" s="420"/>
      <c r="J74" s="401" t="str">
        <f t="shared" ref="J74:J83" si="19">IF(I74="Membuat/menulis karya pengabdian",3,"rumus")</f>
        <v>rumus</v>
      </c>
      <c r="K74" s="4"/>
      <c r="L74" s="4"/>
      <c r="M74" s="4"/>
      <c r="N74" s="4"/>
      <c r="O74" s="4"/>
      <c r="P74" s="4"/>
      <c r="Q74" s="4"/>
      <c r="R74" s="4"/>
      <c r="S74" s="4"/>
      <c r="T74" s="4"/>
      <c r="U74" s="4"/>
      <c r="V74" s="4"/>
      <c r="W74" s="4"/>
      <c r="X74" s="4"/>
      <c r="Y74" s="4"/>
      <c r="Z74" s="4"/>
    </row>
    <row r="75" spans="1:26" ht="15.75" customHeight="1" x14ac:dyDescent="0.25">
      <c r="A75" s="109">
        <v>2</v>
      </c>
      <c r="B75" s="397" t="s">
        <v>1132</v>
      </c>
      <c r="C75" s="156" t="s">
        <v>26</v>
      </c>
      <c r="D75" s="156"/>
      <c r="E75" s="398" t="str">
        <f t="shared" si="16"/>
        <v/>
      </c>
      <c r="F75" s="398" t="str">
        <f t="shared" si="17"/>
        <v/>
      </c>
      <c r="G75" s="399" t="str">
        <f t="shared" si="18"/>
        <v>rumus</v>
      </c>
      <c r="H75" s="156" t="s">
        <v>26</v>
      </c>
      <c r="I75" s="420"/>
      <c r="J75" s="401" t="str">
        <f t="shared" si="19"/>
        <v>rumus</v>
      </c>
      <c r="K75" s="4"/>
      <c r="L75" s="4"/>
      <c r="M75" s="4"/>
      <c r="N75" s="4"/>
      <c r="O75" s="4"/>
      <c r="P75" s="4"/>
      <c r="Q75" s="4"/>
      <c r="R75" s="4"/>
      <c r="S75" s="4"/>
      <c r="T75" s="4"/>
      <c r="U75" s="4"/>
      <c r="V75" s="4"/>
      <c r="W75" s="4"/>
      <c r="X75" s="4"/>
      <c r="Y75" s="4"/>
      <c r="Z75" s="4"/>
    </row>
    <row r="76" spans="1:26" ht="15.75" customHeight="1" x14ac:dyDescent="0.25">
      <c r="A76" s="109">
        <v>3</v>
      </c>
      <c r="B76" s="397" t="s">
        <v>1132</v>
      </c>
      <c r="C76" s="156" t="s">
        <v>26</v>
      </c>
      <c r="D76" s="156"/>
      <c r="E76" s="398" t="str">
        <f t="shared" si="16"/>
        <v/>
      </c>
      <c r="F76" s="398" t="str">
        <f t="shared" si="17"/>
        <v/>
      </c>
      <c r="G76" s="399" t="str">
        <f t="shared" si="18"/>
        <v>rumus</v>
      </c>
      <c r="H76" s="156" t="s">
        <v>26</v>
      </c>
      <c r="I76" s="420"/>
      <c r="J76" s="401" t="str">
        <f t="shared" si="19"/>
        <v>rumus</v>
      </c>
      <c r="K76" s="4"/>
      <c r="L76" s="4"/>
      <c r="M76" s="4"/>
      <c r="N76" s="4"/>
      <c r="O76" s="4"/>
      <c r="P76" s="4"/>
      <c r="Q76" s="4"/>
      <c r="R76" s="4"/>
      <c r="S76" s="4"/>
      <c r="T76" s="4"/>
      <c r="U76" s="4"/>
      <c r="V76" s="4"/>
      <c r="W76" s="4"/>
      <c r="X76" s="4"/>
      <c r="Y76" s="4"/>
      <c r="Z76" s="4"/>
    </row>
    <row r="77" spans="1:26" ht="15.75" customHeight="1" x14ac:dyDescent="0.25">
      <c r="A77" s="109">
        <v>4</v>
      </c>
      <c r="B77" s="397" t="s">
        <v>1132</v>
      </c>
      <c r="C77" s="156" t="s">
        <v>26</v>
      </c>
      <c r="D77" s="156"/>
      <c r="E77" s="398" t="str">
        <f t="shared" si="16"/>
        <v/>
      </c>
      <c r="F77" s="398" t="str">
        <f t="shared" si="17"/>
        <v/>
      </c>
      <c r="G77" s="399" t="str">
        <f t="shared" si="18"/>
        <v>rumus</v>
      </c>
      <c r="H77" s="156" t="s">
        <v>26</v>
      </c>
      <c r="I77" s="420"/>
      <c r="J77" s="401" t="str">
        <f t="shared" si="19"/>
        <v>rumus</v>
      </c>
      <c r="K77" s="4"/>
      <c r="L77" s="4"/>
      <c r="M77" s="4"/>
      <c r="N77" s="4"/>
      <c r="O77" s="4"/>
      <c r="P77" s="4"/>
      <c r="Q77" s="4"/>
      <c r="R77" s="4"/>
      <c r="S77" s="4"/>
      <c r="T77" s="4"/>
      <c r="U77" s="4"/>
      <c r="V77" s="4"/>
      <c r="W77" s="4"/>
      <c r="X77" s="4"/>
      <c r="Y77" s="4"/>
      <c r="Z77" s="4"/>
    </row>
    <row r="78" spans="1:26" ht="15.75" customHeight="1" x14ac:dyDescent="0.25">
      <c r="A78" s="109">
        <v>5</v>
      </c>
      <c r="B78" s="397" t="s">
        <v>1132</v>
      </c>
      <c r="C78" s="156" t="s">
        <v>26</v>
      </c>
      <c r="D78" s="156"/>
      <c r="E78" s="398" t="str">
        <f t="shared" si="16"/>
        <v/>
      </c>
      <c r="F78" s="398" t="str">
        <f t="shared" si="17"/>
        <v/>
      </c>
      <c r="G78" s="399" t="str">
        <f t="shared" si="18"/>
        <v>rumus</v>
      </c>
      <c r="H78" s="156" t="s">
        <v>26</v>
      </c>
      <c r="I78" s="420"/>
      <c r="J78" s="401" t="str">
        <f t="shared" si="19"/>
        <v>rumus</v>
      </c>
      <c r="K78" s="4"/>
      <c r="L78" s="4"/>
      <c r="M78" s="4"/>
      <c r="N78" s="4"/>
      <c r="O78" s="4"/>
      <c r="P78" s="4"/>
      <c r="Q78" s="4"/>
      <c r="R78" s="4"/>
      <c r="S78" s="4"/>
      <c r="T78" s="4"/>
      <c r="U78" s="4"/>
      <c r="V78" s="4"/>
      <c r="W78" s="4"/>
      <c r="X78" s="4"/>
      <c r="Y78" s="4"/>
      <c r="Z78" s="4"/>
    </row>
    <row r="79" spans="1:26" ht="15.75" customHeight="1" x14ac:dyDescent="0.25">
      <c r="A79" s="109">
        <v>6</v>
      </c>
      <c r="B79" s="397" t="s">
        <v>1132</v>
      </c>
      <c r="C79" s="156" t="s">
        <v>26</v>
      </c>
      <c r="D79" s="156"/>
      <c r="E79" s="398" t="str">
        <f t="shared" si="16"/>
        <v/>
      </c>
      <c r="F79" s="398" t="str">
        <f t="shared" si="17"/>
        <v/>
      </c>
      <c r="G79" s="399" t="str">
        <f t="shared" si="18"/>
        <v>rumus</v>
      </c>
      <c r="H79" s="156" t="s">
        <v>26</v>
      </c>
      <c r="I79" s="420"/>
      <c r="J79" s="401" t="str">
        <f t="shared" si="19"/>
        <v>rumus</v>
      </c>
      <c r="K79" s="4"/>
      <c r="L79" s="4"/>
      <c r="M79" s="4"/>
      <c r="N79" s="4"/>
      <c r="O79" s="4"/>
      <c r="P79" s="4"/>
      <c r="Q79" s="4"/>
      <c r="R79" s="4"/>
      <c r="S79" s="4"/>
      <c r="T79" s="4"/>
      <c r="U79" s="4"/>
      <c r="V79" s="4"/>
      <c r="W79" s="4"/>
      <c r="X79" s="4"/>
      <c r="Y79" s="4"/>
      <c r="Z79" s="4"/>
    </row>
    <row r="80" spans="1:26" ht="15.75" customHeight="1" x14ac:dyDescent="0.25">
      <c r="A80" s="109">
        <v>7</v>
      </c>
      <c r="B80" s="397" t="s">
        <v>1132</v>
      </c>
      <c r="C80" s="156" t="s">
        <v>26</v>
      </c>
      <c r="D80" s="156"/>
      <c r="E80" s="398" t="str">
        <f t="shared" si="16"/>
        <v/>
      </c>
      <c r="F80" s="398" t="str">
        <f t="shared" si="17"/>
        <v/>
      </c>
      <c r="G80" s="399" t="str">
        <f t="shared" si="18"/>
        <v>rumus</v>
      </c>
      <c r="H80" s="156" t="s">
        <v>26</v>
      </c>
      <c r="I80" s="420"/>
      <c r="J80" s="401" t="str">
        <f t="shared" si="19"/>
        <v>rumus</v>
      </c>
      <c r="K80" s="4"/>
      <c r="L80" s="4"/>
      <c r="M80" s="4"/>
      <c r="N80" s="4"/>
      <c r="O80" s="4"/>
      <c r="P80" s="4"/>
      <c r="Q80" s="4"/>
      <c r="R80" s="4"/>
      <c r="S80" s="4"/>
      <c r="T80" s="4"/>
      <c r="U80" s="4"/>
      <c r="V80" s="4"/>
      <c r="W80" s="4"/>
      <c r="X80" s="4"/>
      <c r="Y80" s="4"/>
      <c r="Z80" s="4"/>
    </row>
    <row r="81" spans="1:26" ht="15.75" customHeight="1" x14ac:dyDescent="0.25">
      <c r="A81" s="109">
        <v>8</v>
      </c>
      <c r="B81" s="397" t="s">
        <v>1132</v>
      </c>
      <c r="C81" s="156" t="s">
        <v>26</v>
      </c>
      <c r="D81" s="156"/>
      <c r="E81" s="398" t="str">
        <f t="shared" si="16"/>
        <v/>
      </c>
      <c r="F81" s="398" t="str">
        <f t="shared" si="17"/>
        <v/>
      </c>
      <c r="G81" s="399" t="str">
        <f t="shared" si="18"/>
        <v>rumus</v>
      </c>
      <c r="H81" s="156" t="s">
        <v>26</v>
      </c>
      <c r="I81" s="420"/>
      <c r="J81" s="401" t="str">
        <f t="shared" si="19"/>
        <v>rumus</v>
      </c>
      <c r="K81" s="4"/>
      <c r="L81" s="4"/>
      <c r="M81" s="4"/>
      <c r="N81" s="4"/>
      <c r="O81" s="4"/>
      <c r="P81" s="4"/>
      <c r="Q81" s="4"/>
      <c r="R81" s="4"/>
      <c r="S81" s="4"/>
      <c r="T81" s="4"/>
      <c r="U81" s="4"/>
      <c r="V81" s="4"/>
      <c r="W81" s="4"/>
      <c r="X81" s="4"/>
      <c r="Y81" s="4"/>
      <c r="Z81" s="4"/>
    </row>
    <row r="82" spans="1:26" ht="15.75" customHeight="1" x14ac:dyDescent="0.25">
      <c r="A82" s="109">
        <v>9</v>
      </c>
      <c r="B82" s="397" t="s">
        <v>1132</v>
      </c>
      <c r="C82" s="156" t="s">
        <v>26</v>
      </c>
      <c r="D82" s="156"/>
      <c r="E82" s="398" t="str">
        <f t="shared" si="16"/>
        <v/>
      </c>
      <c r="F82" s="398" t="str">
        <f t="shared" si="17"/>
        <v/>
      </c>
      <c r="G82" s="399" t="str">
        <f t="shared" si="18"/>
        <v>rumus</v>
      </c>
      <c r="H82" s="156" t="s">
        <v>26</v>
      </c>
      <c r="I82" s="420"/>
      <c r="J82" s="401" t="str">
        <f t="shared" si="19"/>
        <v>rumus</v>
      </c>
      <c r="K82" s="4"/>
      <c r="L82" s="4"/>
      <c r="M82" s="4"/>
      <c r="N82" s="4"/>
      <c r="O82" s="4"/>
      <c r="P82" s="4"/>
      <c r="Q82" s="4"/>
      <c r="R82" s="4"/>
      <c r="S82" s="4"/>
      <c r="T82" s="4"/>
      <c r="U82" s="4"/>
      <c r="V82" s="4"/>
      <c r="W82" s="4"/>
      <c r="X82" s="4"/>
      <c r="Y82" s="4"/>
      <c r="Z82" s="4"/>
    </row>
    <row r="83" spans="1:26" ht="15.75" customHeight="1" x14ac:dyDescent="0.25">
      <c r="A83" s="109">
        <v>10</v>
      </c>
      <c r="B83" s="397" t="s">
        <v>1132</v>
      </c>
      <c r="C83" s="156" t="s">
        <v>26</v>
      </c>
      <c r="D83" s="156"/>
      <c r="E83" s="398" t="str">
        <f t="shared" si="16"/>
        <v/>
      </c>
      <c r="F83" s="398" t="str">
        <f t="shared" si="17"/>
        <v/>
      </c>
      <c r="G83" s="399" t="str">
        <f t="shared" si="18"/>
        <v>rumus</v>
      </c>
      <c r="H83" s="156" t="s">
        <v>26</v>
      </c>
      <c r="I83" s="420"/>
      <c r="J83" s="401" t="str">
        <f t="shared" si="19"/>
        <v>rumus</v>
      </c>
      <c r="K83" s="4"/>
      <c r="L83" s="4"/>
      <c r="M83" s="4"/>
      <c r="N83" s="4"/>
      <c r="O83" s="4"/>
      <c r="P83" s="4"/>
      <c r="Q83" s="4"/>
      <c r="R83" s="4"/>
      <c r="S83" s="4"/>
      <c r="T83" s="4"/>
      <c r="U83" s="4"/>
      <c r="V83" s="4"/>
      <c r="W83" s="4"/>
      <c r="X83" s="4"/>
      <c r="Y83" s="4"/>
      <c r="Z83" s="4"/>
    </row>
    <row r="84" spans="1:26" ht="15.75" customHeight="1" x14ac:dyDescent="0.25">
      <c r="A84" s="128"/>
      <c r="B84" s="614" t="s">
        <v>304</v>
      </c>
      <c r="C84" s="615"/>
      <c r="D84" s="615"/>
      <c r="E84" s="615"/>
      <c r="F84" s="615"/>
      <c r="G84" s="107">
        <f>SUM(J74:J83)</f>
        <v>0</v>
      </c>
      <c r="H84" s="448"/>
      <c r="I84" s="4"/>
      <c r="J84" s="4"/>
      <c r="K84" s="4"/>
      <c r="L84" s="4"/>
      <c r="M84" s="4"/>
      <c r="N84" s="4"/>
      <c r="O84" s="4"/>
      <c r="P84" s="4"/>
      <c r="Q84" s="4"/>
      <c r="R84" s="4"/>
      <c r="S84" s="4"/>
      <c r="T84" s="4"/>
      <c r="U84" s="4"/>
      <c r="V84" s="4"/>
      <c r="W84" s="4"/>
      <c r="X84" s="4"/>
      <c r="Y84" s="4"/>
      <c r="Z84" s="4"/>
    </row>
    <row r="85" spans="1:26" ht="15.75" customHeight="1" x14ac:dyDescent="0.25">
      <c r="A85" s="128"/>
      <c r="B85" s="614" t="s">
        <v>1133</v>
      </c>
      <c r="C85" s="615"/>
      <c r="D85" s="615"/>
      <c r="E85" s="615"/>
      <c r="F85" s="615"/>
      <c r="G85" s="107">
        <f>G36+G48+G60+G72+G84</f>
        <v>28</v>
      </c>
      <c r="H85" s="448"/>
      <c r="I85" s="157"/>
      <c r="J85" s="4"/>
      <c r="K85" s="4"/>
      <c r="L85" s="4"/>
      <c r="M85" s="4"/>
      <c r="N85" s="4"/>
      <c r="O85" s="4"/>
      <c r="P85" s="4"/>
      <c r="Q85" s="4"/>
      <c r="R85" s="4"/>
      <c r="S85" s="4"/>
      <c r="T85" s="4"/>
      <c r="U85" s="4"/>
      <c r="V85" s="4"/>
      <c r="W85" s="4"/>
      <c r="X85" s="4"/>
      <c r="Y85" s="4"/>
      <c r="Z85" s="4"/>
    </row>
    <row r="86" spans="1:26" ht="15.75" customHeight="1" x14ac:dyDescent="0.25">
      <c r="A86" s="708" t="s">
        <v>826</v>
      </c>
      <c r="B86" s="645"/>
      <c r="C86" s="645"/>
      <c r="D86" s="645"/>
      <c r="E86" s="645"/>
      <c r="F86" s="645"/>
      <c r="G86" s="645"/>
      <c r="H86" s="645"/>
      <c r="I86" s="4"/>
      <c r="J86" s="4"/>
      <c r="K86" s="4"/>
      <c r="L86" s="4"/>
      <c r="M86" s="4"/>
      <c r="N86" s="4"/>
      <c r="O86" s="4"/>
      <c r="P86" s="4"/>
      <c r="Q86" s="4"/>
      <c r="R86" s="4"/>
      <c r="S86" s="4"/>
      <c r="T86" s="4"/>
      <c r="U86" s="4"/>
      <c r="V86" s="4"/>
      <c r="W86" s="4"/>
      <c r="X86" s="4"/>
      <c r="Y86" s="4"/>
      <c r="Z86" s="4"/>
    </row>
    <row r="87" spans="1:26" ht="15.75" customHeight="1" x14ac:dyDescent="0.25">
      <c r="A87" s="618"/>
      <c r="B87" s="613"/>
      <c r="C87" s="613"/>
      <c r="D87" s="613"/>
      <c r="E87" s="613"/>
      <c r="F87" s="613"/>
      <c r="G87" s="613"/>
      <c r="H87" s="613"/>
      <c r="I87" s="4"/>
      <c r="J87" s="4"/>
      <c r="K87" s="4"/>
      <c r="L87" s="4"/>
      <c r="M87" s="4"/>
      <c r="N87" s="4"/>
      <c r="O87" s="4"/>
      <c r="P87" s="4"/>
      <c r="Q87" s="4"/>
      <c r="R87" s="4"/>
      <c r="S87" s="4"/>
      <c r="T87" s="4"/>
      <c r="U87" s="4"/>
      <c r="V87" s="4"/>
      <c r="W87" s="4"/>
      <c r="X87" s="4"/>
      <c r="Y87" s="4"/>
      <c r="Z87" s="4"/>
    </row>
    <row r="88" spans="1:26" ht="15" customHeight="1" x14ac:dyDescent="0.25">
      <c r="A88" s="4"/>
      <c r="B88" s="4"/>
      <c r="C88" s="4"/>
      <c r="D88" s="4"/>
      <c r="E88" s="4"/>
      <c r="F88" s="130" t="s">
        <v>827</v>
      </c>
      <c r="G88" s="131" t="str">
        <f ca="1">"      "&amp;TEXT(TODAY()," mmmm yyyy")</f>
        <v xml:space="preserve">       April 2026</v>
      </c>
      <c r="H88" s="4"/>
      <c r="I88" s="4"/>
      <c r="J88" s="4"/>
      <c r="K88" s="4"/>
      <c r="L88" s="4"/>
      <c r="M88" s="4"/>
      <c r="N88" s="4"/>
      <c r="O88" s="4"/>
      <c r="P88" s="4"/>
      <c r="Q88" s="4"/>
      <c r="R88" s="4"/>
      <c r="S88" s="4"/>
      <c r="T88" s="4"/>
      <c r="U88" s="4"/>
      <c r="V88" s="4"/>
      <c r="W88" s="4"/>
      <c r="X88" s="4"/>
      <c r="Y88" s="4"/>
      <c r="Z88" s="4"/>
    </row>
    <row r="89" spans="1:26" ht="15" customHeight="1" x14ac:dyDescent="0.25">
      <c r="A89" s="4"/>
      <c r="B89" s="4"/>
      <c r="C89" s="4"/>
      <c r="D89" s="4"/>
      <c r="E89" s="618" t="str">
        <f>'LAMPIRAN III DONE'!G214</f>
        <v>Ketua Program Studi S1 Rekayasa Perangkat Lunak Kampus Surabaya Fakultas Informatika</v>
      </c>
      <c r="F89" s="613"/>
      <c r="G89" s="613"/>
      <c r="H89" s="613"/>
      <c r="I89" s="4"/>
      <c r="J89" s="4"/>
      <c r="K89" s="4"/>
      <c r="L89" s="4"/>
      <c r="M89" s="4"/>
      <c r="N89" s="4"/>
      <c r="O89" s="4"/>
      <c r="P89" s="4"/>
      <c r="Q89" s="4"/>
      <c r="R89" s="4"/>
      <c r="S89" s="4"/>
      <c r="T89" s="4"/>
      <c r="U89" s="4"/>
      <c r="V89" s="4"/>
      <c r="W89" s="4"/>
      <c r="X89" s="4"/>
      <c r="Y89" s="4"/>
      <c r="Z89" s="4"/>
    </row>
    <row r="90" spans="1:26" ht="15.75" customHeight="1" x14ac:dyDescent="0.2">
      <c r="E90" s="613"/>
      <c r="F90" s="613"/>
      <c r="G90" s="613"/>
      <c r="H90" s="613"/>
    </row>
    <row r="91" spans="1:26" ht="15" customHeight="1" x14ac:dyDescent="0.25">
      <c r="E91" s="111"/>
      <c r="F91" s="111"/>
      <c r="G91" s="111"/>
      <c r="H91" s="111"/>
    </row>
    <row r="92" spans="1:26" ht="15.75" customHeight="1" x14ac:dyDescent="0.2"/>
    <row r="93" spans="1:26" ht="15.75" customHeight="1" x14ac:dyDescent="0.2"/>
    <row r="94" spans="1:26" ht="15.75" customHeight="1" x14ac:dyDescent="0.2"/>
    <row r="95" spans="1:26" ht="15.75" customHeight="1" x14ac:dyDescent="0.25">
      <c r="E95" s="619" t="str">
        <f>'LAMPIRAN II DONE'!G1235</f>
        <v/>
      </c>
      <c r="F95" s="613"/>
      <c r="G95" s="613"/>
      <c r="H95" s="613"/>
    </row>
    <row r="96" spans="1:26" ht="15.75" customHeight="1" x14ac:dyDescent="0.2"/>
    <row r="97" spans="1:26" ht="15.75" customHeight="1" x14ac:dyDescent="0.25">
      <c r="A97" s="612" t="s">
        <v>828</v>
      </c>
      <c r="B97" s="613"/>
      <c r="C97" s="613"/>
      <c r="D97" s="613"/>
      <c r="E97" s="613"/>
      <c r="F97" s="613"/>
      <c r="G97" s="613"/>
      <c r="H97" s="613"/>
      <c r="I97" s="4"/>
      <c r="J97" s="4"/>
      <c r="K97" s="4"/>
      <c r="L97" s="4"/>
      <c r="M97" s="4"/>
      <c r="N97" s="4"/>
      <c r="O97" s="4"/>
      <c r="P97" s="4"/>
      <c r="Q97" s="4"/>
      <c r="R97" s="4"/>
      <c r="S97" s="4"/>
      <c r="T97" s="4"/>
      <c r="U97" s="4"/>
      <c r="V97" s="4"/>
      <c r="W97" s="4"/>
      <c r="X97" s="4"/>
      <c r="Y97" s="4"/>
      <c r="Z97" s="4"/>
    </row>
    <row r="98" spans="1:26" ht="15.75" customHeight="1" x14ac:dyDescent="0.25">
      <c r="A98" s="612" t="s">
        <v>829</v>
      </c>
      <c r="B98" s="613"/>
      <c r="C98" s="613"/>
      <c r="D98" s="613"/>
      <c r="E98" s="613"/>
      <c r="F98" s="613"/>
      <c r="G98" s="613"/>
      <c r="H98" s="613"/>
      <c r="I98" s="4"/>
      <c r="J98" s="4"/>
      <c r="K98" s="4"/>
      <c r="L98" s="4"/>
      <c r="M98" s="4"/>
      <c r="N98" s="4"/>
      <c r="O98" s="4"/>
      <c r="P98" s="4"/>
      <c r="Q98" s="4"/>
      <c r="R98" s="4"/>
      <c r="S98" s="4"/>
      <c r="T98" s="4"/>
      <c r="U98" s="4"/>
      <c r="V98" s="4"/>
      <c r="W98" s="4"/>
      <c r="X98" s="4"/>
      <c r="Y98" s="4"/>
      <c r="Z98" s="4"/>
    </row>
    <row r="99" spans="1:26" ht="15.75" customHeight="1" x14ac:dyDescent="0.25">
      <c r="A99" s="612" t="s">
        <v>830</v>
      </c>
      <c r="B99" s="613"/>
      <c r="C99" s="613"/>
      <c r="D99" s="613"/>
      <c r="E99" s="613"/>
      <c r="F99" s="613"/>
      <c r="G99" s="613"/>
      <c r="H99" s="613"/>
      <c r="I99" s="4"/>
      <c r="J99" s="4"/>
      <c r="K99" s="4"/>
      <c r="L99" s="4"/>
      <c r="M99" s="4"/>
      <c r="N99" s="4"/>
      <c r="O99" s="4"/>
      <c r="P99" s="4"/>
      <c r="Q99" s="4"/>
      <c r="R99" s="4"/>
      <c r="S99" s="4"/>
      <c r="T99" s="4"/>
      <c r="U99" s="4"/>
      <c r="V99" s="4"/>
      <c r="W99" s="4"/>
      <c r="X99" s="4"/>
      <c r="Y99" s="4"/>
      <c r="Z99" s="4"/>
    </row>
    <row r="100" spans="1:26" ht="15.75" customHeight="1" x14ac:dyDescent="0.25">
      <c r="A100" s="612" t="s">
        <v>831</v>
      </c>
      <c r="B100" s="613"/>
      <c r="C100" s="613"/>
      <c r="D100" s="613"/>
      <c r="E100" s="613"/>
      <c r="F100" s="613"/>
      <c r="G100" s="613"/>
      <c r="H100" s="613"/>
      <c r="I100" s="4"/>
      <c r="J100" s="4"/>
      <c r="K100" s="4"/>
      <c r="L100" s="4"/>
      <c r="M100" s="4"/>
      <c r="N100" s="4"/>
      <c r="O100" s="4"/>
      <c r="P100" s="4"/>
      <c r="Q100" s="4"/>
      <c r="R100" s="4"/>
      <c r="S100" s="4"/>
      <c r="T100" s="4"/>
      <c r="U100" s="4"/>
      <c r="V100" s="4"/>
      <c r="W100" s="4"/>
      <c r="X100" s="4"/>
      <c r="Y100" s="4"/>
      <c r="Z100" s="4"/>
    </row>
    <row r="101" spans="1:26" ht="15.75" customHeight="1" x14ac:dyDescent="0.2"/>
    <row r="102" spans="1:26" ht="15.75" customHeight="1" x14ac:dyDescent="0.2"/>
    <row r="103" spans="1:26" ht="15.75" customHeight="1" x14ac:dyDescent="0.2"/>
    <row r="104" spans="1:26" ht="15.75" customHeight="1" x14ac:dyDescent="0.2"/>
    <row r="105" spans="1:26" ht="15.75" customHeight="1" x14ac:dyDescent="0.2"/>
    <row r="106" spans="1:26" ht="15.75" customHeight="1" x14ac:dyDescent="0.2"/>
    <row r="107" spans="1:26" ht="15.75" customHeight="1" x14ac:dyDescent="0.2"/>
    <row r="108" spans="1:26" ht="15.75" customHeight="1" x14ac:dyDescent="0.2"/>
    <row r="109" spans="1:26" ht="15.75" customHeight="1" x14ac:dyDescent="0.2"/>
    <row r="110" spans="1:26" ht="15.75" customHeight="1" x14ac:dyDescent="0.2"/>
    <row r="111" spans="1:26" ht="15.75" customHeight="1" x14ac:dyDescent="0.2"/>
    <row r="112" spans="1:2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5">
    <mergeCell ref="F6:H6"/>
    <mergeCell ref="A7:H7"/>
    <mergeCell ref="A8:H8"/>
    <mergeCell ref="A9:H9"/>
    <mergeCell ref="C10:H10"/>
    <mergeCell ref="C11:H11"/>
    <mergeCell ref="C12:H12"/>
    <mergeCell ref="C13:H13"/>
    <mergeCell ref="C14:H14"/>
    <mergeCell ref="A15:H15"/>
    <mergeCell ref="C16:H16"/>
    <mergeCell ref="C17:H17"/>
    <mergeCell ref="C18:H18"/>
    <mergeCell ref="C19:H19"/>
    <mergeCell ref="C20:H20"/>
    <mergeCell ref="A21:H21"/>
    <mergeCell ref="B25:H25"/>
    <mergeCell ref="B36:F36"/>
    <mergeCell ref="B37:H37"/>
    <mergeCell ref="B48:F48"/>
    <mergeCell ref="B49:H49"/>
    <mergeCell ref="A87:H87"/>
    <mergeCell ref="E89:H90"/>
    <mergeCell ref="E95:H95"/>
    <mergeCell ref="A97:H97"/>
    <mergeCell ref="A98:H98"/>
    <mergeCell ref="A99:H99"/>
    <mergeCell ref="A100:H100"/>
    <mergeCell ref="B60:F60"/>
    <mergeCell ref="B61:H61"/>
    <mergeCell ref="B72:F72"/>
    <mergeCell ref="B73:H73"/>
    <mergeCell ref="B84:F84"/>
    <mergeCell ref="B85:F85"/>
    <mergeCell ref="A86:H86"/>
  </mergeCells>
  <conditionalFormatting sqref="B26:B35 B62:B71">
    <cfRule type="expression" dxfId="87" priority="1">
      <formula>B26="posisi"</formula>
    </cfRule>
  </conditionalFormatting>
  <conditionalFormatting sqref="B46:B47 B52:B59">
    <cfRule type="expression" dxfId="86" priority="2">
      <formula>B46="kegiatan"</formula>
    </cfRule>
  </conditionalFormatting>
  <conditionalFormatting sqref="B74:B83">
    <cfRule type="expression" dxfId="85" priority="3">
      <formula>B74="karya"</formula>
    </cfRule>
  </conditionalFormatting>
  <conditionalFormatting sqref="C10:D14 C16:D20">
    <cfRule type="expression" dxfId="84" priority="4">
      <formula>C10=""</formula>
    </cfRule>
  </conditionalFormatting>
  <conditionalFormatting sqref="C13:D13">
    <cfRule type="expression" dxfId="83" priority="5">
      <formula>C13=""</formula>
    </cfRule>
  </conditionalFormatting>
  <conditionalFormatting sqref="G26:G35 G38:G47 G50:G59 G62:G71 G74:G83">
    <cfRule type="expression" dxfId="82" priority="6">
      <formula>G26="rumus"</formula>
    </cfRule>
  </conditionalFormatting>
  <dataValidations count="5">
    <dataValidation type="list" allowBlank="1" showInputMessage="1" showErrorMessage="1" prompt="pilih dengan mengklik segitiga dipojok kotak" sqref="I74:I83" xr:uid="{00000000-0002-0000-0400-000000000000}">
      <formula1>"Membuat/menulis karya pengabdian"</formula1>
    </dataValidation>
    <dataValidation type="list" allowBlank="1" showInputMessage="1" showErrorMessage="1" prompt="pilih dengan mengklik segitiga dipojok kotak" sqref="I52:I59" xr:uid="{00000000-0002-0000-0400-000001000000}">
      <formula1>$S$1:$S$7</formula1>
    </dataValidation>
    <dataValidation type="list" allowBlank="1" showInputMessage="1" showErrorMessage="1" prompt="pilih dengan mengklik segitiga dipojok kotak" sqref="I26:I35" xr:uid="{00000000-0002-0000-0400-000002000000}">
      <formula1>"Menduduki jabatan pimpinan persemester"</formula1>
    </dataValidation>
    <dataValidation type="list" allowBlank="1" showInputMessage="1" showErrorMessage="1" prompt="pilih dengan mengklik segitiga dipojok kotak" sqref="I46:I47" xr:uid="{00000000-0002-0000-0400-000003000000}">
      <formula1>"Melaksanakan pengembangan perprogram"</formula1>
    </dataValidation>
    <dataValidation type="list" allowBlank="1" showInputMessage="1" showErrorMessage="1" prompt="pilih dengan mengklik segitiga dipojok kotak" sqref="I62:I71" xr:uid="{00000000-0002-0000-0400-000004000000}">
      <formula1>"a.Berdasarkan bidang keahlian,b.Berdasarkan penugasan lembaga Perguruan Tinggi,c.Berdasarkan fungsi dan jabatan"</formula1>
    </dataValidation>
  </dataValidations>
  <pageMargins left="0.25" right="0.25" top="0.75" bottom="0.75" header="0" footer="0"/>
  <pageSetup paperSize="9" scale="7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topLeftCell="A35" workbookViewId="0">
      <selection activeCell="H50" sqref="H50"/>
    </sheetView>
  </sheetViews>
  <sheetFormatPr defaultColWidth="12.625" defaultRowHeight="15" customHeight="1" x14ac:dyDescent="0.2"/>
  <cols>
    <col min="1" max="1" width="4.875" customWidth="1"/>
    <col min="2" max="2" width="31.625" customWidth="1"/>
    <col min="3" max="4" width="15.5" customWidth="1"/>
    <col min="5" max="5" width="11" customWidth="1"/>
    <col min="6" max="6" width="8.5" customWidth="1"/>
    <col min="7" max="7" width="11.125" customWidth="1"/>
    <col min="8" max="8" width="20.625" customWidth="1"/>
    <col min="9" max="9" width="50.5" customWidth="1"/>
    <col min="10" max="20" width="7.625" customWidth="1"/>
    <col min="21" max="21" width="7.625" hidden="1" customWidth="1"/>
    <col min="22" max="22" width="8" hidden="1" customWidth="1"/>
    <col min="23" max="26" width="7.625" customWidth="1"/>
  </cols>
  <sheetData>
    <row r="1" spans="1:26" x14ac:dyDescent="0.25">
      <c r="A1" s="2"/>
      <c r="B1" s="2"/>
      <c r="C1" s="2"/>
      <c r="D1" s="2"/>
      <c r="E1" s="2"/>
      <c r="F1" s="2" t="s">
        <v>1134</v>
      </c>
      <c r="G1" s="2"/>
      <c r="H1" s="2"/>
      <c r="U1" s="2" t="s">
        <v>1135</v>
      </c>
      <c r="V1" s="2" t="s">
        <v>1136</v>
      </c>
    </row>
    <row r="2" spans="1:26" x14ac:dyDescent="0.25">
      <c r="A2" s="2"/>
      <c r="B2" s="2"/>
      <c r="C2" s="2"/>
      <c r="D2" s="2"/>
      <c r="E2" s="2"/>
      <c r="F2" s="2" t="s">
        <v>1</v>
      </c>
      <c r="G2" s="2"/>
      <c r="H2" s="2"/>
      <c r="U2" s="2" t="s">
        <v>1137</v>
      </c>
      <c r="V2" s="2" t="s">
        <v>1138</v>
      </c>
    </row>
    <row r="3" spans="1:26" x14ac:dyDescent="0.25">
      <c r="A3" s="2"/>
      <c r="B3" s="2"/>
      <c r="C3" s="2"/>
      <c r="D3" s="2"/>
      <c r="E3" s="2"/>
      <c r="F3" s="2" t="s">
        <v>2</v>
      </c>
      <c r="G3" s="2"/>
      <c r="H3" s="2"/>
      <c r="U3" s="2" t="s">
        <v>1139</v>
      </c>
      <c r="V3" s="2" t="s">
        <v>1140</v>
      </c>
    </row>
    <row r="4" spans="1:26" x14ac:dyDescent="0.25">
      <c r="A4" s="2"/>
      <c r="B4" s="2"/>
      <c r="C4" s="2"/>
      <c r="D4" s="2"/>
      <c r="E4" s="2"/>
      <c r="F4" s="2" t="s">
        <v>3</v>
      </c>
      <c r="G4" s="2"/>
      <c r="H4" s="2"/>
      <c r="U4" s="2" t="s">
        <v>1141</v>
      </c>
      <c r="V4" s="2" t="s">
        <v>1142</v>
      </c>
    </row>
    <row r="5" spans="1:26" x14ac:dyDescent="0.25">
      <c r="A5" s="2"/>
      <c r="B5" s="2"/>
      <c r="C5" s="2"/>
      <c r="D5" s="2"/>
      <c r="E5" s="2"/>
      <c r="F5" s="2" t="s">
        <v>4</v>
      </c>
      <c r="G5" s="2"/>
      <c r="H5" s="2"/>
      <c r="U5" s="2" t="s">
        <v>1143</v>
      </c>
    </row>
    <row r="6" spans="1:26" ht="152.25" customHeight="1" x14ac:dyDescent="0.25">
      <c r="A6" s="2"/>
      <c r="B6" s="2"/>
      <c r="C6" s="2"/>
      <c r="D6" s="2"/>
      <c r="E6" s="2"/>
      <c r="F6" s="617" t="s">
        <v>5</v>
      </c>
      <c r="G6" s="613"/>
      <c r="H6" s="613"/>
      <c r="U6" s="2" t="s">
        <v>1144</v>
      </c>
    </row>
    <row r="7" spans="1:26" x14ac:dyDescent="0.25">
      <c r="A7" s="628" t="s">
        <v>279</v>
      </c>
      <c r="B7" s="613"/>
      <c r="C7" s="613"/>
      <c r="D7" s="613"/>
      <c r="E7" s="613"/>
      <c r="F7" s="613"/>
      <c r="G7" s="613"/>
      <c r="H7" s="613"/>
      <c r="I7" s="4"/>
      <c r="J7" s="4"/>
      <c r="K7" s="4"/>
      <c r="L7" s="4"/>
      <c r="M7" s="4"/>
      <c r="N7" s="4"/>
      <c r="O7" s="4"/>
      <c r="P7" s="4"/>
      <c r="Q7" s="4"/>
      <c r="R7" s="4"/>
      <c r="S7" s="4"/>
      <c r="T7" s="4"/>
      <c r="U7" s="4"/>
      <c r="V7" s="4"/>
      <c r="W7" s="4"/>
      <c r="X7" s="4"/>
      <c r="Y7" s="4"/>
      <c r="Z7" s="4"/>
    </row>
    <row r="8" spans="1:26" x14ac:dyDescent="0.25">
      <c r="A8" s="628" t="s">
        <v>1145</v>
      </c>
      <c r="B8" s="613"/>
      <c r="C8" s="613"/>
      <c r="D8" s="613"/>
      <c r="E8" s="613"/>
      <c r="F8" s="613"/>
      <c r="G8" s="613"/>
      <c r="H8" s="613"/>
      <c r="I8" s="4"/>
      <c r="J8" s="4"/>
      <c r="K8" s="4"/>
      <c r="L8" s="4"/>
      <c r="M8" s="4"/>
      <c r="N8" s="4"/>
      <c r="O8" s="4"/>
      <c r="P8" s="4"/>
      <c r="Q8" s="4"/>
      <c r="R8" s="4"/>
      <c r="S8" s="4"/>
      <c r="T8" s="4"/>
      <c r="U8" s="4"/>
      <c r="V8" s="4"/>
      <c r="W8" s="4"/>
      <c r="X8" s="4"/>
      <c r="Y8" s="4"/>
      <c r="Z8" s="4"/>
    </row>
    <row r="9" spans="1:26" x14ac:dyDescent="0.25">
      <c r="A9" s="626" t="s">
        <v>282</v>
      </c>
      <c r="B9" s="615"/>
      <c r="C9" s="615"/>
      <c r="D9" s="615"/>
      <c r="E9" s="615"/>
      <c r="F9" s="615"/>
      <c r="G9" s="615"/>
      <c r="H9" s="616"/>
      <c r="I9" s="4"/>
      <c r="J9" s="4"/>
      <c r="K9" s="4"/>
      <c r="L9" s="4"/>
      <c r="M9" s="4"/>
      <c r="N9" s="4"/>
      <c r="O9" s="4"/>
      <c r="P9" s="4"/>
      <c r="Q9" s="4"/>
      <c r="R9" s="4"/>
      <c r="S9" s="4"/>
      <c r="T9" s="4"/>
      <c r="U9" s="4"/>
      <c r="V9" s="4"/>
      <c r="W9" s="4"/>
      <c r="X9" s="4"/>
      <c r="Y9" s="4"/>
      <c r="Z9" s="4"/>
    </row>
    <row r="10" spans="1:26" x14ac:dyDescent="0.25">
      <c r="A10" s="96">
        <v>1</v>
      </c>
      <c r="B10" s="98" t="s">
        <v>1089</v>
      </c>
      <c r="C10" s="624" t="str">
        <f>IF('LAMPIRAN II DONE'!C11&lt;&gt;"",'LAMPIRAN II DONE'!C11,"")</f>
        <v/>
      </c>
      <c r="D10" s="615"/>
      <c r="E10" s="615"/>
      <c r="F10" s="615"/>
      <c r="G10" s="615"/>
      <c r="H10" s="616"/>
      <c r="I10" s="4"/>
      <c r="J10" s="4"/>
      <c r="K10" s="4"/>
      <c r="L10" s="4"/>
      <c r="M10" s="4"/>
      <c r="N10" s="4"/>
      <c r="O10" s="4"/>
      <c r="P10" s="4"/>
      <c r="Q10" s="4"/>
      <c r="R10" s="4"/>
      <c r="S10" s="4"/>
      <c r="T10" s="4"/>
      <c r="U10" s="4"/>
      <c r="V10" s="4"/>
      <c r="W10" s="4"/>
      <c r="X10" s="4"/>
      <c r="Y10" s="4"/>
      <c r="Z10" s="4"/>
    </row>
    <row r="11" spans="1:26" ht="15" customHeight="1" x14ac:dyDescent="0.25">
      <c r="A11" s="96">
        <v>2</v>
      </c>
      <c r="B11" s="98" t="s">
        <v>847</v>
      </c>
      <c r="C11" s="624" t="str">
        <f>IF('LAMPIRAN II DONE'!C12&lt;&gt;"",'LAMPIRAN II DONE'!C12,"")</f>
        <v/>
      </c>
      <c r="D11" s="615"/>
      <c r="E11" s="615"/>
      <c r="F11" s="615"/>
      <c r="G11" s="615"/>
      <c r="H11" s="616"/>
      <c r="I11" s="4"/>
      <c r="J11" s="4"/>
      <c r="K11" s="4"/>
      <c r="L11" s="4"/>
      <c r="M11" s="4"/>
      <c r="N11" s="4"/>
      <c r="O11" s="4"/>
      <c r="P11" s="4"/>
      <c r="Q11" s="4"/>
      <c r="R11" s="4"/>
      <c r="S11" s="4"/>
      <c r="T11" s="4"/>
      <c r="U11" s="4"/>
      <c r="V11" s="4"/>
      <c r="W11" s="4"/>
      <c r="X11" s="4"/>
      <c r="Y11" s="4"/>
      <c r="Z11" s="4"/>
    </row>
    <row r="12" spans="1:26" ht="15" customHeight="1" x14ac:dyDescent="0.25">
      <c r="A12" s="96">
        <v>3</v>
      </c>
      <c r="B12" s="98" t="s">
        <v>284</v>
      </c>
      <c r="C12" s="624" t="str">
        <f>IF('LAMPIRAN II DONE'!C13&lt;&gt;"",'LAMPIRAN II DONE'!C13,"")</f>
        <v/>
      </c>
      <c r="D12" s="615"/>
      <c r="E12" s="615"/>
      <c r="F12" s="615"/>
      <c r="G12" s="615"/>
      <c r="H12" s="616"/>
      <c r="I12" s="4"/>
      <c r="J12" s="4"/>
      <c r="K12" s="4"/>
      <c r="L12" s="4"/>
      <c r="M12" s="4"/>
      <c r="N12" s="4"/>
      <c r="O12" s="4"/>
      <c r="P12" s="4"/>
      <c r="Q12" s="4"/>
      <c r="R12" s="4"/>
      <c r="S12" s="4"/>
      <c r="T12" s="4"/>
      <c r="U12" s="4"/>
      <c r="V12" s="4"/>
      <c r="W12" s="4"/>
      <c r="X12" s="4"/>
      <c r="Y12" s="4"/>
      <c r="Z12" s="4"/>
    </row>
    <row r="13" spans="1:26" ht="15" customHeight="1" x14ac:dyDescent="0.25">
      <c r="A13" s="96">
        <v>4</v>
      </c>
      <c r="B13" s="98" t="s">
        <v>285</v>
      </c>
      <c r="C13" s="624" t="str">
        <f>IF('LAMPIRAN II DONE'!C14&lt;&gt;"",'LAMPIRAN II DONE'!C14,"")</f>
        <v/>
      </c>
      <c r="D13" s="615"/>
      <c r="E13" s="615"/>
      <c r="F13" s="615"/>
      <c r="G13" s="615"/>
      <c r="H13" s="616"/>
      <c r="I13" s="4"/>
      <c r="J13" s="4"/>
      <c r="K13" s="4"/>
      <c r="L13" s="4"/>
      <c r="M13" s="4"/>
      <c r="N13" s="4"/>
      <c r="O13" s="4"/>
      <c r="P13" s="4"/>
      <c r="Q13" s="4"/>
      <c r="R13" s="4"/>
      <c r="S13" s="4"/>
      <c r="T13" s="4"/>
      <c r="U13" s="4"/>
      <c r="V13" s="4"/>
      <c r="W13" s="4"/>
      <c r="X13" s="4"/>
      <c r="Y13" s="4"/>
      <c r="Z13" s="4"/>
    </row>
    <row r="14" spans="1:26" ht="15" customHeight="1" x14ac:dyDescent="0.25">
      <c r="A14" s="96">
        <v>5</v>
      </c>
      <c r="B14" s="98" t="s">
        <v>286</v>
      </c>
      <c r="C14" s="624" t="str">
        <f>IF('LAMPIRAN II DONE'!C15&lt;&gt;"",'LAMPIRAN II DONE'!C15,"")</f>
        <v/>
      </c>
      <c r="D14" s="615"/>
      <c r="E14" s="615"/>
      <c r="F14" s="615"/>
      <c r="G14" s="615"/>
      <c r="H14" s="616"/>
      <c r="I14" s="4"/>
      <c r="J14" s="4"/>
      <c r="K14" s="4"/>
      <c r="L14" s="4"/>
      <c r="M14" s="4"/>
      <c r="N14" s="4"/>
      <c r="O14" s="4"/>
      <c r="P14" s="4"/>
      <c r="Q14" s="4"/>
      <c r="R14" s="4"/>
      <c r="S14" s="4"/>
      <c r="T14" s="4"/>
      <c r="U14" s="4"/>
      <c r="V14" s="4"/>
      <c r="W14" s="4"/>
      <c r="X14" s="4"/>
      <c r="Y14" s="4"/>
      <c r="Z14" s="4"/>
    </row>
    <row r="15" spans="1:26" x14ac:dyDescent="0.25">
      <c r="A15" s="626" t="s">
        <v>287</v>
      </c>
      <c r="B15" s="615"/>
      <c r="C15" s="615"/>
      <c r="D15" s="615"/>
      <c r="E15" s="615"/>
      <c r="F15" s="615"/>
      <c r="G15" s="615"/>
      <c r="H15" s="616"/>
      <c r="I15" s="4"/>
      <c r="J15" s="4"/>
      <c r="K15" s="4"/>
      <c r="L15" s="4"/>
      <c r="M15" s="4"/>
      <c r="N15" s="4"/>
      <c r="O15" s="4"/>
      <c r="P15" s="4"/>
      <c r="Q15" s="4"/>
      <c r="R15" s="4"/>
      <c r="S15" s="4"/>
      <c r="T15" s="4"/>
      <c r="U15" s="4"/>
      <c r="V15" s="4"/>
      <c r="W15" s="4"/>
      <c r="X15" s="4"/>
      <c r="Y15" s="4"/>
      <c r="Z15" s="4"/>
    </row>
    <row r="16" spans="1:26" x14ac:dyDescent="0.25">
      <c r="A16" s="96">
        <v>1</v>
      </c>
      <c r="B16" s="97" t="s">
        <v>1089</v>
      </c>
      <c r="C16" s="624" t="str">
        <f>IF('LAMPIRAN I DONE'!F15&lt;&gt;"",'LAMPIRAN I DONE'!F15,"")</f>
        <v>Dahliar Ananda</v>
      </c>
      <c r="D16" s="615"/>
      <c r="E16" s="615"/>
      <c r="F16" s="615"/>
      <c r="G16" s="615"/>
      <c r="H16" s="616"/>
      <c r="I16" s="4"/>
      <c r="J16" s="4"/>
      <c r="K16" s="4"/>
      <c r="L16" s="4"/>
      <c r="M16" s="4"/>
      <c r="N16" s="4"/>
      <c r="O16" s="4"/>
      <c r="P16" s="4"/>
      <c r="Q16" s="4"/>
      <c r="R16" s="4"/>
      <c r="S16" s="4"/>
      <c r="T16" s="4"/>
      <c r="U16" s="4"/>
      <c r="V16" s="4"/>
      <c r="W16" s="4"/>
      <c r="X16" s="4"/>
      <c r="Y16" s="4"/>
      <c r="Z16" s="4"/>
    </row>
    <row r="17" spans="1:26" ht="15" customHeight="1" x14ac:dyDescent="0.25">
      <c r="A17" s="96">
        <v>2</v>
      </c>
      <c r="B17" s="97" t="s">
        <v>847</v>
      </c>
      <c r="C17" s="624" t="str">
        <f>IF('LAMPIRAN I DONE'!F16&lt;&gt;"",'LAMPIRAN I DONE'!F16,"")</f>
        <v>0402058203 / 09820030</v>
      </c>
      <c r="D17" s="615"/>
      <c r="E17" s="615"/>
      <c r="F17" s="615"/>
      <c r="G17" s="615"/>
      <c r="H17" s="616"/>
      <c r="I17" s="2" t="s">
        <v>13</v>
      </c>
      <c r="K17" s="4"/>
      <c r="L17" s="4"/>
      <c r="M17" s="4"/>
      <c r="N17" s="4"/>
      <c r="O17" s="4"/>
      <c r="P17" s="4"/>
      <c r="Q17" s="4"/>
      <c r="R17" s="4"/>
      <c r="S17" s="4"/>
      <c r="T17" s="4"/>
      <c r="U17" s="4"/>
      <c r="V17" s="4"/>
      <c r="W17" s="4"/>
      <c r="X17" s="4"/>
      <c r="Y17" s="4"/>
      <c r="Z17" s="4"/>
    </row>
    <row r="18" spans="1:26" ht="15" customHeight="1" x14ac:dyDescent="0.25">
      <c r="A18" s="96">
        <v>3</v>
      </c>
      <c r="B18" s="97" t="s">
        <v>284</v>
      </c>
      <c r="C18" s="624" t="str">
        <f>IF('LAMPIRAN II DONE'!C19&lt;&gt;"",'LAMPIRAN II DONE'!C19,"")</f>
        <v>-</v>
      </c>
      <c r="D18" s="615"/>
      <c r="E18" s="615"/>
      <c r="F18" s="615"/>
      <c r="G18" s="615"/>
      <c r="H18" s="616"/>
      <c r="I18" s="2"/>
      <c r="J18" s="2"/>
      <c r="K18" s="4"/>
      <c r="L18" s="4"/>
      <c r="M18" s="4"/>
      <c r="N18" s="4"/>
      <c r="O18" s="4"/>
      <c r="P18" s="4"/>
      <c r="Q18" s="4"/>
      <c r="R18" s="4"/>
      <c r="S18" s="4"/>
      <c r="T18" s="4"/>
      <c r="U18" s="4"/>
      <c r="V18" s="4"/>
      <c r="W18" s="4"/>
      <c r="X18" s="4"/>
      <c r="Y18" s="4"/>
      <c r="Z18" s="4"/>
    </row>
    <row r="19" spans="1:26" ht="15" customHeight="1" x14ac:dyDescent="0.25">
      <c r="A19" s="96">
        <v>4</v>
      </c>
      <c r="B19" s="97" t="s">
        <v>288</v>
      </c>
      <c r="C19" s="624" t="str">
        <f>IF('LAMPIRAN I DONE'!F21&lt;&gt;"",'LAMPIRAN I DONE'!F21,"")</f>
        <v>Lektor</v>
      </c>
      <c r="D19" s="615"/>
      <c r="E19" s="615"/>
      <c r="F19" s="615"/>
      <c r="G19" s="615"/>
      <c r="H19" s="616"/>
      <c r="I19" s="317"/>
      <c r="J19" s="2" t="s">
        <v>18</v>
      </c>
      <c r="K19" s="4"/>
      <c r="L19" s="4"/>
      <c r="M19" s="4"/>
      <c r="N19" s="4"/>
      <c r="O19" s="4"/>
      <c r="P19" s="4"/>
      <c r="Q19" s="4"/>
      <c r="R19" s="4"/>
      <c r="S19" s="4"/>
      <c r="T19" s="4"/>
      <c r="U19" s="4"/>
      <c r="V19" s="4"/>
      <c r="W19" s="4"/>
      <c r="X19" s="4"/>
      <c r="Y19" s="4"/>
      <c r="Z19" s="4"/>
    </row>
    <row r="20" spans="1:26" ht="15" customHeight="1" x14ac:dyDescent="0.25">
      <c r="A20" s="96">
        <v>5</v>
      </c>
      <c r="B20" s="97" t="s">
        <v>286</v>
      </c>
      <c r="C20" s="624" t="str">
        <f>IF('LAMPIRAN I DONE'!F25&lt;&gt;"",'LAMPIRAN I DONE'!F25,"")</f>
        <v>S1 Rekayasa Perangkat Lunak Kampus Surabaya Fakultas Informatika di Universitas Telkom pada LLDIKTI Wilayah IV Jawa Barat dan Banten</v>
      </c>
      <c r="D20" s="615"/>
      <c r="E20" s="615"/>
      <c r="F20" s="615"/>
      <c r="G20" s="615"/>
      <c r="H20" s="616"/>
      <c r="I20" s="319"/>
      <c r="J20" s="2" t="s">
        <v>291</v>
      </c>
      <c r="K20" s="4"/>
      <c r="L20" s="4"/>
      <c r="M20" s="4"/>
      <c r="N20" s="4"/>
      <c r="O20" s="4"/>
      <c r="P20" s="4"/>
      <c r="Q20" s="4"/>
      <c r="R20" s="4"/>
      <c r="S20" s="4"/>
      <c r="T20" s="4"/>
      <c r="U20" s="4"/>
      <c r="V20" s="4"/>
      <c r="W20" s="4"/>
      <c r="X20" s="4"/>
      <c r="Y20" s="4"/>
      <c r="Z20" s="4"/>
    </row>
    <row r="21" spans="1:26" ht="15.75" customHeight="1" x14ac:dyDescent="0.25">
      <c r="A21" s="622" t="s">
        <v>1146</v>
      </c>
      <c r="B21" s="615"/>
      <c r="C21" s="615"/>
      <c r="D21" s="615"/>
      <c r="E21" s="615"/>
      <c r="F21" s="615"/>
      <c r="G21" s="615"/>
      <c r="H21" s="616"/>
      <c r="I21" s="4"/>
      <c r="J21" s="136" t="s">
        <v>851</v>
      </c>
      <c r="K21" s="4"/>
      <c r="L21" s="4"/>
      <c r="M21" s="4"/>
      <c r="N21" s="4"/>
      <c r="O21" s="4"/>
      <c r="P21" s="4"/>
      <c r="Q21" s="4"/>
      <c r="R21" s="4"/>
      <c r="S21" s="4"/>
      <c r="T21" s="4"/>
      <c r="U21" s="4"/>
      <c r="V21" s="4"/>
      <c r="W21" s="4"/>
      <c r="X21" s="4"/>
      <c r="Y21" s="4"/>
      <c r="Z21" s="4"/>
    </row>
    <row r="22" spans="1:26" ht="45" customHeight="1" x14ac:dyDescent="0.25">
      <c r="A22" s="99" t="s">
        <v>45</v>
      </c>
      <c r="B22" s="393" t="s">
        <v>292</v>
      </c>
      <c r="C22" s="99" t="s">
        <v>293</v>
      </c>
      <c r="D22" s="99" t="s">
        <v>294</v>
      </c>
      <c r="E22" s="99" t="s">
        <v>295</v>
      </c>
      <c r="F22" s="99" t="s">
        <v>296</v>
      </c>
      <c r="G22" s="99" t="s">
        <v>297</v>
      </c>
      <c r="H22" s="99" t="s">
        <v>298</v>
      </c>
      <c r="I22" s="4"/>
      <c r="J22" s="158" t="s">
        <v>853</v>
      </c>
      <c r="K22" s="4"/>
      <c r="L22" s="4"/>
      <c r="M22" s="4"/>
      <c r="N22" s="4"/>
      <c r="O22" s="4"/>
      <c r="P22" s="4"/>
      <c r="Q22" s="4"/>
      <c r="R22" s="4"/>
      <c r="S22" s="4"/>
      <c r="T22" s="4"/>
      <c r="U22" s="4"/>
      <c r="V22" s="4"/>
      <c r="W22" s="4"/>
      <c r="X22" s="4"/>
      <c r="Y22" s="4"/>
      <c r="Z22" s="4"/>
    </row>
    <row r="23" spans="1:26" ht="15.75" customHeight="1" x14ac:dyDescent="0.25">
      <c r="A23" s="100">
        <v>1</v>
      </c>
      <c r="B23" s="100">
        <v>2</v>
      </c>
      <c r="C23" s="100">
        <v>3</v>
      </c>
      <c r="D23" s="100">
        <v>4</v>
      </c>
      <c r="E23" s="100">
        <v>5</v>
      </c>
      <c r="F23" s="100">
        <v>6</v>
      </c>
      <c r="G23" s="100">
        <v>7</v>
      </c>
      <c r="H23" s="100">
        <v>8</v>
      </c>
      <c r="I23" s="4"/>
      <c r="J23" s="4"/>
      <c r="K23" s="4"/>
      <c r="L23" s="4"/>
      <c r="M23" s="4"/>
      <c r="N23" s="4"/>
      <c r="O23" s="4"/>
      <c r="P23" s="4"/>
      <c r="Q23" s="4"/>
      <c r="R23" s="4"/>
      <c r="S23" s="4"/>
      <c r="T23" s="4"/>
      <c r="U23" s="4"/>
      <c r="V23" s="4"/>
      <c r="W23" s="4"/>
      <c r="X23" s="4"/>
      <c r="Y23" s="4"/>
      <c r="Z23" s="4"/>
    </row>
    <row r="24" spans="1:26" ht="15.75" customHeight="1" x14ac:dyDescent="0.25">
      <c r="A24" s="99" t="s">
        <v>205</v>
      </c>
      <c r="B24" s="414" t="s">
        <v>1147</v>
      </c>
      <c r="C24" s="449"/>
      <c r="D24" s="449"/>
      <c r="E24" s="449"/>
      <c r="F24" s="449"/>
      <c r="G24" s="449"/>
      <c r="H24" s="403"/>
      <c r="I24" s="4"/>
      <c r="J24" s="4"/>
      <c r="K24" s="4"/>
      <c r="L24" s="4"/>
      <c r="M24" s="4"/>
      <c r="N24" s="4"/>
      <c r="O24" s="4"/>
      <c r="P24" s="4"/>
      <c r="Q24" s="4"/>
      <c r="R24" s="4"/>
      <c r="S24" s="4"/>
      <c r="T24" s="4"/>
      <c r="U24" s="4"/>
      <c r="V24" s="4"/>
      <c r="W24" s="4"/>
      <c r="X24" s="4"/>
      <c r="Y24" s="4"/>
      <c r="Z24" s="4"/>
    </row>
    <row r="25" spans="1:26" ht="15.75" customHeight="1" x14ac:dyDescent="0.25">
      <c r="A25" s="115" t="s">
        <v>56</v>
      </c>
      <c r="B25" s="412" t="s">
        <v>1148</v>
      </c>
      <c r="C25" s="404"/>
      <c r="D25" s="404"/>
      <c r="E25" s="404"/>
      <c r="F25" s="404"/>
      <c r="G25" s="404"/>
      <c r="H25" s="405"/>
      <c r="I25" s="4"/>
      <c r="J25" s="4"/>
      <c r="K25" s="4"/>
      <c r="L25" s="4"/>
      <c r="M25" s="4"/>
      <c r="N25" s="4"/>
      <c r="O25" s="4"/>
      <c r="P25" s="4"/>
      <c r="Q25" s="4"/>
      <c r="R25" s="4"/>
      <c r="S25" s="4"/>
      <c r="T25" s="4"/>
      <c r="U25" s="4"/>
      <c r="V25" s="4"/>
      <c r="W25" s="4"/>
      <c r="X25" s="4"/>
      <c r="Y25" s="4"/>
      <c r="Z25" s="4"/>
    </row>
    <row r="26" spans="1:26" ht="23.25" customHeight="1" x14ac:dyDescent="0.25">
      <c r="A26" s="109">
        <v>1</v>
      </c>
      <c r="B26" s="570" t="s">
        <v>1149</v>
      </c>
      <c r="C26" s="588">
        <v>44044</v>
      </c>
      <c r="D26" s="581" t="s">
        <v>1150</v>
      </c>
      <c r="E26" s="398">
        <f t="shared" ref="E26:E35" si="0">IF(I26&lt;&gt;"",1,"")</f>
        <v>1</v>
      </c>
      <c r="F26" s="398">
        <f t="shared" ref="F26:F35" si="1">IF(I26&lt;&gt;"",J26,"")</f>
        <v>2</v>
      </c>
      <c r="G26" s="399" t="str">
        <f t="shared" ref="G26:G35" si="2">IF(J26&lt;&gt;"rumus","1 x "&amp;J26&amp;" = "&amp;J26,"rumus")</f>
        <v>1 x 2 = 2</v>
      </c>
      <c r="H26" s="148" t="s">
        <v>1151</v>
      </c>
      <c r="I26" s="577" t="s">
        <v>1152</v>
      </c>
      <c r="J26" s="401">
        <f t="shared" ref="J26:J35" si="3">IF(I26&lt;&gt;"",IF(I26="a.Sebagai Ketua/wakil ketua pertahun",3,IF(I26="b.Sebagai Anggota pertahun",2,"")),"rumus")</f>
        <v>2</v>
      </c>
      <c r="K26" s="4"/>
      <c r="L26" s="4"/>
      <c r="M26" s="4"/>
      <c r="N26" s="4"/>
      <c r="O26" s="4"/>
      <c r="P26" s="4"/>
      <c r="Q26" s="4"/>
      <c r="R26" s="4"/>
      <c r="S26" s="4"/>
      <c r="T26" s="4"/>
      <c r="U26" s="4"/>
      <c r="V26" s="4"/>
      <c r="W26" s="4"/>
      <c r="X26" s="4"/>
      <c r="Y26" s="4"/>
      <c r="Z26" s="4"/>
    </row>
    <row r="27" spans="1:26" ht="15.75" customHeight="1" x14ac:dyDescent="0.25">
      <c r="A27" s="109">
        <v>2</v>
      </c>
      <c r="B27" s="571" t="s">
        <v>1153</v>
      </c>
      <c r="C27" s="589">
        <v>42309</v>
      </c>
      <c r="D27" s="585" t="s">
        <v>1154</v>
      </c>
      <c r="E27" s="398">
        <f t="shared" si="0"/>
        <v>1</v>
      </c>
      <c r="F27" s="398">
        <f t="shared" si="1"/>
        <v>2</v>
      </c>
      <c r="G27" s="399" t="str">
        <f t="shared" si="2"/>
        <v>1 x 2 = 2</v>
      </c>
      <c r="H27" s="148" t="s">
        <v>26</v>
      </c>
      <c r="I27" s="577" t="s">
        <v>1152</v>
      </c>
      <c r="J27" s="401">
        <f t="shared" si="3"/>
        <v>2</v>
      </c>
      <c r="K27" s="4"/>
      <c r="L27" s="4"/>
      <c r="M27" s="4"/>
      <c r="N27" s="4"/>
      <c r="O27" s="4"/>
      <c r="P27" s="4"/>
      <c r="Q27" s="4"/>
      <c r="R27" s="4"/>
      <c r="S27" s="4"/>
      <c r="T27" s="4"/>
      <c r="U27" s="4"/>
      <c r="V27" s="4"/>
      <c r="W27" s="4"/>
      <c r="X27" s="4"/>
      <c r="Y27" s="4"/>
      <c r="Z27" s="4"/>
    </row>
    <row r="28" spans="1:26" ht="15.75" customHeight="1" x14ac:dyDescent="0.25">
      <c r="A28" s="109">
        <v>3</v>
      </c>
      <c r="B28" s="397" t="s">
        <v>821</v>
      </c>
      <c r="C28" s="148" t="s">
        <v>26</v>
      </c>
      <c r="D28" s="148"/>
      <c r="E28" s="398" t="str">
        <f t="shared" si="0"/>
        <v/>
      </c>
      <c r="F28" s="398" t="str">
        <f t="shared" si="1"/>
        <v/>
      </c>
      <c r="G28" s="399" t="str">
        <f t="shared" si="2"/>
        <v>rumus</v>
      </c>
      <c r="H28" s="148" t="s">
        <v>26</v>
      </c>
      <c r="I28" s="420"/>
      <c r="J28" s="401" t="str">
        <f t="shared" si="3"/>
        <v>rumus</v>
      </c>
      <c r="K28" s="4"/>
      <c r="L28" s="4"/>
      <c r="M28" s="4"/>
      <c r="N28" s="4"/>
      <c r="O28" s="4"/>
      <c r="P28" s="4"/>
      <c r="Q28" s="4"/>
      <c r="R28" s="4"/>
      <c r="S28" s="4"/>
      <c r="T28" s="4"/>
      <c r="U28" s="4"/>
      <c r="V28" s="4"/>
      <c r="W28" s="4"/>
      <c r="X28" s="4"/>
      <c r="Y28" s="4"/>
      <c r="Z28" s="4"/>
    </row>
    <row r="29" spans="1:26" ht="15.75" customHeight="1" x14ac:dyDescent="0.25">
      <c r="A29" s="109">
        <v>4</v>
      </c>
      <c r="B29" s="397" t="s">
        <v>821</v>
      </c>
      <c r="C29" s="148" t="s">
        <v>26</v>
      </c>
      <c r="D29" s="148"/>
      <c r="E29" s="398" t="str">
        <f t="shared" si="0"/>
        <v/>
      </c>
      <c r="F29" s="398" t="str">
        <f t="shared" si="1"/>
        <v/>
      </c>
      <c r="G29" s="399" t="str">
        <f t="shared" si="2"/>
        <v>rumus</v>
      </c>
      <c r="H29" s="148" t="s">
        <v>26</v>
      </c>
      <c r="I29" s="420"/>
      <c r="J29" s="401" t="str">
        <f t="shared" si="3"/>
        <v>rumus</v>
      </c>
      <c r="K29" s="4"/>
      <c r="L29" s="4"/>
      <c r="M29" s="4"/>
      <c r="N29" s="4"/>
      <c r="O29" s="4"/>
      <c r="P29" s="4"/>
      <c r="Q29" s="4"/>
      <c r="R29" s="4"/>
      <c r="S29" s="4"/>
      <c r="T29" s="4"/>
      <c r="U29" s="4"/>
      <c r="V29" s="4"/>
      <c r="W29" s="4"/>
      <c r="X29" s="4"/>
      <c r="Y29" s="4"/>
      <c r="Z29" s="4"/>
    </row>
    <row r="30" spans="1:26" ht="15.75" customHeight="1" x14ac:dyDescent="0.25">
      <c r="A30" s="109">
        <v>5</v>
      </c>
      <c r="B30" s="397" t="s">
        <v>821</v>
      </c>
      <c r="C30" s="148" t="s">
        <v>26</v>
      </c>
      <c r="D30" s="148"/>
      <c r="E30" s="398" t="str">
        <f t="shared" si="0"/>
        <v/>
      </c>
      <c r="F30" s="398" t="str">
        <f t="shared" si="1"/>
        <v/>
      </c>
      <c r="G30" s="399" t="str">
        <f t="shared" si="2"/>
        <v>rumus</v>
      </c>
      <c r="H30" s="148" t="s">
        <v>26</v>
      </c>
      <c r="I30" s="420"/>
      <c r="J30" s="401" t="str">
        <f t="shared" si="3"/>
        <v>rumus</v>
      </c>
      <c r="K30" s="4"/>
      <c r="L30" s="4"/>
      <c r="M30" s="4"/>
      <c r="N30" s="4"/>
      <c r="O30" s="4"/>
      <c r="P30" s="4"/>
      <c r="Q30" s="4"/>
      <c r="R30" s="4"/>
      <c r="S30" s="4"/>
      <c r="T30" s="4"/>
      <c r="U30" s="4"/>
      <c r="V30" s="4"/>
      <c r="W30" s="4"/>
      <c r="X30" s="4"/>
      <c r="Y30" s="4"/>
      <c r="Z30" s="4"/>
    </row>
    <row r="31" spans="1:26" ht="15.75" customHeight="1" x14ac:dyDescent="0.25">
      <c r="A31" s="109">
        <v>6</v>
      </c>
      <c r="B31" s="397" t="s">
        <v>821</v>
      </c>
      <c r="C31" s="148" t="s">
        <v>26</v>
      </c>
      <c r="D31" s="148"/>
      <c r="E31" s="398" t="str">
        <f t="shared" si="0"/>
        <v/>
      </c>
      <c r="F31" s="398" t="str">
        <f t="shared" si="1"/>
        <v/>
      </c>
      <c r="G31" s="399" t="str">
        <f t="shared" si="2"/>
        <v>rumus</v>
      </c>
      <c r="H31" s="148" t="s">
        <v>26</v>
      </c>
      <c r="I31" s="420"/>
      <c r="J31" s="401" t="str">
        <f t="shared" si="3"/>
        <v>rumus</v>
      </c>
      <c r="K31" s="4"/>
      <c r="L31" s="4"/>
      <c r="M31" s="4"/>
      <c r="N31" s="4"/>
      <c r="O31" s="4"/>
      <c r="P31" s="4"/>
      <c r="Q31" s="4"/>
      <c r="R31" s="4"/>
      <c r="S31" s="4"/>
      <c r="T31" s="4"/>
      <c r="U31" s="4"/>
      <c r="V31" s="4"/>
      <c r="W31" s="4"/>
      <c r="X31" s="4"/>
      <c r="Y31" s="4"/>
      <c r="Z31" s="4"/>
    </row>
    <row r="32" spans="1:26" ht="15.75" customHeight="1" x14ac:dyDescent="0.25">
      <c r="A32" s="109">
        <v>7</v>
      </c>
      <c r="B32" s="397" t="s">
        <v>821</v>
      </c>
      <c r="C32" s="148" t="s">
        <v>26</v>
      </c>
      <c r="D32" s="148"/>
      <c r="E32" s="398" t="str">
        <f t="shared" si="0"/>
        <v/>
      </c>
      <c r="F32" s="398" t="str">
        <f t="shared" si="1"/>
        <v/>
      </c>
      <c r="G32" s="399" t="str">
        <f t="shared" si="2"/>
        <v>rumus</v>
      </c>
      <c r="H32" s="148" t="s">
        <v>26</v>
      </c>
      <c r="I32" s="420"/>
      <c r="J32" s="401" t="str">
        <f t="shared" si="3"/>
        <v>rumus</v>
      </c>
      <c r="K32" s="4"/>
      <c r="L32" s="4"/>
      <c r="M32" s="4"/>
      <c r="N32" s="4"/>
      <c r="O32" s="4"/>
      <c r="P32" s="4"/>
      <c r="Q32" s="4"/>
      <c r="R32" s="4"/>
      <c r="S32" s="4"/>
      <c r="T32" s="4"/>
      <c r="U32" s="4"/>
      <c r="V32" s="4"/>
      <c r="W32" s="4"/>
      <c r="X32" s="4"/>
      <c r="Y32" s="4"/>
      <c r="Z32" s="4"/>
    </row>
    <row r="33" spans="1:26" ht="15.75" customHeight="1" x14ac:dyDescent="0.25">
      <c r="A33" s="109">
        <v>8</v>
      </c>
      <c r="B33" s="397" t="s">
        <v>821</v>
      </c>
      <c r="C33" s="148" t="s">
        <v>26</v>
      </c>
      <c r="D33" s="148"/>
      <c r="E33" s="398" t="str">
        <f t="shared" si="0"/>
        <v/>
      </c>
      <c r="F33" s="398" t="str">
        <f t="shared" si="1"/>
        <v/>
      </c>
      <c r="G33" s="399" t="str">
        <f t="shared" si="2"/>
        <v>rumus</v>
      </c>
      <c r="H33" s="148" t="s">
        <v>26</v>
      </c>
      <c r="I33" s="420"/>
      <c r="J33" s="401" t="str">
        <f t="shared" si="3"/>
        <v>rumus</v>
      </c>
      <c r="K33" s="4"/>
      <c r="L33" s="4"/>
      <c r="M33" s="4"/>
      <c r="N33" s="4"/>
      <c r="O33" s="4"/>
      <c r="P33" s="4"/>
      <c r="Q33" s="4"/>
      <c r="R33" s="4"/>
      <c r="S33" s="4"/>
      <c r="T33" s="4"/>
      <c r="U33" s="4"/>
      <c r="V33" s="4"/>
      <c r="W33" s="4"/>
      <c r="X33" s="4"/>
      <c r="Y33" s="4"/>
      <c r="Z33" s="4"/>
    </row>
    <row r="34" spans="1:26" ht="15.75" customHeight="1" x14ac:dyDescent="0.25">
      <c r="A34" s="109">
        <v>9</v>
      </c>
      <c r="B34" s="397" t="s">
        <v>821</v>
      </c>
      <c r="C34" s="148" t="s">
        <v>26</v>
      </c>
      <c r="D34" s="148"/>
      <c r="E34" s="398" t="str">
        <f t="shared" si="0"/>
        <v/>
      </c>
      <c r="F34" s="398" t="str">
        <f t="shared" si="1"/>
        <v/>
      </c>
      <c r="G34" s="399" t="str">
        <f t="shared" si="2"/>
        <v>rumus</v>
      </c>
      <c r="H34" s="148" t="s">
        <v>26</v>
      </c>
      <c r="I34" s="420"/>
      <c r="J34" s="401" t="str">
        <f t="shared" si="3"/>
        <v>rumus</v>
      </c>
      <c r="K34" s="4"/>
      <c r="L34" s="4"/>
      <c r="M34" s="4"/>
      <c r="N34" s="4"/>
      <c r="O34" s="4"/>
      <c r="P34" s="4"/>
      <c r="Q34" s="4"/>
      <c r="R34" s="4"/>
      <c r="S34" s="4"/>
      <c r="T34" s="4"/>
      <c r="U34" s="4"/>
      <c r="V34" s="4"/>
      <c r="W34" s="4"/>
      <c r="X34" s="4"/>
      <c r="Y34" s="4"/>
      <c r="Z34" s="4"/>
    </row>
    <row r="35" spans="1:26" ht="15.75" customHeight="1" x14ac:dyDescent="0.25">
      <c r="A35" s="109">
        <v>10</v>
      </c>
      <c r="B35" s="397" t="s">
        <v>821</v>
      </c>
      <c r="C35" s="148" t="s">
        <v>26</v>
      </c>
      <c r="D35" s="148"/>
      <c r="E35" s="398" t="str">
        <f t="shared" si="0"/>
        <v/>
      </c>
      <c r="F35" s="398" t="str">
        <f t="shared" si="1"/>
        <v/>
      </c>
      <c r="G35" s="399" t="str">
        <f t="shared" si="2"/>
        <v>rumus</v>
      </c>
      <c r="H35" s="148" t="s">
        <v>26</v>
      </c>
      <c r="I35" s="420"/>
      <c r="J35" s="401" t="str">
        <f t="shared" si="3"/>
        <v>rumus</v>
      </c>
      <c r="K35" s="4"/>
      <c r="L35" s="4"/>
      <c r="M35" s="4"/>
      <c r="N35" s="4"/>
      <c r="O35" s="4"/>
      <c r="P35" s="4"/>
      <c r="Q35" s="4"/>
      <c r="R35" s="4"/>
      <c r="S35" s="4"/>
      <c r="T35" s="4"/>
      <c r="U35" s="4"/>
      <c r="V35" s="4"/>
      <c r="W35" s="4"/>
      <c r="X35" s="4"/>
      <c r="Y35" s="4"/>
      <c r="Z35" s="4"/>
    </row>
    <row r="36" spans="1:26" ht="15.75" customHeight="1" x14ac:dyDescent="0.25">
      <c r="A36" s="128"/>
      <c r="B36" s="614" t="s">
        <v>304</v>
      </c>
      <c r="C36" s="615"/>
      <c r="D36" s="615"/>
      <c r="E36" s="615"/>
      <c r="F36" s="615"/>
      <c r="G36" s="107">
        <f>SUM(J26:J35)</f>
        <v>4</v>
      </c>
      <c r="H36" s="448"/>
      <c r="I36" s="4"/>
      <c r="J36" s="4"/>
      <c r="K36" s="4"/>
      <c r="L36" s="4"/>
      <c r="M36" s="4"/>
      <c r="N36" s="4"/>
      <c r="O36" s="4"/>
      <c r="P36" s="4"/>
      <c r="Q36" s="4"/>
      <c r="R36" s="4"/>
      <c r="S36" s="4"/>
      <c r="T36" s="4"/>
      <c r="U36" s="4"/>
      <c r="V36" s="4"/>
      <c r="W36" s="4"/>
      <c r="X36" s="4"/>
      <c r="Y36" s="4"/>
      <c r="Z36" s="4"/>
    </row>
    <row r="37" spans="1:26" ht="15.75" customHeight="1" x14ac:dyDescent="0.25">
      <c r="A37" s="115" t="s">
        <v>61</v>
      </c>
      <c r="B37" s="412" t="s">
        <v>1155</v>
      </c>
      <c r="C37" s="404"/>
      <c r="D37" s="404"/>
      <c r="E37" s="404"/>
      <c r="F37" s="404"/>
      <c r="G37" s="404"/>
      <c r="H37" s="405"/>
      <c r="I37" s="4"/>
      <c r="J37" s="4"/>
      <c r="K37" s="4"/>
      <c r="L37" s="4"/>
      <c r="M37" s="4"/>
      <c r="N37" s="4"/>
      <c r="O37" s="4"/>
      <c r="P37" s="4"/>
      <c r="Q37" s="4"/>
      <c r="R37" s="4"/>
      <c r="S37" s="4"/>
      <c r="T37" s="4"/>
      <c r="U37" s="4"/>
      <c r="V37" s="4"/>
      <c r="W37" s="4"/>
      <c r="X37" s="4"/>
      <c r="Y37" s="4"/>
      <c r="Z37" s="4"/>
    </row>
    <row r="38" spans="1:26" ht="15.75" customHeight="1" x14ac:dyDescent="0.25">
      <c r="A38" s="109">
        <v>1</v>
      </c>
      <c r="B38" s="397" t="s">
        <v>821</v>
      </c>
      <c r="C38" s="148" t="s">
        <v>26</v>
      </c>
      <c r="D38" s="148"/>
      <c r="E38" s="398" t="str">
        <f t="shared" ref="E38:E47" si="4">IF(I38&lt;&gt;"",1,"")</f>
        <v/>
      </c>
      <c r="F38" s="398" t="str">
        <f t="shared" ref="F38:F47" si="5">IF(I38&lt;&gt;"",J38,"")</f>
        <v/>
      </c>
      <c r="G38" s="399" t="str">
        <f t="shared" ref="G38:G47" si="6">IF(J38&lt;&gt;"rumus","1 x "&amp;J38&amp;" = "&amp;J38,"rumus")</f>
        <v>rumus</v>
      </c>
      <c r="H38" s="148" t="s">
        <v>26</v>
      </c>
      <c r="I38" s="420"/>
      <c r="J38" s="401" t="str">
        <f t="shared" ref="J38:J47" si="7">IF(I38&lt;&gt;"",IF(I38="a.1).Panitia pusat sebagai Ketua/Wakil ketua",3,IF(I38="a.2).Panitia pusat sebagai Anggota",2,IF(I38="b.1).Panitia Daerah sebagai Ketua/Wakil Ketua",2,IF(I38="b.2).Panitia Daerah sebagai Anggota",1,"")))),"rumus")</f>
        <v>rumus</v>
      </c>
      <c r="K38" s="4"/>
      <c r="L38" s="4"/>
      <c r="M38" s="4"/>
      <c r="N38" s="4"/>
      <c r="O38" s="4"/>
      <c r="P38" s="4"/>
      <c r="Q38" s="4"/>
      <c r="R38" s="4"/>
      <c r="S38" s="4"/>
      <c r="T38" s="4"/>
      <c r="U38" s="4"/>
      <c r="V38" s="4"/>
      <c r="W38" s="4"/>
      <c r="X38" s="4"/>
      <c r="Y38" s="4"/>
      <c r="Z38" s="4"/>
    </row>
    <row r="39" spans="1:26" ht="15.75" customHeight="1" x14ac:dyDescent="0.25">
      <c r="A39" s="109">
        <v>2</v>
      </c>
      <c r="B39" s="397" t="s">
        <v>821</v>
      </c>
      <c r="C39" s="148" t="s">
        <v>26</v>
      </c>
      <c r="D39" s="148"/>
      <c r="E39" s="398" t="str">
        <f t="shared" si="4"/>
        <v/>
      </c>
      <c r="F39" s="398" t="str">
        <f t="shared" si="5"/>
        <v/>
      </c>
      <c r="G39" s="399" t="str">
        <f t="shared" si="6"/>
        <v>rumus</v>
      </c>
      <c r="H39" s="148" t="s">
        <v>26</v>
      </c>
      <c r="I39" s="420"/>
      <c r="J39" s="401" t="str">
        <f t="shared" si="7"/>
        <v>rumus</v>
      </c>
      <c r="K39" s="4"/>
      <c r="L39" s="4"/>
      <c r="M39" s="4"/>
      <c r="N39" s="4"/>
      <c r="O39" s="4"/>
      <c r="P39" s="4"/>
      <c r="Q39" s="4"/>
      <c r="R39" s="4"/>
      <c r="S39" s="4"/>
      <c r="T39" s="4"/>
      <c r="U39" s="4"/>
      <c r="V39" s="4"/>
      <c r="W39" s="4"/>
      <c r="X39" s="4"/>
      <c r="Y39" s="4"/>
      <c r="Z39" s="4"/>
    </row>
    <row r="40" spans="1:26" ht="15.75" customHeight="1" x14ac:dyDescent="0.25">
      <c r="A40" s="109">
        <v>3</v>
      </c>
      <c r="B40" s="397" t="s">
        <v>821</v>
      </c>
      <c r="C40" s="148" t="s">
        <v>26</v>
      </c>
      <c r="D40" s="148"/>
      <c r="E40" s="398" t="str">
        <f t="shared" si="4"/>
        <v/>
      </c>
      <c r="F40" s="398" t="str">
        <f t="shared" si="5"/>
        <v/>
      </c>
      <c r="G40" s="399" t="str">
        <f t="shared" si="6"/>
        <v>rumus</v>
      </c>
      <c r="H40" s="148" t="s">
        <v>26</v>
      </c>
      <c r="I40" s="420"/>
      <c r="J40" s="401" t="str">
        <f t="shared" si="7"/>
        <v>rumus</v>
      </c>
      <c r="K40" s="4"/>
      <c r="L40" s="4"/>
      <c r="M40" s="4"/>
      <c r="N40" s="4"/>
      <c r="O40" s="4"/>
      <c r="P40" s="4"/>
      <c r="Q40" s="4"/>
      <c r="R40" s="4"/>
      <c r="S40" s="4"/>
      <c r="T40" s="4"/>
      <c r="U40" s="4"/>
      <c r="V40" s="4"/>
      <c r="W40" s="4"/>
      <c r="X40" s="4"/>
      <c r="Y40" s="4"/>
      <c r="Z40" s="4"/>
    </row>
    <row r="41" spans="1:26" ht="15.75" customHeight="1" x14ac:dyDescent="0.25">
      <c r="A41" s="109">
        <v>4</v>
      </c>
      <c r="B41" s="397" t="s">
        <v>821</v>
      </c>
      <c r="C41" s="148" t="s">
        <v>26</v>
      </c>
      <c r="D41" s="148"/>
      <c r="E41" s="398" t="str">
        <f t="shared" si="4"/>
        <v/>
      </c>
      <c r="F41" s="398" t="str">
        <f t="shared" si="5"/>
        <v/>
      </c>
      <c r="G41" s="399" t="str">
        <f t="shared" si="6"/>
        <v>rumus</v>
      </c>
      <c r="H41" s="148" t="s">
        <v>26</v>
      </c>
      <c r="I41" s="420"/>
      <c r="J41" s="401" t="str">
        <f t="shared" si="7"/>
        <v>rumus</v>
      </c>
      <c r="K41" s="4"/>
      <c r="L41" s="4"/>
      <c r="M41" s="4"/>
      <c r="N41" s="4"/>
      <c r="O41" s="4"/>
      <c r="P41" s="4"/>
      <c r="Q41" s="4"/>
      <c r="R41" s="4"/>
      <c r="S41" s="4"/>
      <c r="T41" s="4"/>
      <c r="U41" s="4"/>
      <c r="V41" s="4"/>
      <c r="W41" s="4"/>
      <c r="X41" s="4"/>
      <c r="Y41" s="4"/>
      <c r="Z41" s="4"/>
    </row>
    <row r="42" spans="1:26" ht="15.75" customHeight="1" x14ac:dyDescent="0.25">
      <c r="A42" s="109">
        <v>5</v>
      </c>
      <c r="B42" s="397" t="s">
        <v>821</v>
      </c>
      <c r="C42" s="148" t="s">
        <v>26</v>
      </c>
      <c r="D42" s="148"/>
      <c r="E42" s="398" t="str">
        <f t="shared" si="4"/>
        <v/>
      </c>
      <c r="F42" s="398" t="str">
        <f t="shared" si="5"/>
        <v/>
      </c>
      <c r="G42" s="399" t="str">
        <f t="shared" si="6"/>
        <v>rumus</v>
      </c>
      <c r="H42" s="148" t="s">
        <v>26</v>
      </c>
      <c r="I42" s="420"/>
      <c r="J42" s="401" t="str">
        <f t="shared" si="7"/>
        <v>rumus</v>
      </c>
      <c r="K42" s="4"/>
      <c r="L42" s="4"/>
      <c r="M42" s="4"/>
      <c r="N42" s="4"/>
      <c r="O42" s="4"/>
      <c r="P42" s="4"/>
      <c r="Q42" s="4"/>
      <c r="R42" s="4"/>
      <c r="S42" s="4"/>
      <c r="T42" s="4"/>
      <c r="U42" s="4"/>
      <c r="V42" s="4"/>
      <c r="W42" s="4"/>
      <c r="X42" s="4"/>
      <c r="Y42" s="4"/>
      <c r="Z42" s="4"/>
    </row>
    <row r="43" spans="1:26" ht="15.75" customHeight="1" x14ac:dyDescent="0.25">
      <c r="A43" s="109">
        <v>6</v>
      </c>
      <c r="B43" s="397" t="s">
        <v>821</v>
      </c>
      <c r="C43" s="148" t="s">
        <v>26</v>
      </c>
      <c r="D43" s="148"/>
      <c r="E43" s="398" t="str">
        <f t="shared" si="4"/>
        <v/>
      </c>
      <c r="F43" s="398" t="str">
        <f t="shared" si="5"/>
        <v/>
      </c>
      <c r="G43" s="399" t="str">
        <f t="shared" si="6"/>
        <v>rumus</v>
      </c>
      <c r="H43" s="148" t="s">
        <v>26</v>
      </c>
      <c r="I43" s="420"/>
      <c r="J43" s="401" t="str">
        <f t="shared" si="7"/>
        <v>rumus</v>
      </c>
      <c r="K43" s="4"/>
      <c r="L43" s="4"/>
      <c r="M43" s="4"/>
      <c r="N43" s="4"/>
      <c r="O43" s="4"/>
      <c r="P43" s="4"/>
      <c r="Q43" s="4"/>
      <c r="R43" s="4"/>
      <c r="S43" s="4"/>
      <c r="T43" s="4"/>
      <c r="U43" s="4"/>
      <c r="V43" s="4"/>
      <c r="W43" s="4"/>
      <c r="X43" s="4"/>
      <c r="Y43" s="4"/>
      <c r="Z43" s="4"/>
    </row>
    <row r="44" spans="1:26" ht="15.75" customHeight="1" x14ac:dyDescent="0.25">
      <c r="A44" s="109">
        <v>7</v>
      </c>
      <c r="B44" s="397" t="s">
        <v>821</v>
      </c>
      <c r="C44" s="148" t="s">
        <v>26</v>
      </c>
      <c r="D44" s="148"/>
      <c r="E44" s="398" t="str">
        <f t="shared" si="4"/>
        <v/>
      </c>
      <c r="F44" s="398" t="str">
        <f t="shared" si="5"/>
        <v/>
      </c>
      <c r="G44" s="399" t="str">
        <f t="shared" si="6"/>
        <v>rumus</v>
      </c>
      <c r="H44" s="148" t="s">
        <v>26</v>
      </c>
      <c r="I44" s="420"/>
      <c r="J44" s="401" t="str">
        <f t="shared" si="7"/>
        <v>rumus</v>
      </c>
      <c r="K44" s="4"/>
      <c r="L44" s="4"/>
      <c r="M44" s="4"/>
      <c r="N44" s="4"/>
      <c r="O44" s="4"/>
      <c r="P44" s="4"/>
      <c r="Q44" s="4"/>
      <c r="R44" s="4"/>
      <c r="S44" s="4"/>
      <c r="T44" s="4"/>
      <c r="U44" s="4"/>
      <c r="V44" s="4"/>
      <c r="W44" s="4"/>
      <c r="X44" s="4"/>
      <c r="Y44" s="4"/>
      <c r="Z44" s="4"/>
    </row>
    <row r="45" spans="1:26" ht="15.75" customHeight="1" x14ac:dyDescent="0.25">
      <c r="A45" s="109">
        <v>8</v>
      </c>
      <c r="B45" s="397" t="s">
        <v>821</v>
      </c>
      <c r="C45" s="148" t="s">
        <v>26</v>
      </c>
      <c r="D45" s="148"/>
      <c r="E45" s="398" t="str">
        <f t="shared" si="4"/>
        <v/>
      </c>
      <c r="F45" s="398" t="str">
        <f t="shared" si="5"/>
        <v/>
      </c>
      <c r="G45" s="399" t="str">
        <f t="shared" si="6"/>
        <v>rumus</v>
      </c>
      <c r="H45" s="148" t="s">
        <v>26</v>
      </c>
      <c r="I45" s="420"/>
      <c r="J45" s="401" t="str">
        <f t="shared" si="7"/>
        <v>rumus</v>
      </c>
      <c r="K45" s="4"/>
      <c r="L45" s="4"/>
      <c r="M45" s="4"/>
      <c r="N45" s="4"/>
      <c r="O45" s="4"/>
      <c r="P45" s="4"/>
      <c r="Q45" s="4"/>
      <c r="R45" s="4"/>
      <c r="S45" s="4"/>
      <c r="T45" s="4"/>
      <c r="U45" s="4"/>
      <c r="V45" s="4"/>
      <c r="W45" s="4"/>
      <c r="X45" s="4"/>
      <c r="Y45" s="4"/>
      <c r="Z45" s="4"/>
    </row>
    <row r="46" spans="1:26" ht="15.75" customHeight="1" x14ac:dyDescent="0.25">
      <c r="A46" s="109">
        <v>9</v>
      </c>
      <c r="B46" s="397" t="s">
        <v>821</v>
      </c>
      <c r="C46" s="148" t="s">
        <v>26</v>
      </c>
      <c r="D46" s="148"/>
      <c r="E46" s="398" t="str">
        <f t="shared" si="4"/>
        <v/>
      </c>
      <c r="F46" s="398" t="str">
        <f t="shared" si="5"/>
        <v/>
      </c>
      <c r="G46" s="399" t="str">
        <f t="shared" si="6"/>
        <v>rumus</v>
      </c>
      <c r="H46" s="148" t="s">
        <v>26</v>
      </c>
      <c r="I46" s="420"/>
      <c r="J46" s="401" t="str">
        <f t="shared" si="7"/>
        <v>rumus</v>
      </c>
      <c r="K46" s="4"/>
      <c r="L46" s="4"/>
      <c r="M46" s="4"/>
      <c r="N46" s="4"/>
      <c r="O46" s="4"/>
      <c r="P46" s="4"/>
      <c r="Q46" s="4"/>
      <c r="R46" s="4"/>
      <c r="S46" s="4"/>
      <c r="T46" s="4"/>
      <c r="U46" s="4"/>
      <c r="V46" s="4"/>
      <c r="W46" s="4"/>
      <c r="X46" s="4"/>
      <c r="Y46" s="4"/>
      <c r="Z46" s="4"/>
    </row>
    <row r="47" spans="1:26" ht="15.75" customHeight="1" x14ac:dyDescent="0.25">
      <c r="A47" s="109">
        <v>10</v>
      </c>
      <c r="B47" s="397" t="s">
        <v>821</v>
      </c>
      <c r="C47" s="148" t="s">
        <v>26</v>
      </c>
      <c r="D47" s="148"/>
      <c r="E47" s="398" t="str">
        <f t="shared" si="4"/>
        <v/>
      </c>
      <c r="F47" s="398" t="str">
        <f t="shared" si="5"/>
        <v/>
      </c>
      <c r="G47" s="399" t="str">
        <f t="shared" si="6"/>
        <v>rumus</v>
      </c>
      <c r="H47" s="148" t="s">
        <v>26</v>
      </c>
      <c r="I47" s="420"/>
      <c r="J47" s="401" t="str">
        <f t="shared" si="7"/>
        <v>rumus</v>
      </c>
      <c r="K47" s="4"/>
      <c r="L47" s="4"/>
      <c r="M47" s="4"/>
      <c r="N47" s="4"/>
      <c r="O47" s="4"/>
      <c r="P47" s="4"/>
      <c r="Q47" s="4"/>
      <c r="R47" s="4"/>
      <c r="S47" s="4"/>
      <c r="T47" s="4"/>
      <c r="U47" s="4"/>
      <c r="V47" s="4"/>
      <c r="W47" s="4"/>
      <c r="X47" s="4"/>
      <c r="Y47" s="4"/>
      <c r="Z47" s="4"/>
    </row>
    <row r="48" spans="1:26" ht="15.75" customHeight="1" x14ac:dyDescent="0.25">
      <c r="A48" s="128"/>
      <c r="B48" s="614" t="s">
        <v>304</v>
      </c>
      <c r="C48" s="615"/>
      <c r="D48" s="615"/>
      <c r="E48" s="615"/>
      <c r="F48" s="615"/>
      <c r="G48" s="107">
        <f>SUM(J38:J47)</f>
        <v>0</v>
      </c>
      <c r="H48" s="448"/>
      <c r="I48" s="4"/>
      <c r="J48" s="4"/>
      <c r="K48" s="4"/>
      <c r="L48" s="4"/>
      <c r="M48" s="4"/>
      <c r="N48" s="4"/>
      <c r="O48" s="4"/>
      <c r="P48" s="4"/>
      <c r="Q48" s="4"/>
      <c r="R48" s="4"/>
      <c r="S48" s="4"/>
      <c r="T48" s="4"/>
      <c r="U48" s="4"/>
      <c r="V48" s="4"/>
      <c r="W48" s="4"/>
      <c r="X48" s="4"/>
      <c r="Y48" s="4"/>
      <c r="Z48" s="4"/>
    </row>
    <row r="49" spans="1:26" ht="15.75" customHeight="1" x14ac:dyDescent="0.25">
      <c r="A49" s="115" t="s">
        <v>70</v>
      </c>
      <c r="B49" s="412" t="s">
        <v>1156</v>
      </c>
      <c r="C49" s="404"/>
      <c r="D49" s="404"/>
      <c r="E49" s="404"/>
      <c r="F49" s="404"/>
      <c r="G49" s="404"/>
      <c r="H49" s="405"/>
      <c r="I49" s="4"/>
      <c r="J49" s="4"/>
      <c r="K49" s="4"/>
      <c r="L49" s="4"/>
      <c r="M49" s="4"/>
      <c r="N49" s="4"/>
      <c r="O49" s="4"/>
      <c r="P49" s="4"/>
      <c r="Q49" s="4"/>
      <c r="R49" s="4"/>
      <c r="S49" s="4"/>
      <c r="T49" s="4"/>
      <c r="U49" s="4"/>
      <c r="V49" s="4"/>
      <c r="W49" s="4"/>
      <c r="X49" s="4"/>
      <c r="Y49" s="4"/>
      <c r="Z49" s="4"/>
    </row>
    <row r="50" spans="1:26" ht="15.75" customHeight="1" x14ac:dyDescent="0.25">
      <c r="A50" s="109">
        <v>1</v>
      </c>
      <c r="B50" s="570" t="s">
        <v>1157</v>
      </c>
      <c r="C50" s="148" t="s">
        <v>26</v>
      </c>
      <c r="D50" s="148"/>
      <c r="E50" s="398">
        <f t="shared" ref="E50:E59" si="8">IF(I50&lt;&gt;"",1,"")</f>
        <v>1</v>
      </c>
      <c r="F50" s="398">
        <f t="shared" ref="F50:F59" si="9">IF(I50&lt;&gt;"",J50,"")</f>
        <v>0.5</v>
      </c>
      <c r="G50" s="399" t="str">
        <f t="shared" ref="G50:G59" si="10">IF(J50&lt;&gt;"rumus","1 x "&amp;J50&amp;" = "&amp;J50,"rumus")</f>
        <v>1 x 0,5 = 0,5</v>
      </c>
      <c r="H50" s="148" t="s">
        <v>26</v>
      </c>
      <c r="I50" s="577" t="s">
        <v>1139</v>
      </c>
      <c r="J50" s="401">
        <f t="shared" ref="J50:J59" si="11">IF(I50&lt;&gt;"",IF(I50="1) Tingkat Internasional Sebagai Pengurus",2,IF(I50="2) Tingkat Internasional Sebagai Anggota atas permintaan",1,IF(I50="3) Tingkat Internasional Sebagai Anggota",0.5,IF(I50="4) TINGKAT NASIONAL Sebagai PENGURUS",1.5,IF(I50="5) TINGKAT NASIONAL Sebagai ANGGOTA ATAS PERMINTAAN",1,IF(I50="6) TINGKAT NASIONAL Sebagai ANGGOTA",0.5,"")))))),"rumus")</f>
        <v>0.5</v>
      </c>
      <c r="L50" s="4"/>
      <c r="M50" s="4"/>
      <c r="N50" s="4"/>
      <c r="O50" s="4"/>
      <c r="P50" s="4"/>
      <c r="Q50" s="4"/>
      <c r="R50" s="4"/>
      <c r="S50" s="4"/>
      <c r="T50" s="4"/>
      <c r="U50" s="4"/>
      <c r="V50" s="4"/>
      <c r="W50" s="4"/>
      <c r="X50" s="4"/>
      <c r="Y50" s="4"/>
      <c r="Z50" s="4"/>
    </row>
    <row r="51" spans="1:26" ht="15.75" customHeight="1" x14ac:dyDescent="0.25">
      <c r="A51" s="109">
        <v>2</v>
      </c>
      <c r="B51" s="571" t="s">
        <v>1157</v>
      </c>
      <c r="C51" s="148" t="s">
        <v>26</v>
      </c>
      <c r="D51" s="148"/>
      <c r="E51" s="398">
        <f t="shared" si="8"/>
        <v>1</v>
      </c>
      <c r="F51" s="398">
        <f t="shared" si="9"/>
        <v>0.5</v>
      </c>
      <c r="G51" s="399" t="str">
        <f t="shared" si="10"/>
        <v>1 x 0,5 = 0,5</v>
      </c>
      <c r="H51" s="148" t="s">
        <v>26</v>
      </c>
      <c r="I51" s="577" t="s">
        <v>1139</v>
      </c>
      <c r="J51" s="401">
        <f t="shared" si="11"/>
        <v>0.5</v>
      </c>
      <c r="L51" s="4"/>
      <c r="M51" s="4"/>
      <c r="N51" s="4"/>
      <c r="O51" s="4"/>
      <c r="P51" s="4"/>
      <c r="Q51" s="4"/>
      <c r="R51" s="4"/>
      <c r="S51" s="4"/>
      <c r="T51" s="4"/>
      <c r="U51" s="4"/>
      <c r="V51" s="4"/>
      <c r="W51" s="4"/>
      <c r="X51" s="4"/>
      <c r="Y51" s="4"/>
      <c r="Z51" s="4"/>
    </row>
    <row r="52" spans="1:26" ht="15.75" customHeight="1" x14ac:dyDescent="0.25">
      <c r="A52" s="109">
        <v>3</v>
      </c>
      <c r="B52" s="397" t="s">
        <v>821</v>
      </c>
      <c r="C52" s="148" t="s">
        <v>26</v>
      </c>
      <c r="D52" s="148"/>
      <c r="E52" s="398" t="str">
        <f t="shared" si="8"/>
        <v/>
      </c>
      <c r="F52" s="398" t="str">
        <f t="shared" si="9"/>
        <v/>
      </c>
      <c r="G52" s="399" t="str">
        <f t="shared" si="10"/>
        <v>rumus</v>
      </c>
      <c r="H52" s="148" t="s">
        <v>26</v>
      </c>
      <c r="I52" s="420"/>
      <c r="J52" s="401" t="str">
        <f t="shared" si="11"/>
        <v>rumus</v>
      </c>
      <c r="L52" s="4"/>
      <c r="M52" s="4"/>
      <c r="N52" s="4"/>
      <c r="O52" s="4"/>
      <c r="P52" s="4"/>
      <c r="Q52" s="4"/>
      <c r="R52" s="4"/>
      <c r="S52" s="4"/>
      <c r="T52" s="4"/>
      <c r="U52" s="4"/>
      <c r="V52" s="4"/>
      <c r="W52" s="4"/>
      <c r="X52" s="4"/>
      <c r="Y52" s="4"/>
      <c r="Z52" s="4"/>
    </row>
    <row r="53" spans="1:26" ht="15.75" customHeight="1" x14ac:dyDescent="0.25">
      <c r="A53" s="109">
        <v>4</v>
      </c>
      <c r="B53" s="397" t="s">
        <v>821</v>
      </c>
      <c r="C53" s="148" t="s">
        <v>26</v>
      </c>
      <c r="D53" s="148"/>
      <c r="E53" s="398" t="str">
        <f t="shared" si="8"/>
        <v/>
      </c>
      <c r="F53" s="398" t="str">
        <f t="shared" si="9"/>
        <v/>
      </c>
      <c r="G53" s="399" t="str">
        <f t="shared" si="10"/>
        <v>rumus</v>
      </c>
      <c r="H53" s="148" t="s">
        <v>26</v>
      </c>
      <c r="I53" s="420"/>
      <c r="J53" s="401" t="str">
        <f t="shared" si="11"/>
        <v>rumus</v>
      </c>
      <c r="L53" s="4"/>
      <c r="M53" s="4"/>
      <c r="N53" s="4"/>
      <c r="O53" s="4"/>
      <c r="P53" s="4"/>
      <c r="Q53" s="4"/>
      <c r="R53" s="4"/>
      <c r="S53" s="4"/>
      <c r="T53" s="4"/>
      <c r="U53" s="4"/>
      <c r="V53" s="4"/>
      <c r="W53" s="4"/>
      <c r="X53" s="4"/>
      <c r="Y53" s="4"/>
      <c r="Z53" s="4"/>
    </row>
    <row r="54" spans="1:26" ht="15.75" customHeight="1" x14ac:dyDescent="0.25">
      <c r="A54" s="109">
        <v>5</v>
      </c>
      <c r="B54" s="397" t="s">
        <v>821</v>
      </c>
      <c r="C54" s="148" t="s">
        <v>26</v>
      </c>
      <c r="D54" s="148"/>
      <c r="E54" s="398" t="str">
        <f t="shared" si="8"/>
        <v/>
      </c>
      <c r="F54" s="398" t="str">
        <f t="shared" si="9"/>
        <v/>
      </c>
      <c r="G54" s="399" t="str">
        <f t="shared" si="10"/>
        <v>rumus</v>
      </c>
      <c r="H54" s="148" t="s">
        <v>26</v>
      </c>
      <c r="I54" s="420"/>
      <c r="J54" s="401" t="str">
        <f t="shared" si="11"/>
        <v>rumus</v>
      </c>
      <c r="L54" s="4"/>
      <c r="M54" s="4"/>
      <c r="N54" s="4"/>
      <c r="O54" s="4"/>
      <c r="P54" s="4"/>
      <c r="Q54" s="4"/>
      <c r="R54" s="4"/>
      <c r="S54" s="4"/>
      <c r="T54" s="4"/>
      <c r="U54" s="4"/>
      <c r="V54" s="4"/>
      <c r="W54" s="4"/>
      <c r="X54" s="4"/>
      <c r="Y54" s="4"/>
      <c r="Z54" s="4"/>
    </row>
    <row r="55" spans="1:26" ht="15.75" customHeight="1" x14ac:dyDescent="0.25">
      <c r="A55" s="109">
        <v>6</v>
      </c>
      <c r="B55" s="397" t="s">
        <v>821</v>
      </c>
      <c r="C55" s="148" t="s">
        <v>26</v>
      </c>
      <c r="D55" s="148"/>
      <c r="E55" s="398" t="str">
        <f t="shared" si="8"/>
        <v/>
      </c>
      <c r="F55" s="398" t="str">
        <f t="shared" si="9"/>
        <v/>
      </c>
      <c r="G55" s="399" t="str">
        <f t="shared" si="10"/>
        <v>rumus</v>
      </c>
      <c r="H55" s="148" t="s">
        <v>26</v>
      </c>
      <c r="I55" s="420"/>
      <c r="J55" s="401" t="str">
        <f t="shared" si="11"/>
        <v>rumus</v>
      </c>
      <c r="L55" s="4"/>
      <c r="M55" s="4"/>
      <c r="N55" s="4"/>
      <c r="O55" s="4"/>
      <c r="P55" s="4"/>
      <c r="Q55" s="4"/>
      <c r="R55" s="4"/>
      <c r="S55" s="4"/>
      <c r="T55" s="4"/>
      <c r="U55" s="4"/>
      <c r="V55" s="4"/>
      <c r="W55" s="4"/>
      <c r="X55" s="4"/>
      <c r="Y55" s="4"/>
      <c r="Z55" s="4"/>
    </row>
    <row r="56" spans="1:26" ht="15.75" customHeight="1" x14ac:dyDescent="0.25">
      <c r="A56" s="109">
        <v>7</v>
      </c>
      <c r="B56" s="397" t="s">
        <v>821</v>
      </c>
      <c r="C56" s="148" t="s">
        <v>26</v>
      </c>
      <c r="D56" s="148"/>
      <c r="E56" s="398" t="str">
        <f t="shared" si="8"/>
        <v/>
      </c>
      <c r="F56" s="398" t="str">
        <f t="shared" si="9"/>
        <v/>
      </c>
      <c r="G56" s="399" t="str">
        <f t="shared" si="10"/>
        <v>rumus</v>
      </c>
      <c r="H56" s="148" t="s">
        <v>26</v>
      </c>
      <c r="I56" s="420"/>
      <c r="J56" s="401" t="str">
        <f t="shared" si="11"/>
        <v>rumus</v>
      </c>
      <c r="L56" s="4"/>
      <c r="M56" s="4"/>
      <c r="N56" s="4"/>
      <c r="O56" s="4"/>
      <c r="P56" s="4"/>
      <c r="Q56" s="4"/>
      <c r="R56" s="4"/>
      <c r="S56" s="4"/>
      <c r="T56" s="4"/>
      <c r="U56" s="4"/>
      <c r="V56" s="4"/>
      <c r="W56" s="4"/>
      <c r="X56" s="4"/>
      <c r="Y56" s="4"/>
      <c r="Z56" s="4"/>
    </row>
    <row r="57" spans="1:26" ht="15.75" customHeight="1" x14ac:dyDescent="0.25">
      <c r="A57" s="109">
        <v>8</v>
      </c>
      <c r="B57" s="397" t="s">
        <v>821</v>
      </c>
      <c r="C57" s="148" t="s">
        <v>26</v>
      </c>
      <c r="D57" s="148"/>
      <c r="E57" s="398" t="str">
        <f t="shared" si="8"/>
        <v/>
      </c>
      <c r="F57" s="398" t="str">
        <f t="shared" si="9"/>
        <v/>
      </c>
      <c r="G57" s="399" t="str">
        <f t="shared" si="10"/>
        <v>rumus</v>
      </c>
      <c r="H57" s="148" t="s">
        <v>26</v>
      </c>
      <c r="I57" s="420"/>
      <c r="J57" s="401" t="str">
        <f t="shared" si="11"/>
        <v>rumus</v>
      </c>
      <c r="L57" s="4"/>
      <c r="M57" s="4"/>
      <c r="N57" s="4"/>
      <c r="O57" s="4"/>
      <c r="P57" s="4"/>
      <c r="Q57" s="4"/>
      <c r="R57" s="4"/>
      <c r="S57" s="4"/>
      <c r="T57" s="4"/>
      <c r="U57" s="4"/>
      <c r="V57" s="4"/>
      <c r="W57" s="4"/>
      <c r="X57" s="4"/>
      <c r="Y57" s="4"/>
      <c r="Z57" s="4"/>
    </row>
    <row r="58" spans="1:26" ht="15.75" customHeight="1" x14ac:dyDescent="0.25">
      <c r="A58" s="109">
        <v>9</v>
      </c>
      <c r="B58" s="397" t="s">
        <v>821</v>
      </c>
      <c r="C58" s="148" t="s">
        <v>26</v>
      </c>
      <c r="D58" s="148"/>
      <c r="E58" s="398" t="str">
        <f t="shared" si="8"/>
        <v/>
      </c>
      <c r="F58" s="398" t="str">
        <f t="shared" si="9"/>
        <v/>
      </c>
      <c r="G58" s="399" t="str">
        <f t="shared" si="10"/>
        <v>rumus</v>
      </c>
      <c r="H58" s="148" t="s">
        <v>26</v>
      </c>
      <c r="I58" s="420"/>
      <c r="J58" s="401" t="str">
        <f t="shared" si="11"/>
        <v>rumus</v>
      </c>
      <c r="L58" s="4"/>
      <c r="M58" s="4"/>
      <c r="N58" s="4"/>
      <c r="O58" s="4"/>
      <c r="P58" s="4"/>
      <c r="Q58" s="4"/>
      <c r="R58" s="4"/>
      <c r="S58" s="4"/>
      <c r="T58" s="4"/>
      <c r="U58" s="4"/>
      <c r="V58" s="4"/>
      <c r="W58" s="4"/>
      <c r="X58" s="4"/>
      <c r="Y58" s="4"/>
      <c r="Z58" s="4"/>
    </row>
    <row r="59" spans="1:26" ht="15.75" customHeight="1" x14ac:dyDescent="0.25">
      <c r="A59" s="109">
        <v>10</v>
      </c>
      <c r="B59" s="397" t="s">
        <v>821</v>
      </c>
      <c r="C59" s="148" t="s">
        <v>26</v>
      </c>
      <c r="D59" s="148"/>
      <c r="E59" s="398" t="str">
        <f t="shared" si="8"/>
        <v/>
      </c>
      <c r="F59" s="398" t="str">
        <f t="shared" si="9"/>
        <v/>
      </c>
      <c r="G59" s="399" t="str">
        <f t="shared" si="10"/>
        <v>rumus</v>
      </c>
      <c r="H59" s="148" t="s">
        <v>26</v>
      </c>
      <c r="I59" s="420"/>
      <c r="J59" s="401" t="str">
        <f t="shared" si="11"/>
        <v>rumus</v>
      </c>
      <c r="L59" s="4"/>
      <c r="M59" s="4"/>
      <c r="N59" s="4"/>
      <c r="O59" s="4"/>
      <c r="P59" s="4"/>
      <c r="Q59" s="4"/>
      <c r="R59" s="4"/>
      <c r="S59" s="4"/>
      <c r="T59" s="4"/>
      <c r="U59" s="4"/>
      <c r="V59" s="4"/>
      <c r="W59" s="4"/>
      <c r="X59" s="4"/>
      <c r="Y59" s="4"/>
      <c r="Z59" s="4"/>
    </row>
    <row r="60" spans="1:26" ht="15.75" customHeight="1" x14ac:dyDescent="0.25">
      <c r="A60" s="128"/>
      <c r="B60" s="614" t="s">
        <v>304</v>
      </c>
      <c r="C60" s="615"/>
      <c r="D60" s="615"/>
      <c r="E60" s="615"/>
      <c r="F60" s="615"/>
      <c r="G60" s="107">
        <f>SUM(J50:J59)</f>
        <v>1</v>
      </c>
      <c r="H60" s="448"/>
      <c r="I60" s="4"/>
      <c r="J60" s="4"/>
      <c r="L60" s="4"/>
      <c r="M60" s="4"/>
      <c r="N60" s="4"/>
      <c r="O60" s="4"/>
      <c r="P60" s="4"/>
      <c r="Q60" s="4"/>
      <c r="R60" s="4"/>
      <c r="S60" s="4"/>
      <c r="T60" s="4"/>
      <c r="U60" s="4"/>
      <c r="V60" s="4"/>
      <c r="W60" s="4"/>
      <c r="X60" s="4"/>
      <c r="Y60" s="4"/>
      <c r="Z60" s="4"/>
    </row>
    <row r="61" spans="1:26" ht="15.75" customHeight="1" x14ac:dyDescent="0.25">
      <c r="A61" s="115" t="s">
        <v>73</v>
      </c>
      <c r="B61" s="412" t="s">
        <v>220</v>
      </c>
      <c r="C61" s="404"/>
      <c r="D61" s="404"/>
      <c r="E61" s="404"/>
      <c r="F61" s="404"/>
      <c r="G61" s="404"/>
      <c r="H61" s="405"/>
      <c r="I61" s="4"/>
      <c r="J61" s="4"/>
      <c r="L61" s="4"/>
      <c r="M61" s="4"/>
      <c r="N61" s="4"/>
      <c r="O61" s="4"/>
      <c r="P61" s="4"/>
      <c r="Q61" s="4"/>
      <c r="R61" s="4"/>
      <c r="S61" s="4"/>
      <c r="T61" s="4"/>
      <c r="U61" s="4"/>
      <c r="V61" s="4"/>
      <c r="W61" s="4"/>
      <c r="X61" s="4"/>
      <c r="Y61" s="4"/>
      <c r="Z61" s="4"/>
    </row>
    <row r="62" spans="1:26" ht="15.75" customHeight="1" x14ac:dyDescent="0.25">
      <c r="A62" s="109">
        <v>1</v>
      </c>
      <c r="B62" s="397" t="s">
        <v>821</v>
      </c>
      <c r="C62" s="148" t="s">
        <v>26</v>
      </c>
      <c r="D62" s="148"/>
      <c r="E62" s="398" t="str">
        <f t="shared" ref="E62:E71" si="12">IF(I62&lt;&gt;"",1,"")</f>
        <v/>
      </c>
      <c r="F62" s="398" t="str">
        <f t="shared" ref="F62:F71" si="13">IF(I62&lt;&gt;"",J62,"")</f>
        <v/>
      </c>
      <c r="G62" s="399" t="str">
        <f t="shared" ref="G62:G71" si="14">IF(J62&lt;&gt;"rumus","1 x "&amp;J62&amp;" = "&amp;J62,"rumus")</f>
        <v>rumus</v>
      </c>
      <c r="H62" s="148" t="s">
        <v>26</v>
      </c>
      <c r="I62" s="420"/>
      <c r="J62" s="401" t="str">
        <f t="shared" ref="J62:J71" si="15">IF(I62="Tiap kepanitiaan ",1,"rumus")</f>
        <v>rumus</v>
      </c>
      <c r="L62" s="4"/>
      <c r="M62" s="4"/>
      <c r="N62" s="4"/>
      <c r="O62" s="4"/>
      <c r="P62" s="4"/>
      <c r="Q62" s="4"/>
      <c r="R62" s="4"/>
      <c r="S62" s="4"/>
      <c r="T62" s="4"/>
      <c r="U62" s="4"/>
      <c r="V62" s="4"/>
      <c r="W62" s="4"/>
      <c r="X62" s="4"/>
      <c r="Y62" s="4"/>
      <c r="Z62" s="4"/>
    </row>
    <row r="63" spans="1:26" ht="15.75" customHeight="1" x14ac:dyDescent="0.25">
      <c r="A63" s="109">
        <v>2</v>
      </c>
      <c r="B63" s="397" t="s">
        <v>821</v>
      </c>
      <c r="C63" s="148" t="s">
        <v>26</v>
      </c>
      <c r="D63" s="148"/>
      <c r="E63" s="398" t="str">
        <f t="shared" si="12"/>
        <v/>
      </c>
      <c r="F63" s="398" t="str">
        <f t="shared" si="13"/>
        <v/>
      </c>
      <c r="G63" s="399" t="str">
        <f t="shared" si="14"/>
        <v>rumus</v>
      </c>
      <c r="H63" s="148" t="s">
        <v>26</v>
      </c>
      <c r="I63" s="420"/>
      <c r="J63" s="401" t="str">
        <f t="shared" si="15"/>
        <v>rumus</v>
      </c>
      <c r="L63" s="4"/>
      <c r="M63" s="4"/>
      <c r="N63" s="4"/>
      <c r="O63" s="4"/>
      <c r="P63" s="4"/>
      <c r="Q63" s="4"/>
      <c r="R63" s="4"/>
      <c r="S63" s="4"/>
      <c r="T63" s="4"/>
      <c r="U63" s="4"/>
      <c r="V63" s="4"/>
      <c r="W63" s="4"/>
      <c r="X63" s="4"/>
      <c r="Y63" s="4"/>
      <c r="Z63" s="4"/>
    </row>
    <row r="64" spans="1:26" ht="15.75" customHeight="1" x14ac:dyDescent="0.25">
      <c r="A64" s="109">
        <v>3</v>
      </c>
      <c r="B64" s="397" t="s">
        <v>821</v>
      </c>
      <c r="C64" s="148" t="s">
        <v>26</v>
      </c>
      <c r="D64" s="148"/>
      <c r="E64" s="398" t="str">
        <f t="shared" si="12"/>
        <v/>
      </c>
      <c r="F64" s="398" t="str">
        <f t="shared" si="13"/>
        <v/>
      </c>
      <c r="G64" s="399" t="str">
        <f t="shared" si="14"/>
        <v>rumus</v>
      </c>
      <c r="H64" s="148" t="s">
        <v>26</v>
      </c>
      <c r="I64" s="420"/>
      <c r="J64" s="401" t="str">
        <f t="shared" si="15"/>
        <v>rumus</v>
      </c>
      <c r="L64" s="4"/>
      <c r="M64" s="4"/>
      <c r="N64" s="4"/>
      <c r="O64" s="4"/>
      <c r="P64" s="4"/>
      <c r="Q64" s="4"/>
      <c r="R64" s="4"/>
      <c r="S64" s="4"/>
      <c r="T64" s="4"/>
      <c r="U64" s="4"/>
      <c r="V64" s="4"/>
      <c r="W64" s="4"/>
      <c r="X64" s="4"/>
      <c r="Y64" s="4"/>
      <c r="Z64" s="4"/>
    </row>
    <row r="65" spans="1:26" ht="15.75" customHeight="1" x14ac:dyDescent="0.25">
      <c r="A65" s="109">
        <v>4</v>
      </c>
      <c r="B65" s="397" t="s">
        <v>821</v>
      </c>
      <c r="C65" s="148" t="s">
        <v>26</v>
      </c>
      <c r="D65" s="148"/>
      <c r="E65" s="398" t="str">
        <f t="shared" si="12"/>
        <v/>
      </c>
      <c r="F65" s="398" t="str">
        <f t="shared" si="13"/>
        <v/>
      </c>
      <c r="G65" s="399" t="str">
        <f t="shared" si="14"/>
        <v>rumus</v>
      </c>
      <c r="H65" s="148" t="s">
        <v>26</v>
      </c>
      <c r="I65" s="420"/>
      <c r="J65" s="401" t="str">
        <f t="shared" si="15"/>
        <v>rumus</v>
      </c>
      <c r="L65" s="4"/>
      <c r="M65" s="4"/>
      <c r="N65" s="4"/>
      <c r="O65" s="4"/>
      <c r="P65" s="4"/>
      <c r="Q65" s="4"/>
      <c r="R65" s="4"/>
      <c r="S65" s="4"/>
      <c r="T65" s="4"/>
      <c r="U65" s="4"/>
      <c r="V65" s="4"/>
      <c r="W65" s="4"/>
      <c r="X65" s="4"/>
      <c r="Y65" s="4"/>
      <c r="Z65" s="4"/>
    </row>
    <row r="66" spans="1:26" ht="15.75" customHeight="1" x14ac:dyDescent="0.25">
      <c r="A66" s="109">
        <v>5</v>
      </c>
      <c r="B66" s="397" t="s">
        <v>821</v>
      </c>
      <c r="C66" s="148" t="s">
        <v>26</v>
      </c>
      <c r="D66" s="148"/>
      <c r="E66" s="398" t="str">
        <f t="shared" si="12"/>
        <v/>
      </c>
      <c r="F66" s="398" t="str">
        <f t="shared" si="13"/>
        <v/>
      </c>
      <c r="G66" s="399" t="str">
        <f t="shared" si="14"/>
        <v>rumus</v>
      </c>
      <c r="H66" s="148" t="s">
        <v>26</v>
      </c>
      <c r="I66" s="420"/>
      <c r="J66" s="401" t="str">
        <f t="shared" si="15"/>
        <v>rumus</v>
      </c>
      <c r="L66" s="4"/>
      <c r="M66" s="4"/>
      <c r="N66" s="4"/>
      <c r="O66" s="4"/>
      <c r="P66" s="4"/>
      <c r="Q66" s="4"/>
      <c r="R66" s="4"/>
      <c r="S66" s="4"/>
      <c r="T66" s="4"/>
      <c r="U66" s="4"/>
      <c r="V66" s="4"/>
      <c r="W66" s="4"/>
      <c r="X66" s="4"/>
      <c r="Y66" s="4"/>
      <c r="Z66" s="4"/>
    </row>
    <row r="67" spans="1:26" ht="15.75" customHeight="1" x14ac:dyDescent="0.25">
      <c r="A67" s="109">
        <v>6</v>
      </c>
      <c r="B67" s="397" t="s">
        <v>821</v>
      </c>
      <c r="C67" s="148" t="s">
        <v>26</v>
      </c>
      <c r="D67" s="148"/>
      <c r="E67" s="398" t="str">
        <f t="shared" si="12"/>
        <v/>
      </c>
      <c r="F67" s="398" t="str">
        <f t="shared" si="13"/>
        <v/>
      </c>
      <c r="G67" s="399" t="str">
        <f t="shared" si="14"/>
        <v>rumus</v>
      </c>
      <c r="H67" s="148" t="s">
        <v>26</v>
      </c>
      <c r="I67" s="420"/>
      <c r="J67" s="401" t="str">
        <f t="shared" si="15"/>
        <v>rumus</v>
      </c>
      <c r="L67" s="4"/>
      <c r="M67" s="4"/>
      <c r="N67" s="4"/>
      <c r="O67" s="4"/>
      <c r="P67" s="4"/>
      <c r="Q67" s="4"/>
      <c r="R67" s="4"/>
      <c r="S67" s="4"/>
      <c r="T67" s="4"/>
      <c r="U67" s="4"/>
      <c r="V67" s="4"/>
      <c r="W67" s="4"/>
      <c r="X67" s="4"/>
      <c r="Y67" s="4"/>
      <c r="Z67" s="4"/>
    </row>
    <row r="68" spans="1:26" ht="15.75" customHeight="1" x14ac:dyDescent="0.25">
      <c r="A68" s="109">
        <v>7</v>
      </c>
      <c r="B68" s="397" t="s">
        <v>821</v>
      </c>
      <c r="C68" s="148" t="s">
        <v>26</v>
      </c>
      <c r="D68" s="148"/>
      <c r="E68" s="398" t="str">
        <f t="shared" si="12"/>
        <v/>
      </c>
      <c r="F68" s="398" t="str">
        <f t="shared" si="13"/>
        <v/>
      </c>
      <c r="G68" s="399" t="str">
        <f t="shared" si="14"/>
        <v>rumus</v>
      </c>
      <c r="H68" s="148" t="s">
        <v>26</v>
      </c>
      <c r="I68" s="420"/>
      <c r="J68" s="401" t="str">
        <f t="shared" si="15"/>
        <v>rumus</v>
      </c>
      <c r="L68" s="4"/>
      <c r="M68" s="4"/>
      <c r="N68" s="4"/>
      <c r="O68" s="4"/>
      <c r="P68" s="4"/>
      <c r="Q68" s="4"/>
      <c r="R68" s="4"/>
      <c r="S68" s="4"/>
      <c r="T68" s="4"/>
      <c r="U68" s="4"/>
      <c r="V68" s="4"/>
      <c r="W68" s="4"/>
      <c r="X68" s="4"/>
      <c r="Y68" s="4"/>
      <c r="Z68" s="4"/>
    </row>
    <row r="69" spans="1:26" ht="15.75" customHeight="1" x14ac:dyDescent="0.25">
      <c r="A69" s="109">
        <v>8</v>
      </c>
      <c r="B69" s="397" t="s">
        <v>821</v>
      </c>
      <c r="C69" s="148" t="s">
        <v>26</v>
      </c>
      <c r="D69" s="148"/>
      <c r="E69" s="398" t="str">
        <f t="shared" si="12"/>
        <v/>
      </c>
      <c r="F69" s="398" t="str">
        <f t="shared" si="13"/>
        <v/>
      </c>
      <c r="G69" s="399" t="str">
        <f t="shared" si="14"/>
        <v>rumus</v>
      </c>
      <c r="H69" s="148" t="s">
        <v>26</v>
      </c>
      <c r="I69" s="420"/>
      <c r="J69" s="401" t="str">
        <f t="shared" si="15"/>
        <v>rumus</v>
      </c>
      <c r="L69" s="4"/>
      <c r="M69" s="4"/>
      <c r="N69" s="4"/>
      <c r="O69" s="4"/>
      <c r="P69" s="4"/>
      <c r="Q69" s="4"/>
      <c r="R69" s="4"/>
      <c r="S69" s="4"/>
      <c r="T69" s="4"/>
      <c r="U69" s="4"/>
      <c r="V69" s="4"/>
      <c r="W69" s="4"/>
      <c r="X69" s="4"/>
      <c r="Y69" s="4"/>
      <c r="Z69" s="4"/>
    </row>
    <row r="70" spans="1:26" ht="15.75" customHeight="1" x14ac:dyDescent="0.25">
      <c r="A70" s="109">
        <v>9</v>
      </c>
      <c r="B70" s="397" t="s">
        <v>821</v>
      </c>
      <c r="C70" s="148" t="s">
        <v>26</v>
      </c>
      <c r="D70" s="148"/>
      <c r="E70" s="398" t="str">
        <f t="shared" si="12"/>
        <v/>
      </c>
      <c r="F70" s="398" t="str">
        <f t="shared" si="13"/>
        <v/>
      </c>
      <c r="G70" s="399" t="str">
        <f t="shared" si="14"/>
        <v>rumus</v>
      </c>
      <c r="H70" s="148" t="s">
        <v>26</v>
      </c>
      <c r="I70" s="420"/>
      <c r="J70" s="401" t="str">
        <f t="shared" si="15"/>
        <v>rumus</v>
      </c>
      <c r="L70" s="4"/>
      <c r="M70" s="4"/>
      <c r="N70" s="4"/>
      <c r="O70" s="4"/>
      <c r="P70" s="4"/>
      <c r="Q70" s="4"/>
      <c r="R70" s="4"/>
      <c r="S70" s="4"/>
      <c r="T70" s="4"/>
      <c r="U70" s="4"/>
      <c r="V70" s="4"/>
      <c r="W70" s="4"/>
      <c r="X70" s="4"/>
      <c r="Y70" s="4"/>
      <c r="Z70" s="4"/>
    </row>
    <row r="71" spans="1:26" ht="15.75" customHeight="1" x14ac:dyDescent="0.25">
      <c r="A71" s="109">
        <v>10</v>
      </c>
      <c r="B71" s="397" t="s">
        <v>821</v>
      </c>
      <c r="C71" s="148" t="s">
        <v>26</v>
      </c>
      <c r="D71" s="148"/>
      <c r="E71" s="398" t="str">
        <f t="shared" si="12"/>
        <v/>
      </c>
      <c r="F71" s="398" t="str">
        <f t="shared" si="13"/>
        <v/>
      </c>
      <c r="G71" s="399" t="str">
        <f t="shared" si="14"/>
        <v>rumus</v>
      </c>
      <c r="H71" s="148" t="s">
        <v>26</v>
      </c>
      <c r="I71" s="420"/>
      <c r="J71" s="401" t="str">
        <f t="shared" si="15"/>
        <v>rumus</v>
      </c>
      <c r="L71" s="4"/>
      <c r="M71" s="4"/>
      <c r="N71" s="4"/>
      <c r="O71" s="4"/>
      <c r="P71" s="4"/>
      <c r="Q71" s="4"/>
      <c r="R71" s="4"/>
      <c r="S71" s="4"/>
      <c r="T71" s="4"/>
      <c r="U71" s="4"/>
      <c r="V71" s="4"/>
      <c r="W71" s="4"/>
      <c r="X71" s="4"/>
      <c r="Y71" s="4"/>
      <c r="Z71" s="4"/>
    </row>
    <row r="72" spans="1:26" ht="15.75" customHeight="1" x14ac:dyDescent="0.25">
      <c r="A72" s="128"/>
      <c r="B72" s="614" t="s">
        <v>304</v>
      </c>
      <c r="C72" s="615"/>
      <c r="D72" s="615"/>
      <c r="E72" s="615"/>
      <c r="F72" s="615"/>
      <c r="G72" s="107">
        <f>SUM(J62:J71)</f>
        <v>0</v>
      </c>
      <c r="H72" s="448"/>
      <c r="I72" s="4"/>
      <c r="J72" s="4"/>
      <c r="K72" s="4"/>
      <c r="L72" s="4"/>
      <c r="M72" s="4"/>
      <c r="N72" s="4"/>
      <c r="O72" s="4"/>
      <c r="P72" s="4"/>
      <c r="Q72" s="4"/>
      <c r="R72" s="4"/>
      <c r="S72" s="4"/>
      <c r="T72" s="4"/>
      <c r="U72" s="4"/>
      <c r="V72" s="4"/>
      <c r="W72" s="4"/>
      <c r="X72" s="4"/>
      <c r="Y72" s="4"/>
      <c r="Z72" s="4"/>
    </row>
    <row r="73" spans="1:26" ht="15.75" customHeight="1" x14ac:dyDescent="0.25">
      <c r="A73" s="115" t="s">
        <v>85</v>
      </c>
      <c r="B73" s="412" t="s">
        <v>1158</v>
      </c>
      <c r="C73" s="404"/>
      <c r="D73" s="404"/>
      <c r="E73" s="404"/>
      <c r="F73" s="404"/>
      <c r="G73" s="404"/>
      <c r="H73" s="405"/>
      <c r="I73" s="4"/>
      <c r="J73" s="4"/>
      <c r="K73" s="4"/>
      <c r="L73" s="4"/>
      <c r="M73" s="4"/>
      <c r="N73" s="4"/>
      <c r="O73" s="4"/>
      <c r="P73" s="4"/>
      <c r="Q73" s="4"/>
      <c r="R73" s="4"/>
      <c r="S73" s="4"/>
      <c r="T73" s="4"/>
      <c r="U73" s="4"/>
      <c r="V73" s="4"/>
      <c r="W73" s="4"/>
      <c r="X73" s="4"/>
      <c r="Y73" s="4"/>
      <c r="Z73" s="4"/>
    </row>
    <row r="74" spans="1:26" ht="15.75" customHeight="1" x14ac:dyDescent="0.25">
      <c r="A74" s="109">
        <v>1</v>
      </c>
      <c r="B74" s="397" t="s">
        <v>821</v>
      </c>
      <c r="C74" s="148" t="s">
        <v>26</v>
      </c>
      <c r="D74" s="148"/>
      <c r="E74" s="398" t="str">
        <f t="shared" ref="E74:E83" si="16">IF(I74&lt;&gt;"",1,"")</f>
        <v/>
      </c>
      <c r="F74" s="398" t="str">
        <f t="shared" ref="F74:F83" si="17">IF(I74&lt;&gt;"",J74,"")</f>
        <v/>
      </c>
      <c r="G74" s="399" t="str">
        <f t="shared" ref="G74:G83" si="18">IF(J74&lt;&gt;"rumus","1 x "&amp;J74&amp;" = "&amp;J74,"rumus")</f>
        <v>rumus</v>
      </c>
      <c r="H74" s="148" t="s">
        <v>26</v>
      </c>
      <c r="I74" s="420"/>
      <c r="J74" s="401" t="str">
        <f t="shared" ref="J74:J83" si="19">IF(I74&lt;&gt;"",IF(I74="a. Sebagai ketua delegasi",3,IF(I74="b. Sebagai anggota",2,"")),"rumus")</f>
        <v>rumus</v>
      </c>
      <c r="K74" s="4"/>
      <c r="L74" s="4"/>
      <c r="M74" s="4"/>
      <c r="N74" s="4"/>
      <c r="O74" s="4"/>
      <c r="P74" s="4"/>
      <c r="Q74" s="4"/>
      <c r="R74" s="4"/>
      <c r="S74" s="4"/>
      <c r="T74" s="4"/>
      <c r="U74" s="4"/>
      <c r="V74" s="4"/>
      <c r="W74" s="4"/>
      <c r="X74" s="4"/>
      <c r="Y74" s="4"/>
      <c r="Z74" s="4"/>
    </row>
    <row r="75" spans="1:26" ht="15.75" customHeight="1" x14ac:dyDescent="0.25">
      <c r="A75" s="109">
        <v>2</v>
      </c>
      <c r="B75" s="397" t="s">
        <v>821</v>
      </c>
      <c r="C75" s="148" t="s">
        <v>26</v>
      </c>
      <c r="D75" s="148"/>
      <c r="E75" s="398" t="str">
        <f t="shared" si="16"/>
        <v/>
      </c>
      <c r="F75" s="398" t="str">
        <f t="shared" si="17"/>
        <v/>
      </c>
      <c r="G75" s="399" t="str">
        <f t="shared" si="18"/>
        <v>rumus</v>
      </c>
      <c r="H75" s="148" t="s">
        <v>26</v>
      </c>
      <c r="I75" s="420"/>
      <c r="J75" s="401" t="str">
        <f t="shared" si="19"/>
        <v>rumus</v>
      </c>
      <c r="K75" s="4"/>
      <c r="L75" s="4"/>
      <c r="M75" s="4"/>
      <c r="N75" s="4"/>
      <c r="O75" s="4"/>
      <c r="P75" s="4"/>
      <c r="Q75" s="4"/>
      <c r="R75" s="4"/>
      <c r="S75" s="4"/>
      <c r="T75" s="4"/>
      <c r="U75" s="4"/>
      <c r="V75" s="4"/>
      <c r="W75" s="4"/>
      <c r="X75" s="4"/>
      <c r="Y75" s="4"/>
      <c r="Z75" s="4"/>
    </row>
    <row r="76" spans="1:26" ht="15.75" customHeight="1" x14ac:dyDescent="0.25">
      <c r="A76" s="109">
        <v>3</v>
      </c>
      <c r="B76" s="397" t="s">
        <v>821</v>
      </c>
      <c r="C76" s="148" t="s">
        <v>26</v>
      </c>
      <c r="D76" s="148"/>
      <c r="E76" s="398" t="str">
        <f t="shared" si="16"/>
        <v/>
      </c>
      <c r="F76" s="398" t="str">
        <f t="shared" si="17"/>
        <v/>
      </c>
      <c r="G76" s="399" t="str">
        <f t="shared" si="18"/>
        <v>rumus</v>
      </c>
      <c r="H76" s="148" t="s">
        <v>26</v>
      </c>
      <c r="I76" s="420"/>
      <c r="J76" s="401" t="str">
        <f t="shared" si="19"/>
        <v>rumus</v>
      </c>
      <c r="K76" s="4"/>
      <c r="L76" s="4"/>
      <c r="M76" s="4"/>
      <c r="N76" s="4"/>
      <c r="O76" s="4"/>
      <c r="P76" s="4"/>
      <c r="Q76" s="4"/>
      <c r="R76" s="4"/>
      <c r="S76" s="4"/>
      <c r="T76" s="4"/>
      <c r="U76" s="4"/>
      <c r="V76" s="4"/>
      <c r="W76" s="4"/>
      <c r="X76" s="4"/>
      <c r="Y76" s="4"/>
      <c r="Z76" s="4"/>
    </row>
    <row r="77" spans="1:26" ht="15.75" customHeight="1" x14ac:dyDescent="0.25">
      <c r="A77" s="109">
        <v>4</v>
      </c>
      <c r="B77" s="397" t="s">
        <v>821</v>
      </c>
      <c r="C77" s="148" t="s">
        <v>26</v>
      </c>
      <c r="D77" s="148"/>
      <c r="E77" s="398" t="str">
        <f t="shared" si="16"/>
        <v/>
      </c>
      <c r="F77" s="398" t="str">
        <f t="shared" si="17"/>
        <v/>
      </c>
      <c r="G77" s="399" t="str">
        <f t="shared" si="18"/>
        <v>rumus</v>
      </c>
      <c r="H77" s="148" t="s">
        <v>26</v>
      </c>
      <c r="I77" s="420"/>
      <c r="J77" s="401" t="str">
        <f t="shared" si="19"/>
        <v>rumus</v>
      </c>
      <c r="K77" s="4"/>
      <c r="L77" s="4"/>
      <c r="M77" s="4"/>
      <c r="N77" s="4"/>
      <c r="O77" s="4"/>
      <c r="P77" s="4"/>
      <c r="Q77" s="4"/>
      <c r="R77" s="4"/>
      <c r="S77" s="4"/>
      <c r="T77" s="4"/>
      <c r="U77" s="4"/>
      <c r="V77" s="4"/>
      <c r="W77" s="4"/>
      <c r="X77" s="4"/>
      <c r="Y77" s="4"/>
      <c r="Z77" s="4"/>
    </row>
    <row r="78" spans="1:26" ht="15.75" customHeight="1" x14ac:dyDescent="0.25">
      <c r="A78" s="109">
        <v>5</v>
      </c>
      <c r="B78" s="397" t="s">
        <v>821</v>
      </c>
      <c r="C78" s="148" t="s">
        <v>26</v>
      </c>
      <c r="D78" s="148"/>
      <c r="E78" s="398" t="str">
        <f t="shared" si="16"/>
        <v/>
      </c>
      <c r="F78" s="398" t="str">
        <f t="shared" si="17"/>
        <v/>
      </c>
      <c r="G78" s="399" t="str">
        <f t="shared" si="18"/>
        <v>rumus</v>
      </c>
      <c r="H78" s="148" t="s">
        <v>26</v>
      </c>
      <c r="I78" s="420"/>
      <c r="J78" s="401" t="str">
        <f t="shared" si="19"/>
        <v>rumus</v>
      </c>
      <c r="K78" s="4"/>
      <c r="L78" s="4"/>
      <c r="M78" s="4"/>
      <c r="N78" s="4"/>
      <c r="O78" s="4"/>
      <c r="P78" s="4"/>
      <c r="Q78" s="4"/>
      <c r="R78" s="4"/>
      <c r="S78" s="4"/>
      <c r="T78" s="4"/>
      <c r="U78" s="4"/>
      <c r="V78" s="4"/>
      <c r="W78" s="4"/>
      <c r="X78" s="4"/>
      <c r="Y78" s="4"/>
      <c r="Z78" s="4"/>
    </row>
    <row r="79" spans="1:26" ht="15.75" customHeight="1" x14ac:dyDescent="0.25">
      <c r="A79" s="109">
        <v>6</v>
      </c>
      <c r="B79" s="397" t="s">
        <v>821</v>
      </c>
      <c r="C79" s="148" t="s">
        <v>26</v>
      </c>
      <c r="D79" s="148"/>
      <c r="E79" s="398" t="str">
        <f t="shared" si="16"/>
        <v/>
      </c>
      <c r="F79" s="398" t="str">
        <f t="shared" si="17"/>
        <v/>
      </c>
      <c r="G79" s="399" t="str">
        <f t="shared" si="18"/>
        <v>rumus</v>
      </c>
      <c r="H79" s="148" t="s">
        <v>26</v>
      </c>
      <c r="I79" s="420"/>
      <c r="J79" s="401" t="str">
        <f t="shared" si="19"/>
        <v>rumus</v>
      </c>
      <c r="K79" s="4"/>
      <c r="L79" s="4"/>
      <c r="M79" s="4"/>
      <c r="N79" s="4"/>
      <c r="O79" s="4"/>
      <c r="P79" s="4"/>
      <c r="Q79" s="4"/>
      <c r="R79" s="4"/>
      <c r="S79" s="4"/>
      <c r="T79" s="4"/>
      <c r="U79" s="4"/>
      <c r="V79" s="4"/>
      <c r="W79" s="4"/>
      <c r="X79" s="4"/>
      <c r="Y79" s="4"/>
      <c r="Z79" s="4"/>
    </row>
    <row r="80" spans="1:26" ht="15.75" customHeight="1" x14ac:dyDescent="0.25">
      <c r="A80" s="109">
        <v>7</v>
      </c>
      <c r="B80" s="397" t="s">
        <v>821</v>
      </c>
      <c r="C80" s="148" t="s">
        <v>26</v>
      </c>
      <c r="D80" s="148"/>
      <c r="E80" s="398" t="str">
        <f t="shared" si="16"/>
        <v/>
      </c>
      <c r="F80" s="398" t="str">
        <f t="shared" si="17"/>
        <v/>
      </c>
      <c r="G80" s="399" t="str">
        <f t="shared" si="18"/>
        <v>rumus</v>
      </c>
      <c r="H80" s="148" t="s">
        <v>26</v>
      </c>
      <c r="I80" s="420"/>
      <c r="J80" s="401" t="str">
        <f t="shared" si="19"/>
        <v>rumus</v>
      </c>
      <c r="K80" s="4"/>
      <c r="L80" s="4"/>
      <c r="M80" s="4"/>
      <c r="N80" s="4"/>
      <c r="O80" s="4"/>
      <c r="P80" s="4"/>
      <c r="Q80" s="4"/>
      <c r="R80" s="4"/>
      <c r="S80" s="4"/>
      <c r="T80" s="4"/>
      <c r="U80" s="4"/>
      <c r="V80" s="4"/>
      <c r="W80" s="4"/>
      <c r="X80" s="4"/>
      <c r="Y80" s="4"/>
      <c r="Z80" s="4"/>
    </row>
    <row r="81" spans="1:26" ht="15.75" customHeight="1" x14ac:dyDescent="0.25">
      <c r="A81" s="109">
        <v>8</v>
      </c>
      <c r="B81" s="397" t="s">
        <v>821</v>
      </c>
      <c r="C81" s="148" t="s">
        <v>26</v>
      </c>
      <c r="D81" s="148"/>
      <c r="E81" s="398" t="str">
        <f t="shared" si="16"/>
        <v/>
      </c>
      <c r="F81" s="398" t="str">
        <f t="shared" si="17"/>
        <v/>
      </c>
      <c r="G81" s="399" t="str">
        <f t="shared" si="18"/>
        <v>rumus</v>
      </c>
      <c r="H81" s="148" t="s">
        <v>26</v>
      </c>
      <c r="I81" s="420"/>
      <c r="J81" s="401" t="str">
        <f t="shared" si="19"/>
        <v>rumus</v>
      </c>
      <c r="K81" s="4"/>
      <c r="L81" s="4"/>
      <c r="M81" s="4"/>
      <c r="N81" s="4"/>
      <c r="O81" s="4"/>
      <c r="P81" s="4"/>
      <c r="Q81" s="4"/>
      <c r="R81" s="4"/>
      <c r="S81" s="4"/>
      <c r="T81" s="4"/>
      <c r="U81" s="4"/>
      <c r="V81" s="4"/>
      <c r="W81" s="4"/>
      <c r="X81" s="4"/>
      <c r="Y81" s="4"/>
      <c r="Z81" s="4"/>
    </row>
    <row r="82" spans="1:26" ht="15.75" customHeight="1" x14ac:dyDescent="0.25">
      <c r="A82" s="109">
        <v>9</v>
      </c>
      <c r="B82" s="397" t="s">
        <v>821</v>
      </c>
      <c r="C82" s="148" t="s">
        <v>26</v>
      </c>
      <c r="D82" s="148"/>
      <c r="E82" s="398" t="str">
        <f t="shared" si="16"/>
        <v/>
      </c>
      <c r="F82" s="398" t="str">
        <f t="shared" si="17"/>
        <v/>
      </c>
      <c r="G82" s="399" t="str">
        <f t="shared" si="18"/>
        <v>rumus</v>
      </c>
      <c r="H82" s="148" t="s">
        <v>26</v>
      </c>
      <c r="I82" s="420"/>
      <c r="J82" s="401" t="str">
        <f t="shared" si="19"/>
        <v>rumus</v>
      </c>
      <c r="K82" s="4"/>
      <c r="L82" s="4"/>
      <c r="M82" s="4"/>
      <c r="N82" s="4"/>
      <c r="O82" s="4"/>
      <c r="P82" s="4"/>
      <c r="Q82" s="4"/>
      <c r="R82" s="4"/>
      <c r="S82" s="4"/>
      <c r="T82" s="4"/>
      <c r="U82" s="4"/>
      <c r="V82" s="4"/>
      <c r="W82" s="4"/>
      <c r="X82" s="4"/>
      <c r="Y82" s="4"/>
      <c r="Z82" s="4"/>
    </row>
    <row r="83" spans="1:26" ht="15.75" customHeight="1" x14ac:dyDescent="0.25">
      <c r="A83" s="109">
        <v>10</v>
      </c>
      <c r="B83" s="397" t="s">
        <v>821</v>
      </c>
      <c r="C83" s="148" t="s">
        <v>26</v>
      </c>
      <c r="D83" s="148"/>
      <c r="E83" s="398" t="str">
        <f t="shared" si="16"/>
        <v/>
      </c>
      <c r="F83" s="398" t="str">
        <f t="shared" si="17"/>
        <v/>
      </c>
      <c r="G83" s="399" t="str">
        <f t="shared" si="18"/>
        <v>rumus</v>
      </c>
      <c r="H83" s="148" t="s">
        <v>26</v>
      </c>
      <c r="I83" s="420"/>
      <c r="J83" s="401" t="str">
        <f t="shared" si="19"/>
        <v>rumus</v>
      </c>
      <c r="K83" s="4"/>
      <c r="L83" s="4"/>
      <c r="M83" s="4"/>
      <c r="N83" s="4"/>
      <c r="O83" s="4"/>
      <c r="P83" s="4"/>
      <c r="Q83" s="4"/>
      <c r="R83" s="4"/>
      <c r="S83" s="4"/>
      <c r="T83" s="4"/>
      <c r="U83" s="4"/>
      <c r="V83" s="4"/>
      <c r="W83" s="4"/>
      <c r="X83" s="4"/>
      <c r="Y83" s="4"/>
      <c r="Z83" s="4"/>
    </row>
    <row r="84" spans="1:26" ht="15.75" customHeight="1" x14ac:dyDescent="0.25">
      <c r="A84" s="128"/>
      <c r="B84" s="614" t="s">
        <v>304</v>
      </c>
      <c r="C84" s="615"/>
      <c r="D84" s="615"/>
      <c r="E84" s="615"/>
      <c r="F84" s="615"/>
      <c r="G84" s="107">
        <f>SUM(J74:J83)</f>
        <v>0</v>
      </c>
      <c r="H84" s="448"/>
      <c r="I84" s="4"/>
      <c r="J84" s="4"/>
      <c r="K84" s="4"/>
      <c r="L84" s="4"/>
      <c r="M84" s="4"/>
      <c r="N84" s="4"/>
      <c r="O84" s="4"/>
      <c r="P84" s="4"/>
      <c r="Q84" s="4"/>
      <c r="R84" s="4"/>
      <c r="S84" s="4"/>
      <c r="T84" s="4"/>
      <c r="U84" s="4"/>
      <c r="V84" s="4"/>
      <c r="W84" s="4"/>
      <c r="X84" s="4"/>
      <c r="Y84" s="4"/>
      <c r="Z84" s="4"/>
    </row>
    <row r="85" spans="1:26" ht="15.75" customHeight="1" x14ac:dyDescent="0.25">
      <c r="A85" s="115" t="s">
        <v>89</v>
      </c>
      <c r="B85" s="412" t="s">
        <v>1159</v>
      </c>
      <c r="C85" s="404"/>
      <c r="D85" s="404"/>
      <c r="E85" s="404"/>
      <c r="F85" s="404"/>
      <c r="G85" s="404"/>
      <c r="H85" s="405"/>
      <c r="I85" s="4"/>
      <c r="J85" s="4"/>
      <c r="K85" s="4"/>
      <c r="L85" s="4"/>
      <c r="M85" s="4"/>
      <c r="N85" s="4"/>
      <c r="O85" s="4"/>
      <c r="P85" s="4"/>
      <c r="Q85" s="4"/>
      <c r="R85" s="4"/>
      <c r="S85" s="4"/>
      <c r="T85" s="4"/>
      <c r="U85" s="4"/>
      <c r="V85" s="4"/>
      <c r="W85" s="4"/>
      <c r="X85" s="4"/>
      <c r="Y85" s="4"/>
      <c r="Z85" s="4"/>
    </row>
    <row r="86" spans="1:26" ht="15.75" customHeight="1" x14ac:dyDescent="0.25">
      <c r="A86" s="109">
        <v>1</v>
      </c>
      <c r="B86" s="397" t="s">
        <v>821</v>
      </c>
      <c r="C86" s="148" t="s">
        <v>26</v>
      </c>
      <c r="D86" s="148"/>
      <c r="E86" s="398" t="str">
        <f t="shared" ref="E86:E95" si="20">IF(I86&lt;&gt;"",1,"")</f>
        <v/>
      </c>
      <c r="F86" s="398" t="str">
        <f t="shared" ref="F86:F95" si="21">IF(I86&lt;&gt;"",J86,"")</f>
        <v/>
      </c>
      <c r="G86" s="399" t="str">
        <f t="shared" ref="G86:G95" si="22">IF(J86&lt;&gt;"rumus","1 x "&amp;J86&amp;" = "&amp;J86,"rumus")</f>
        <v>rumus</v>
      </c>
      <c r="H86" s="148" t="s">
        <v>26</v>
      </c>
      <c r="I86" s="420"/>
      <c r="J86" s="401" t="str">
        <f t="shared" ref="J86:J95" si="23">IF(I86&lt;&gt;"",IF(I86="Editor/dewan penyunting/dewan redaksi jurnal ilmiah internasional",4,IF(I86="Editor/dewan penyunting/dewan redaksi jurnal ilmiah nasional",2,"")),"rumus")</f>
        <v>rumus</v>
      </c>
      <c r="K86" s="2"/>
      <c r="L86" s="4"/>
      <c r="M86" s="4"/>
      <c r="N86" s="4"/>
      <c r="O86" s="4"/>
      <c r="P86" s="4"/>
      <c r="Q86" s="4"/>
      <c r="R86" s="4"/>
      <c r="S86" s="4"/>
      <c r="T86" s="4"/>
      <c r="U86" s="4"/>
      <c r="V86" s="4"/>
      <c r="W86" s="4"/>
      <c r="X86" s="4"/>
      <c r="Y86" s="4"/>
      <c r="Z86" s="4"/>
    </row>
    <row r="87" spans="1:26" ht="15" customHeight="1" x14ac:dyDescent="0.25">
      <c r="A87" s="109">
        <v>2</v>
      </c>
      <c r="B87" s="397" t="s">
        <v>821</v>
      </c>
      <c r="C87" s="148" t="s">
        <v>26</v>
      </c>
      <c r="D87" s="148"/>
      <c r="E87" s="398" t="str">
        <f t="shared" si="20"/>
        <v/>
      </c>
      <c r="F87" s="398" t="str">
        <f t="shared" si="21"/>
        <v/>
      </c>
      <c r="G87" s="399" t="str">
        <f t="shared" si="22"/>
        <v>rumus</v>
      </c>
      <c r="H87" s="148" t="s">
        <v>26</v>
      </c>
      <c r="I87" s="420"/>
      <c r="J87" s="401" t="str">
        <f t="shared" si="23"/>
        <v>rumus</v>
      </c>
      <c r="K87" s="2"/>
      <c r="L87" s="4"/>
      <c r="M87" s="4"/>
      <c r="N87" s="4"/>
      <c r="O87" s="4"/>
      <c r="P87" s="4"/>
      <c r="Q87" s="4"/>
      <c r="R87" s="4"/>
      <c r="S87" s="4"/>
      <c r="T87" s="4"/>
      <c r="U87" s="4"/>
      <c r="V87" s="4"/>
      <c r="W87" s="4"/>
      <c r="X87" s="4"/>
      <c r="Y87" s="4"/>
      <c r="Z87" s="4"/>
    </row>
    <row r="88" spans="1:26" ht="15" customHeight="1" x14ac:dyDescent="0.25">
      <c r="A88" s="109">
        <v>3</v>
      </c>
      <c r="B88" s="397" t="s">
        <v>821</v>
      </c>
      <c r="C88" s="148" t="s">
        <v>26</v>
      </c>
      <c r="D88" s="148"/>
      <c r="E88" s="398" t="str">
        <f t="shared" si="20"/>
        <v/>
      </c>
      <c r="F88" s="398" t="str">
        <f t="shared" si="21"/>
        <v/>
      </c>
      <c r="G88" s="399" t="str">
        <f t="shared" si="22"/>
        <v>rumus</v>
      </c>
      <c r="H88" s="148" t="s">
        <v>26</v>
      </c>
      <c r="I88" s="420"/>
      <c r="J88" s="401" t="str">
        <f t="shared" si="23"/>
        <v>rumus</v>
      </c>
      <c r="K88" s="4"/>
      <c r="L88" s="4"/>
      <c r="M88" s="4"/>
      <c r="N88" s="4"/>
      <c r="O88" s="4"/>
      <c r="P88" s="4"/>
      <c r="Q88" s="4"/>
      <c r="R88" s="4"/>
      <c r="S88" s="4"/>
      <c r="T88" s="4"/>
      <c r="U88" s="4"/>
      <c r="V88" s="4"/>
      <c r="W88" s="4"/>
      <c r="X88" s="4"/>
      <c r="Y88" s="4"/>
      <c r="Z88" s="4"/>
    </row>
    <row r="89" spans="1:26" ht="15" customHeight="1" x14ac:dyDescent="0.25">
      <c r="A89" s="109">
        <v>4</v>
      </c>
      <c r="B89" s="397" t="s">
        <v>821</v>
      </c>
      <c r="C89" s="148" t="s">
        <v>26</v>
      </c>
      <c r="D89" s="148"/>
      <c r="E89" s="398" t="str">
        <f t="shared" si="20"/>
        <v/>
      </c>
      <c r="F89" s="398" t="str">
        <f t="shared" si="21"/>
        <v/>
      </c>
      <c r="G89" s="399" t="str">
        <f t="shared" si="22"/>
        <v>rumus</v>
      </c>
      <c r="H89" s="148" t="s">
        <v>26</v>
      </c>
      <c r="I89" s="420"/>
      <c r="J89" s="401" t="str">
        <f t="shared" si="23"/>
        <v>rumus</v>
      </c>
      <c r="K89" s="4"/>
      <c r="L89" s="4"/>
      <c r="M89" s="4"/>
      <c r="N89" s="4"/>
      <c r="O89" s="4"/>
      <c r="P89" s="4"/>
      <c r="Q89" s="4"/>
      <c r="R89" s="4"/>
      <c r="S89" s="4"/>
      <c r="T89" s="4"/>
      <c r="U89" s="4"/>
      <c r="V89" s="4"/>
      <c r="W89" s="4"/>
      <c r="X89" s="4"/>
      <c r="Y89" s="4"/>
      <c r="Z89" s="4"/>
    </row>
    <row r="90" spans="1:26" ht="15" customHeight="1" x14ac:dyDescent="0.25">
      <c r="A90" s="109">
        <v>5</v>
      </c>
      <c r="B90" s="397" t="s">
        <v>821</v>
      </c>
      <c r="C90" s="148" t="s">
        <v>26</v>
      </c>
      <c r="D90" s="148"/>
      <c r="E90" s="398" t="str">
        <f t="shared" si="20"/>
        <v/>
      </c>
      <c r="F90" s="398" t="str">
        <f t="shared" si="21"/>
        <v/>
      </c>
      <c r="G90" s="399" t="str">
        <f t="shared" si="22"/>
        <v>rumus</v>
      </c>
      <c r="H90" s="148" t="s">
        <v>26</v>
      </c>
      <c r="I90" s="420"/>
      <c r="J90" s="401" t="str">
        <f t="shared" si="23"/>
        <v>rumus</v>
      </c>
      <c r="K90" s="4"/>
      <c r="L90" s="4"/>
      <c r="M90" s="4"/>
      <c r="N90" s="4"/>
      <c r="O90" s="4"/>
      <c r="P90" s="4"/>
      <c r="Q90" s="4"/>
      <c r="R90" s="4"/>
      <c r="S90" s="4"/>
      <c r="T90" s="4"/>
      <c r="U90" s="4"/>
      <c r="V90" s="4"/>
      <c r="W90" s="4"/>
      <c r="X90" s="4"/>
      <c r="Y90" s="4"/>
      <c r="Z90" s="4"/>
    </row>
    <row r="91" spans="1:26" ht="15" customHeight="1" x14ac:dyDescent="0.25">
      <c r="A91" s="109">
        <v>6</v>
      </c>
      <c r="B91" s="397" t="s">
        <v>821</v>
      </c>
      <c r="C91" s="148" t="s">
        <v>26</v>
      </c>
      <c r="D91" s="148"/>
      <c r="E91" s="398" t="str">
        <f t="shared" si="20"/>
        <v/>
      </c>
      <c r="F91" s="398" t="str">
        <f t="shared" si="21"/>
        <v/>
      </c>
      <c r="G91" s="399" t="str">
        <f t="shared" si="22"/>
        <v>rumus</v>
      </c>
      <c r="H91" s="148" t="s">
        <v>26</v>
      </c>
      <c r="I91" s="420"/>
      <c r="J91" s="401" t="str">
        <f t="shared" si="23"/>
        <v>rumus</v>
      </c>
      <c r="K91" s="4"/>
      <c r="L91" s="4"/>
      <c r="M91" s="4"/>
      <c r="N91" s="4"/>
      <c r="O91" s="4"/>
      <c r="P91" s="4"/>
      <c r="Q91" s="4"/>
      <c r="R91" s="4"/>
      <c r="S91" s="4"/>
      <c r="T91" s="4"/>
      <c r="U91" s="4"/>
      <c r="V91" s="4"/>
      <c r="W91" s="4"/>
      <c r="X91" s="4"/>
      <c r="Y91" s="4"/>
      <c r="Z91" s="4"/>
    </row>
    <row r="92" spans="1:26" ht="15" customHeight="1" x14ac:dyDescent="0.25">
      <c r="A92" s="109">
        <v>7</v>
      </c>
      <c r="B92" s="397" t="s">
        <v>821</v>
      </c>
      <c r="C92" s="148" t="s">
        <v>26</v>
      </c>
      <c r="D92" s="148"/>
      <c r="E92" s="398" t="str">
        <f t="shared" si="20"/>
        <v/>
      </c>
      <c r="F92" s="398" t="str">
        <f t="shared" si="21"/>
        <v/>
      </c>
      <c r="G92" s="399" t="str">
        <f t="shared" si="22"/>
        <v>rumus</v>
      </c>
      <c r="H92" s="148" t="s">
        <v>26</v>
      </c>
      <c r="I92" s="420"/>
      <c r="J92" s="401" t="str">
        <f t="shared" si="23"/>
        <v>rumus</v>
      </c>
      <c r="K92" s="4"/>
      <c r="L92" s="4"/>
      <c r="M92" s="4"/>
      <c r="N92" s="4"/>
      <c r="O92" s="4"/>
      <c r="P92" s="4"/>
      <c r="Q92" s="4"/>
      <c r="R92" s="4"/>
      <c r="S92" s="4"/>
      <c r="T92" s="4"/>
      <c r="U92" s="4"/>
      <c r="V92" s="4"/>
      <c r="W92" s="4"/>
      <c r="X92" s="4"/>
      <c r="Y92" s="4"/>
      <c r="Z92" s="4"/>
    </row>
    <row r="93" spans="1:26" ht="15" customHeight="1" x14ac:dyDescent="0.25">
      <c r="A93" s="109">
        <v>8</v>
      </c>
      <c r="B93" s="397" t="s">
        <v>821</v>
      </c>
      <c r="C93" s="148" t="s">
        <v>26</v>
      </c>
      <c r="D93" s="148"/>
      <c r="E93" s="398" t="str">
        <f t="shared" si="20"/>
        <v/>
      </c>
      <c r="F93" s="398" t="str">
        <f t="shared" si="21"/>
        <v/>
      </c>
      <c r="G93" s="399" t="str">
        <f t="shared" si="22"/>
        <v>rumus</v>
      </c>
      <c r="H93" s="148" t="s">
        <v>26</v>
      </c>
      <c r="I93" s="420"/>
      <c r="J93" s="401" t="str">
        <f t="shared" si="23"/>
        <v>rumus</v>
      </c>
      <c r="K93" s="4"/>
      <c r="L93" s="4"/>
      <c r="M93" s="4"/>
      <c r="N93" s="4"/>
      <c r="O93" s="4"/>
      <c r="P93" s="4"/>
      <c r="Q93" s="4"/>
      <c r="R93" s="4"/>
      <c r="S93" s="4"/>
      <c r="T93" s="4"/>
      <c r="U93" s="4"/>
      <c r="V93" s="4"/>
      <c r="W93" s="4"/>
      <c r="X93" s="4"/>
      <c r="Y93" s="4"/>
      <c r="Z93" s="4"/>
    </row>
    <row r="94" spans="1:26" ht="15" customHeight="1" x14ac:dyDescent="0.25">
      <c r="A94" s="109">
        <v>9</v>
      </c>
      <c r="B94" s="397" t="s">
        <v>821</v>
      </c>
      <c r="C94" s="148" t="s">
        <v>26</v>
      </c>
      <c r="D94" s="148"/>
      <c r="E94" s="398" t="str">
        <f t="shared" si="20"/>
        <v/>
      </c>
      <c r="F94" s="398" t="str">
        <f t="shared" si="21"/>
        <v/>
      </c>
      <c r="G94" s="399" t="str">
        <f t="shared" si="22"/>
        <v>rumus</v>
      </c>
      <c r="H94" s="148" t="s">
        <v>26</v>
      </c>
      <c r="I94" s="420"/>
      <c r="J94" s="401" t="str">
        <f t="shared" si="23"/>
        <v>rumus</v>
      </c>
      <c r="K94" s="4"/>
      <c r="L94" s="4"/>
      <c r="M94" s="4"/>
      <c r="N94" s="4"/>
      <c r="O94" s="4"/>
      <c r="P94" s="4"/>
      <c r="Q94" s="4"/>
      <c r="R94" s="4"/>
      <c r="S94" s="4"/>
      <c r="T94" s="4"/>
      <c r="U94" s="4"/>
      <c r="V94" s="4"/>
      <c r="W94" s="4"/>
      <c r="X94" s="4"/>
      <c r="Y94" s="4"/>
      <c r="Z94" s="4"/>
    </row>
    <row r="95" spans="1:26" ht="15" customHeight="1" x14ac:dyDescent="0.25">
      <c r="A95" s="109">
        <v>10</v>
      </c>
      <c r="B95" s="397" t="s">
        <v>821</v>
      </c>
      <c r="C95" s="148" t="s">
        <v>26</v>
      </c>
      <c r="D95" s="148"/>
      <c r="E95" s="398" t="str">
        <f t="shared" si="20"/>
        <v/>
      </c>
      <c r="F95" s="398" t="str">
        <f t="shared" si="21"/>
        <v/>
      </c>
      <c r="G95" s="399" t="str">
        <f t="shared" si="22"/>
        <v>rumus</v>
      </c>
      <c r="H95" s="148" t="s">
        <v>26</v>
      </c>
      <c r="I95" s="420"/>
      <c r="J95" s="401" t="str">
        <f t="shared" si="23"/>
        <v>rumus</v>
      </c>
      <c r="K95" s="4"/>
      <c r="L95" s="4"/>
      <c r="M95" s="4"/>
      <c r="N95" s="4"/>
      <c r="O95" s="4"/>
      <c r="P95" s="4"/>
      <c r="Q95" s="4"/>
      <c r="R95" s="4"/>
      <c r="S95" s="4"/>
      <c r="T95" s="4"/>
      <c r="U95" s="4"/>
      <c r="V95" s="4"/>
      <c r="W95" s="4"/>
      <c r="X95" s="4"/>
      <c r="Y95" s="4"/>
      <c r="Z95" s="4"/>
    </row>
    <row r="96" spans="1:26" ht="15.75" customHeight="1" x14ac:dyDescent="0.25">
      <c r="A96" s="128"/>
      <c r="B96" s="614" t="s">
        <v>304</v>
      </c>
      <c r="C96" s="615"/>
      <c r="D96" s="615"/>
      <c r="E96" s="615"/>
      <c r="F96" s="615"/>
      <c r="G96" s="107">
        <f>SUM(J86:J95)</f>
        <v>0</v>
      </c>
      <c r="H96" s="448"/>
      <c r="I96" s="4"/>
      <c r="J96" s="4"/>
      <c r="K96" s="4"/>
      <c r="L96" s="4"/>
      <c r="M96" s="4"/>
      <c r="N96" s="4"/>
      <c r="O96" s="4"/>
      <c r="P96" s="4"/>
      <c r="Q96" s="4"/>
      <c r="R96" s="4"/>
      <c r="S96" s="4"/>
      <c r="T96" s="4"/>
      <c r="U96" s="4"/>
      <c r="V96" s="4"/>
      <c r="W96" s="4"/>
      <c r="X96" s="4"/>
      <c r="Y96" s="4"/>
      <c r="Z96" s="4"/>
    </row>
    <row r="97" spans="1:26" ht="15.75" customHeight="1" x14ac:dyDescent="0.25">
      <c r="A97" s="115" t="s">
        <v>92</v>
      </c>
      <c r="B97" s="412" t="s">
        <v>1160</v>
      </c>
      <c r="C97" s="404"/>
      <c r="D97" s="404"/>
      <c r="E97" s="404"/>
      <c r="F97" s="404"/>
      <c r="G97" s="404"/>
      <c r="H97" s="405"/>
      <c r="I97" s="4"/>
      <c r="J97" s="4"/>
      <c r="K97" s="4"/>
      <c r="L97" s="4"/>
      <c r="M97" s="4"/>
      <c r="N97" s="4"/>
      <c r="O97" s="4"/>
      <c r="P97" s="4"/>
      <c r="Q97" s="4"/>
      <c r="R97" s="4"/>
      <c r="S97" s="4"/>
      <c r="T97" s="4"/>
      <c r="U97" s="4"/>
      <c r="V97" s="4"/>
      <c r="W97" s="4"/>
      <c r="X97" s="4"/>
      <c r="Y97" s="4"/>
      <c r="Z97" s="4"/>
    </row>
    <row r="98" spans="1:26" ht="15.75" customHeight="1" x14ac:dyDescent="0.25">
      <c r="A98" s="109">
        <v>1</v>
      </c>
      <c r="B98" s="397" t="s">
        <v>821</v>
      </c>
      <c r="C98" s="148" t="s">
        <v>26</v>
      </c>
      <c r="D98" s="148"/>
      <c r="E98" s="398" t="str">
        <f t="shared" ref="E98:E107" si="24">IF(I98&lt;&gt;"",1,"")</f>
        <v/>
      </c>
      <c r="F98" s="398" t="str">
        <f t="shared" ref="F98:F107" si="25">IF(I98&lt;&gt;"",J98,"")</f>
        <v/>
      </c>
      <c r="G98" s="399" t="str">
        <f t="shared" ref="G98:G107" si="26">IF(J98&lt;&gt;"rumus","1 x "&amp;J98&amp;" = "&amp;J98,"rumus")</f>
        <v>rumus</v>
      </c>
      <c r="H98" s="148" t="s">
        <v>26</v>
      </c>
      <c r="I98" s="420"/>
      <c r="J98" s="401" t="str">
        <f t="shared" ref="J98:J107" si="27">IF(I98&lt;&gt;"",IF(I98="a.1). Tingkat Internasional/Nasional/Regional sebagai Ketua, tiap kegiatan",3,IF(I98="a.2). Tingkat Internasional/Nasional/Regional sebagai Anggota/peserta, tiap kegiatan",2,IF(I98="b.1). Di Lingkungan Perguruan Tinggi sebagai Ketua, tiap kegiatan",2,IF(I98="b.2). Di Lingkungan Perguruan Tinggi sebagai Anggota/peserta, tiap kegiatan",1,"")))),"rumus")</f>
        <v>rumus</v>
      </c>
      <c r="K98" s="4"/>
      <c r="L98" s="4"/>
      <c r="M98" s="4"/>
      <c r="N98" s="4"/>
      <c r="O98" s="4"/>
      <c r="P98" s="4"/>
      <c r="Q98" s="4"/>
      <c r="R98" s="4"/>
      <c r="S98" s="4"/>
      <c r="T98" s="4"/>
      <c r="U98" s="4"/>
      <c r="V98" s="4"/>
      <c r="W98" s="4"/>
      <c r="X98" s="4"/>
      <c r="Y98" s="4"/>
      <c r="Z98" s="4"/>
    </row>
    <row r="99" spans="1:26" ht="15" customHeight="1" x14ac:dyDescent="0.25">
      <c r="A99" s="109">
        <v>2</v>
      </c>
      <c r="B99" s="397" t="s">
        <v>821</v>
      </c>
      <c r="C99" s="148" t="s">
        <v>26</v>
      </c>
      <c r="D99" s="148"/>
      <c r="E99" s="398" t="str">
        <f t="shared" si="24"/>
        <v/>
      </c>
      <c r="F99" s="398" t="str">
        <f t="shared" si="25"/>
        <v/>
      </c>
      <c r="G99" s="399" t="str">
        <f t="shared" si="26"/>
        <v>rumus</v>
      </c>
      <c r="H99" s="148" t="s">
        <v>26</v>
      </c>
      <c r="I99" s="420"/>
      <c r="J99" s="401" t="str">
        <f t="shared" si="27"/>
        <v>rumus</v>
      </c>
      <c r="K99" s="4"/>
      <c r="L99" s="4"/>
      <c r="M99" s="4"/>
      <c r="N99" s="4"/>
      <c r="O99" s="4"/>
      <c r="P99" s="4"/>
      <c r="Q99" s="4"/>
      <c r="R99" s="4"/>
      <c r="S99" s="4"/>
      <c r="T99" s="4"/>
      <c r="U99" s="4"/>
      <c r="V99" s="4"/>
      <c r="W99" s="4"/>
      <c r="X99" s="4"/>
      <c r="Y99" s="4"/>
      <c r="Z99" s="4"/>
    </row>
    <row r="100" spans="1:26" ht="15" customHeight="1" x14ac:dyDescent="0.25">
      <c r="A100" s="109">
        <v>3</v>
      </c>
      <c r="B100" s="397" t="s">
        <v>821</v>
      </c>
      <c r="C100" s="148" t="s">
        <v>26</v>
      </c>
      <c r="D100" s="148"/>
      <c r="E100" s="398" t="str">
        <f t="shared" si="24"/>
        <v/>
      </c>
      <c r="F100" s="398" t="str">
        <f t="shared" si="25"/>
        <v/>
      </c>
      <c r="G100" s="399" t="str">
        <f t="shared" si="26"/>
        <v>rumus</v>
      </c>
      <c r="H100" s="148" t="s">
        <v>26</v>
      </c>
      <c r="I100" s="420"/>
      <c r="J100" s="401" t="str">
        <f t="shared" si="27"/>
        <v>rumus</v>
      </c>
      <c r="K100" s="4"/>
      <c r="L100" s="4"/>
      <c r="M100" s="4"/>
      <c r="N100" s="4"/>
      <c r="O100" s="4"/>
      <c r="P100" s="4"/>
      <c r="Q100" s="4"/>
      <c r="R100" s="4"/>
      <c r="S100" s="4"/>
      <c r="T100" s="4"/>
      <c r="U100" s="4"/>
      <c r="V100" s="4"/>
      <c r="W100" s="4"/>
      <c r="X100" s="4"/>
      <c r="Y100" s="4"/>
      <c r="Z100" s="4"/>
    </row>
    <row r="101" spans="1:26" ht="15" customHeight="1" x14ac:dyDescent="0.25">
      <c r="A101" s="109">
        <v>4</v>
      </c>
      <c r="B101" s="397" t="s">
        <v>821</v>
      </c>
      <c r="C101" s="148" t="s">
        <v>26</v>
      </c>
      <c r="D101" s="148"/>
      <c r="E101" s="398" t="str">
        <f t="shared" si="24"/>
        <v/>
      </c>
      <c r="F101" s="398" t="str">
        <f t="shared" si="25"/>
        <v/>
      </c>
      <c r="G101" s="399" t="str">
        <f t="shared" si="26"/>
        <v>rumus</v>
      </c>
      <c r="H101" s="148" t="s">
        <v>26</v>
      </c>
      <c r="I101" s="420"/>
      <c r="J101" s="401" t="str">
        <f t="shared" si="27"/>
        <v>rumus</v>
      </c>
      <c r="K101" s="4"/>
      <c r="L101" s="4"/>
      <c r="M101" s="4"/>
      <c r="N101" s="4"/>
      <c r="O101" s="4"/>
      <c r="P101" s="4"/>
      <c r="Q101" s="4"/>
      <c r="R101" s="4"/>
      <c r="S101" s="4"/>
      <c r="T101" s="4"/>
      <c r="U101" s="4"/>
      <c r="V101" s="4"/>
      <c r="W101" s="4"/>
      <c r="X101" s="4"/>
      <c r="Y101" s="4"/>
      <c r="Z101" s="4"/>
    </row>
    <row r="102" spans="1:26" ht="15" customHeight="1" x14ac:dyDescent="0.25">
      <c r="A102" s="109">
        <v>5</v>
      </c>
      <c r="B102" s="397" t="s">
        <v>821</v>
      </c>
      <c r="C102" s="148" t="s">
        <v>26</v>
      </c>
      <c r="D102" s="148"/>
      <c r="E102" s="398" t="str">
        <f t="shared" si="24"/>
        <v/>
      </c>
      <c r="F102" s="398" t="str">
        <f t="shared" si="25"/>
        <v/>
      </c>
      <c r="G102" s="399" t="str">
        <f t="shared" si="26"/>
        <v>rumus</v>
      </c>
      <c r="H102" s="148" t="s">
        <v>26</v>
      </c>
      <c r="I102" s="420"/>
      <c r="J102" s="401" t="str">
        <f t="shared" si="27"/>
        <v>rumus</v>
      </c>
      <c r="K102" s="4"/>
      <c r="L102" s="4"/>
      <c r="M102" s="4"/>
      <c r="N102" s="4"/>
      <c r="O102" s="4"/>
      <c r="P102" s="4"/>
      <c r="Q102" s="4"/>
      <c r="R102" s="4"/>
      <c r="S102" s="4"/>
      <c r="T102" s="4"/>
      <c r="U102" s="4"/>
      <c r="V102" s="4"/>
      <c r="W102" s="4"/>
      <c r="X102" s="4"/>
      <c r="Y102" s="4"/>
      <c r="Z102" s="4"/>
    </row>
    <row r="103" spans="1:26" ht="15" customHeight="1" x14ac:dyDescent="0.25">
      <c r="A103" s="109">
        <v>6</v>
      </c>
      <c r="B103" s="397" t="s">
        <v>821</v>
      </c>
      <c r="C103" s="148" t="s">
        <v>26</v>
      </c>
      <c r="D103" s="148"/>
      <c r="E103" s="398" t="str">
        <f t="shared" si="24"/>
        <v/>
      </c>
      <c r="F103" s="398" t="str">
        <f t="shared" si="25"/>
        <v/>
      </c>
      <c r="G103" s="399" t="str">
        <f t="shared" si="26"/>
        <v>rumus</v>
      </c>
      <c r="H103" s="148" t="s">
        <v>26</v>
      </c>
      <c r="I103" s="420"/>
      <c r="J103" s="401" t="str">
        <f t="shared" si="27"/>
        <v>rumus</v>
      </c>
      <c r="K103" s="4"/>
      <c r="L103" s="4"/>
      <c r="M103" s="4"/>
      <c r="N103" s="4"/>
      <c r="O103" s="4"/>
      <c r="P103" s="4"/>
      <c r="Q103" s="4"/>
      <c r="R103" s="4"/>
      <c r="S103" s="4"/>
      <c r="T103" s="4"/>
      <c r="U103" s="4"/>
      <c r="V103" s="4"/>
      <c r="W103" s="4"/>
      <c r="X103" s="4"/>
      <c r="Y103" s="4"/>
      <c r="Z103" s="4"/>
    </row>
    <row r="104" spans="1:26" ht="15" customHeight="1" x14ac:dyDescent="0.25">
      <c r="A104" s="109">
        <v>7</v>
      </c>
      <c r="B104" s="397" t="s">
        <v>821</v>
      </c>
      <c r="C104" s="148" t="s">
        <v>26</v>
      </c>
      <c r="D104" s="148"/>
      <c r="E104" s="398" t="str">
        <f t="shared" si="24"/>
        <v/>
      </c>
      <c r="F104" s="398" t="str">
        <f t="shared" si="25"/>
        <v/>
      </c>
      <c r="G104" s="399" t="str">
        <f t="shared" si="26"/>
        <v>rumus</v>
      </c>
      <c r="H104" s="148" t="s">
        <v>26</v>
      </c>
      <c r="I104" s="420"/>
      <c r="J104" s="401" t="str">
        <f t="shared" si="27"/>
        <v>rumus</v>
      </c>
      <c r="K104" s="4"/>
      <c r="L104" s="4"/>
      <c r="M104" s="4"/>
      <c r="N104" s="4"/>
      <c r="O104" s="4"/>
      <c r="P104" s="4"/>
      <c r="Q104" s="4"/>
      <c r="R104" s="4"/>
      <c r="S104" s="4"/>
      <c r="T104" s="4"/>
      <c r="U104" s="4"/>
      <c r="V104" s="4"/>
      <c r="W104" s="4"/>
      <c r="X104" s="4"/>
      <c r="Y104" s="4"/>
      <c r="Z104" s="4"/>
    </row>
    <row r="105" spans="1:26" ht="15" customHeight="1" x14ac:dyDescent="0.25">
      <c r="A105" s="109">
        <v>8</v>
      </c>
      <c r="B105" s="397" t="s">
        <v>821</v>
      </c>
      <c r="C105" s="148" t="s">
        <v>26</v>
      </c>
      <c r="D105" s="148"/>
      <c r="E105" s="398" t="str">
        <f t="shared" si="24"/>
        <v/>
      </c>
      <c r="F105" s="398" t="str">
        <f t="shared" si="25"/>
        <v/>
      </c>
      <c r="G105" s="399" t="str">
        <f t="shared" si="26"/>
        <v>rumus</v>
      </c>
      <c r="H105" s="148" t="s">
        <v>26</v>
      </c>
      <c r="I105" s="420"/>
      <c r="J105" s="401" t="str">
        <f t="shared" si="27"/>
        <v>rumus</v>
      </c>
      <c r="K105" s="4"/>
      <c r="L105" s="4"/>
      <c r="M105" s="4"/>
      <c r="N105" s="4"/>
      <c r="O105" s="4"/>
      <c r="P105" s="4"/>
      <c r="Q105" s="4"/>
      <c r="R105" s="4"/>
      <c r="S105" s="4"/>
      <c r="T105" s="4"/>
      <c r="U105" s="4"/>
      <c r="V105" s="4"/>
      <c r="W105" s="4"/>
      <c r="X105" s="4"/>
      <c r="Y105" s="4"/>
      <c r="Z105" s="4"/>
    </row>
    <row r="106" spans="1:26" ht="15" customHeight="1" x14ac:dyDescent="0.25">
      <c r="A106" s="109">
        <v>9</v>
      </c>
      <c r="B106" s="397" t="s">
        <v>821</v>
      </c>
      <c r="C106" s="148" t="s">
        <v>26</v>
      </c>
      <c r="D106" s="148"/>
      <c r="E106" s="398" t="str">
        <f t="shared" si="24"/>
        <v/>
      </c>
      <c r="F106" s="398" t="str">
        <f t="shared" si="25"/>
        <v/>
      </c>
      <c r="G106" s="399" t="str">
        <f t="shared" si="26"/>
        <v>rumus</v>
      </c>
      <c r="H106" s="148" t="s">
        <v>26</v>
      </c>
      <c r="I106" s="420"/>
      <c r="J106" s="401" t="str">
        <f t="shared" si="27"/>
        <v>rumus</v>
      </c>
      <c r="K106" s="4"/>
      <c r="L106" s="4"/>
      <c r="M106" s="4"/>
      <c r="N106" s="4"/>
      <c r="O106" s="4"/>
      <c r="P106" s="4"/>
      <c r="Q106" s="4"/>
      <c r="R106" s="4"/>
      <c r="S106" s="4"/>
      <c r="T106" s="4"/>
      <c r="U106" s="4"/>
      <c r="V106" s="4"/>
      <c r="W106" s="4"/>
      <c r="X106" s="4"/>
      <c r="Y106" s="4"/>
      <c r="Z106" s="4"/>
    </row>
    <row r="107" spans="1:26" ht="15" customHeight="1" x14ac:dyDescent="0.25">
      <c r="A107" s="109">
        <v>10</v>
      </c>
      <c r="B107" s="397" t="s">
        <v>821</v>
      </c>
      <c r="C107" s="148" t="s">
        <v>26</v>
      </c>
      <c r="D107" s="148"/>
      <c r="E107" s="398" t="str">
        <f t="shared" si="24"/>
        <v/>
      </c>
      <c r="F107" s="398" t="str">
        <f t="shared" si="25"/>
        <v/>
      </c>
      <c r="G107" s="399" t="str">
        <f t="shared" si="26"/>
        <v>rumus</v>
      </c>
      <c r="H107" s="148" t="s">
        <v>26</v>
      </c>
      <c r="I107" s="420"/>
      <c r="J107" s="401" t="str">
        <f t="shared" si="27"/>
        <v>rumus</v>
      </c>
      <c r="K107" s="4"/>
      <c r="L107" s="4"/>
      <c r="M107" s="4"/>
      <c r="N107" s="4"/>
      <c r="O107" s="4"/>
      <c r="P107" s="4"/>
      <c r="Q107" s="4"/>
      <c r="R107" s="4"/>
      <c r="S107" s="4"/>
      <c r="T107" s="4"/>
      <c r="U107" s="4"/>
      <c r="V107" s="4"/>
      <c r="W107" s="4"/>
      <c r="X107" s="4"/>
      <c r="Y107" s="4"/>
      <c r="Z107" s="4"/>
    </row>
    <row r="108" spans="1:26" ht="15.75" customHeight="1" x14ac:dyDescent="0.25">
      <c r="A108" s="128"/>
      <c r="B108" s="614" t="s">
        <v>304</v>
      </c>
      <c r="C108" s="615"/>
      <c r="D108" s="615"/>
      <c r="E108" s="615"/>
      <c r="F108" s="615"/>
      <c r="G108" s="107">
        <f>SUM(J98:J107)</f>
        <v>0</v>
      </c>
      <c r="H108" s="448"/>
      <c r="I108" s="4"/>
      <c r="J108" s="4"/>
      <c r="K108" s="4"/>
      <c r="L108" s="4"/>
      <c r="M108" s="4"/>
      <c r="N108" s="4"/>
      <c r="O108" s="4"/>
      <c r="P108" s="4"/>
      <c r="Q108" s="4"/>
      <c r="R108" s="4"/>
      <c r="S108" s="4"/>
      <c r="T108" s="4"/>
      <c r="U108" s="4"/>
      <c r="V108" s="4"/>
      <c r="W108" s="4"/>
      <c r="X108" s="4"/>
      <c r="Y108" s="4"/>
      <c r="Z108" s="4"/>
    </row>
    <row r="109" spans="1:26" ht="15.75" customHeight="1" x14ac:dyDescent="0.25">
      <c r="A109" s="115" t="s">
        <v>95</v>
      </c>
      <c r="B109" s="412" t="s">
        <v>1161</v>
      </c>
      <c r="C109" s="404"/>
      <c r="D109" s="404"/>
      <c r="E109" s="404"/>
      <c r="F109" s="404"/>
      <c r="G109" s="404"/>
      <c r="H109" s="405"/>
      <c r="I109" s="4"/>
      <c r="J109" s="4"/>
      <c r="K109" s="4"/>
      <c r="L109" s="4"/>
      <c r="M109" s="4"/>
      <c r="N109" s="4"/>
      <c r="O109" s="4"/>
      <c r="P109" s="4"/>
      <c r="Q109" s="4"/>
      <c r="R109" s="4"/>
      <c r="S109" s="4"/>
      <c r="T109" s="4"/>
      <c r="U109" s="4"/>
      <c r="V109" s="4"/>
      <c r="W109" s="4"/>
      <c r="X109" s="4"/>
      <c r="Y109" s="4"/>
      <c r="Z109" s="4"/>
    </row>
    <row r="110" spans="1:26" ht="15" customHeight="1" x14ac:dyDescent="0.25">
      <c r="A110" s="109">
        <v>1</v>
      </c>
      <c r="B110" s="397" t="s">
        <v>1162</v>
      </c>
      <c r="C110" s="148" t="s">
        <v>26</v>
      </c>
      <c r="D110" s="148"/>
      <c r="E110" s="398" t="str">
        <f t="shared" ref="E110:E119" si="28">IF(I110&lt;&gt;"",1,"")</f>
        <v/>
      </c>
      <c r="F110" s="398" t="str">
        <f t="shared" ref="F110:F119" si="29">IF(I110&lt;&gt;"",J110,"")</f>
        <v/>
      </c>
      <c r="G110" s="399" t="str">
        <f t="shared" ref="G110:G119" si="30">IF(J110&lt;&gt;"rumus","1 x "&amp;J110&amp;" = "&amp;J110,"rumus")</f>
        <v>rumus</v>
      </c>
      <c r="H110" s="148" t="s">
        <v>26</v>
      </c>
      <c r="I110" s="420"/>
      <c r="J110" s="401" t="str">
        <f t="shared" ref="J110:J119" si="31">IF(I110&lt;&gt;"",IF(I110="a.Satya Lancana Karya Satya 30 thn",3,IF(I110="b.Satya Lancana Karya Satya 20 thn",2,IF(I110="c.Satya Lancana Karya Satya 10 thn",1,IF(I110="d.Penghargaan lainnya Tingkat Internasional",5,IF(I110="e.Penghargaan lainnya Tingkat Nasional",3,IF(I110="f.Penghargaan lainnyaTingkat Daerah/Lokal",1,"")))))),"rumus")</f>
        <v>rumus</v>
      </c>
      <c r="K110" s="4"/>
      <c r="L110" s="4"/>
      <c r="M110" s="4"/>
      <c r="N110" s="4"/>
      <c r="O110" s="4"/>
      <c r="P110" s="4"/>
      <c r="Q110" s="4"/>
      <c r="R110" s="4"/>
      <c r="S110" s="4"/>
      <c r="T110" s="4"/>
      <c r="U110" s="4"/>
      <c r="V110" s="4"/>
      <c r="W110" s="4"/>
      <c r="X110" s="4"/>
      <c r="Y110" s="4"/>
      <c r="Z110" s="4"/>
    </row>
    <row r="111" spans="1:26" ht="15" customHeight="1" x14ac:dyDescent="0.25">
      <c r="A111" s="109">
        <v>2</v>
      </c>
      <c r="B111" s="397" t="s">
        <v>1162</v>
      </c>
      <c r="C111" s="148" t="s">
        <v>26</v>
      </c>
      <c r="D111" s="148"/>
      <c r="E111" s="398" t="str">
        <f t="shared" si="28"/>
        <v/>
      </c>
      <c r="F111" s="398" t="str">
        <f t="shared" si="29"/>
        <v/>
      </c>
      <c r="G111" s="399" t="str">
        <f t="shared" si="30"/>
        <v>rumus</v>
      </c>
      <c r="H111" s="148" t="s">
        <v>26</v>
      </c>
      <c r="I111" s="420"/>
      <c r="J111" s="401" t="str">
        <f t="shared" si="31"/>
        <v>rumus</v>
      </c>
      <c r="K111" s="4"/>
      <c r="L111" s="4"/>
      <c r="M111" s="4"/>
      <c r="N111" s="4"/>
      <c r="O111" s="4"/>
      <c r="P111" s="4"/>
      <c r="Q111" s="4"/>
      <c r="R111" s="4"/>
      <c r="S111" s="4"/>
      <c r="T111" s="4"/>
      <c r="U111" s="4"/>
      <c r="V111" s="4"/>
      <c r="W111" s="4"/>
      <c r="X111" s="4"/>
      <c r="Y111" s="4"/>
      <c r="Z111" s="4"/>
    </row>
    <row r="112" spans="1:26" ht="15" customHeight="1" x14ac:dyDescent="0.25">
      <c r="A112" s="109">
        <v>3</v>
      </c>
      <c r="B112" s="397" t="s">
        <v>1162</v>
      </c>
      <c r="C112" s="148" t="s">
        <v>26</v>
      </c>
      <c r="D112" s="148"/>
      <c r="E112" s="398" t="str">
        <f t="shared" si="28"/>
        <v/>
      </c>
      <c r="F112" s="398" t="str">
        <f t="shared" si="29"/>
        <v/>
      </c>
      <c r="G112" s="399" t="str">
        <f t="shared" si="30"/>
        <v>rumus</v>
      </c>
      <c r="H112" s="148" t="s">
        <v>26</v>
      </c>
      <c r="I112" s="420"/>
      <c r="J112" s="401" t="str">
        <f t="shared" si="31"/>
        <v>rumus</v>
      </c>
      <c r="K112" s="4"/>
      <c r="L112" s="4"/>
      <c r="M112" s="4"/>
      <c r="N112" s="4"/>
      <c r="O112" s="4"/>
      <c r="P112" s="4"/>
      <c r="Q112" s="4"/>
      <c r="R112" s="4"/>
      <c r="S112" s="4"/>
      <c r="T112" s="4"/>
      <c r="U112" s="4"/>
      <c r="V112" s="4"/>
      <c r="W112" s="4"/>
      <c r="X112" s="4"/>
      <c r="Y112" s="4"/>
      <c r="Z112" s="4"/>
    </row>
    <row r="113" spans="1:26" ht="15" customHeight="1" x14ac:dyDescent="0.25">
      <c r="A113" s="109">
        <v>4</v>
      </c>
      <c r="B113" s="397" t="s">
        <v>1162</v>
      </c>
      <c r="C113" s="148" t="s">
        <v>26</v>
      </c>
      <c r="D113" s="148"/>
      <c r="E113" s="398" t="str">
        <f t="shared" si="28"/>
        <v/>
      </c>
      <c r="F113" s="398" t="str">
        <f t="shared" si="29"/>
        <v/>
      </c>
      <c r="G113" s="399" t="str">
        <f t="shared" si="30"/>
        <v>rumus</v>
      </c>
      <c r="H113" s="148" t="s">
        <v>26</v>
      </c>
      <c r="I113" s="420"/>
      <c r="J113" s="401" t="str">
        <f t="shared" si="31"/>
        <v>rumus</v>
      </c>
      <c r="K113" s="4"/>
      <c r="L113" s="4"/>
      <c r="M113" s="4"/>
      <c r="N113" s="4"/>
      <c r="O113" s="4"/>
      <c r="P113" s="4"/>
      <c r="Q113" s="4"/>
      <c r="R113" s="4"/>
      <c r="S113" s="4"/>
      <c r="T113" s="4"/>
      <c r="U113" s="4"/>
      <c r="V113" s="4"/>
      <c r="W113" s="4"/>
      <c r="X113" s="4"/>
      <c r="Y113" s="4"/>
      <c r="Z113" s="4"/>
    </row>
    <row r="114" spans="1:26" ht="15" customHeight="1" x14ac:dyDescent="0.25">
      <c r="A114" s="109">
        <v>5</v>
      </c>
      <c r="B114" s="397" t="s">
        <v>1162</v>
      </c>
      <c r="C114" s="148" t="s">
        <v>26</v>
      </c>
      <c r="D114" s="148"/>
      <c r="E114" s="398" t="str">
        <f t="shared" si="28"/>
        <v/>
      </c>
      <c r="F114" s="398" t="str">
        <f t="shared" si="29"/>
        <v/>
      </c>
      <c r="G114" s="399" t="str">
        <f t="shared" si="30"/>
        <v>rumus</v>
      </c>
      <c r="H114" s="148" t="s">
        <v>26</v>
      </c>
      <c r="I114" s="420"/>
      <c r="J114" s="401" t="str">
        <f t="shared" si="31"/>
        <v>rumus</v>
      </c>
      <c r="K114" s="4"/>
      <c r="L114" s="4"/>
      <c r="M114" s="4"/>
      <c r="N114" s="4"/>
      <c r="O114" s="4"/>
      <c r="P114" s="4"/>
      <c r="Q114" s="4"/>
      <c r="R114" s="4"/>
      <c r="S114" s="4"/>
      <c r="T114" s="4"/>
      <c r="U114" s="4"/>
      <c r="V114" s="4"/>
      <c r="W114" s="4"/>
      <c r="X114" s="4"/>
      <c r="Y114" s="4"/>
      <c r="Z114" s="4"/>
    </row>
    <row r="115" spans="1:26" ht="15" customHeight="1" x14ac:dyDescent="0.25">
      <c r="A115" s="109">
        <v>6</v>
      </c>
      <c r="B115" s="397" t="s">
        <v>1162</v>
      </c>
      <c r="C115" s="148" t="s">
        <v>26</v>
      </c>
      <c r="D115" s="148"/>
      <c r="E115" s="398" t="str">
        <f t="shared" si="28"/>
        <v/>
      </c>
      <c r="F115" s="398" t="str">
        <f t="shared" si="29"/>
        <v/>
      </c>
      <c r="G115" s="399" t="str">
        <f t="shared" si="30"/>
        <v>rumus</v>
      </c>
      <c r="H115" s="148" t="s">
        <v>26</v>
      </c>
      <c r="I115" s="420"/>
      <c r="J115" s="401" t="str">
        <f t="shared" si="31"/>
        <v>rumus</v>
      </c>
      <c r="K115" s="4"/>
      <c r="L115" s="4"/>
      <c r="M115" s="4"/>
      <c r="N115" s="4"/>
      <c r="O115" s="4"/>
      <c r="P115" s="4"/>
      <c r="Q115" s="4"/>
      <c r="R115" s="4"/>
      <c r="S115" s="4"/>
      <c r="T115" s="4"/>
      <c r="U115" s="4"/>
      <c r="V115" s="4"/>
      <c r="W115" s="4"/>
      <c r="X115" s="4"/>
      <c r="Y115" s="4"/>
      <c r="Z115" s="4"/>
    </row>
    <row r="116" spans="1:26" ht="15" customHeight="1" x14ac:dyDescent="0.25">
      <c r="A116" s="109">
        <v>7</v>
      </c>
      <c r="B116" s="397" t="s">
        <v>1162</v>
      </c>
      <c r="C116" s="148" t="s">
        <v>26</v>
      </c>
      <c r="D116" s="148"/>
      <c r="E116" s="398" t="str">
        <f t="shared" si="28"/>
        <v/>
      </c>
      <c r="F116" s="398" t="str">
        <f t="shared" si="29"/>
        <v/>
      </c>
      <c r="G116" s="399" t="str">
        <f t="shared" si="30"/>
        <v>rumus</v>
      </c>
      <c r="H116" s="148" t="s">
        <v>26</v>
      </c>
      <c r="I116" s="420"/>
      <c r="J116" s="401" t="str">
        <f t="shared" si="31"/>
        <v>rumus</v>
      </c>
      <c r="K116" s="4"/>
      <c r="L116" s="4"/>
      <c r="M116" s="4"/>
      <c r="N116" s="4"/>
      <c r="O116" s="4"/>
      <c r="P116" s="4"/>
      <c r="Q116" s="4"/>
      <c r="R116" s="4"/>
      <c r="S116" s="4"/>
      <c r="T116" s="4"/>
      <c r="U116" s="4"/>
      <c r="V116" s="4"/>
      <c r="W116" s="4"/>
      <c r="X116" s="4"/>
      <c r="Y116" s="4"/>
      <c r="Z116" s="4"/>
    </row>
    <row r="117" spans="1:26" ht="15" customHeight="1" x14ac:dyDescent="0.25">
      <c r="A117" s="109">
        <v>8</v>
      </c>
      <c r="B117" s="397" t="s">
        <v>1162</v>
      </c>
      <c r="C117" s="148" t="s">
        <v>26</v>
      </c>
      <c r="D117" s="148"/>
      <c r="E117" s="398" t="str">
        <f t="shared" si="28"/>
        <v/>
      </c>
      <c r="F117" s="398" t="str">
        <f t="shared" si="29"/>
        <v/>
      </c>
      <c r="G117" s="399" t="str">
        <f t="shared" si="30"/>
        <v>rumus</v>
      </c>
      <c r="H117" s="148" t="s">
        <v>26</v>
      </c>
      <c r="I117" s="420"/>
      <c r="J117" s="401" t="str">
        <f t="shared" si="31"/>
        <v>rumus</v>
      </c>
      <c r="K117" s="4"/>
      <c r="L117" s="4"/>
      <c r="M117" s="4"/>
      <c r="N117" s="4"/>
      <c r="O117" s="4"/>
      <c r="P117" s="4"/>
      <c r="Q117" s="4"/>
      <c r="R117" s="4"/>
      <c r="S117" s="4"/>
      <c r="T117" s="4"/>
      <c r="U117" s="4"/>
      <c r="V117" s="4"/>
      <c r="W117" s="4"/>
      <c r="X117" s="4"/>
      <c r="Y117" s="4"/>
      <c r="Z117" s="4"/>
    </row>
    <row r="118" spans="1:26" ht="15" customHeight="1" x14ac:dyDescent="0.25">
      <c r="A118" s="109">
        <v>9</v>
      </c>
      <c r="B118" s="397" t="s">
        <v>1162</v>
      </c>
      <c r="C118" s="148" t="s">
        <v>26</v>
      </c>
      <c r="D118" s="148"/>
      <c r="E118" s="398" t="str">
        <f t="shared" si="28"/>
        <v/>
      </c>
      <c r="F118" s="398" t="str">
        <f t="shared" si="29"/>
        <v/>
      </c>
      <c r="G118" s="399" t="str">
        <f t="shared" si="30"/>
        <v>rumus</v>
      </c>
      <c r="H118" s="148" t="s">
        <v>26</v>
      </c>
      <c r="I118" s="420"/>
      <c r="J118" s="401" t="str">
        <f t="shared" si="31"/>
        <v>rumus</v>
      </c>
      <c r="K118" s="4"/>
      <c r="L118" s="4"/>
      <c r="M118" s="4"/>
      <c r="N118" s="4"/>
      <c r="O118" s="4"/>
      <c r="P118" s="4"/>
      <c r="Q118" s="4"/>
      <c r="R118" s="4"/>
      <c r="S118" s="4"/>
      <c r="T118" s="4"/>
      <c r="U118" s="4"/>
      <c r="V118" s="4"/>
      <c r="W118" s="4"/>
      <c r="X118" s="4"/>
      <c r="Y118" s="4"/>
      <c r="Z118" s="4"/>
    </row>
    <row r="119" spans="1:26" ht="15" customHeight="1" x14ac:dyDescent="0.25">
      <c r="A119" s="109">
        <v>10</v>
      </c>
      <c r="B119" s="397" t="s">
        <v>1162</v>
      </c>
      <c r="C119" s="148" t="s">
        <v>26</v>
      </c>
      <c r="D119" s="148"/>
      <c r="E119" s="398" t="str">
        <f t="shared" si="28"/>
        <v/>
      </c>
      <c r="F119" s="398" t="str">
        <f t="shared" si="29"/>
        <v/>
      </c>
      <c r="G119" s="399" t="str">
        <f t="shared" si="30"/>
        <v>rumus</v>
      </c>
      <c r="H119" s="148" t="s">
        <v>26</v>
      </c>
      <c r="I119" s="420"/>
      <c r="J119" s="401" t="str">
        <f t="shared" si="31"/>
        <v>rumus</v>
      </c>
      <c r="K119" s="4"/>
      <c r="L119" s="4"/>
      <c r="M119" s="4"/>
      <c r="N119" s="4"/>
      <c r="O119" s="4"/>
      <c r="P119" s="4"/>
      <c r="Q119" s="4"/>
      <c r="R119" s="4"/>
      <c r="S119" s="4"/>
      <c r="T119" s="4"/>
      <c r="U119" s="4"/>
      <c r="V119" s="4"/>
      <c r="W119" s="4"/>
      <c r="X119" s="4"/>
      <c r="Y119" s="4"/>
      <c r="Z119" s="4"/>
    </row>
    <row r="120" spans="1:26" ht="15.75" customHeight="1" x14ac:dyDescent="0.25">
      <c r="A120" s="128"/>
      <c r="B120" s="614" t="s">
        <v>304</v>
      </c>
      <c r="C120" s="615"/>
      <c r="D120" s="615"/>
      <c r="E120" s="615"/>
      <c r="F120" s="615"/>
      <c r="G120" s="107">
        <f>SUM(J110:J119)</f>
        <v>0</v>
      </c>
      <c r="H120" s="448"/>
      <c r="I120" s="4"/>
      <c r="J120" s="4"/>
      <c r="K120" s="4"/>
      <c r="L120" s="4"/>
      <c r="M120" s="4"/>
      <c r="N120" s="4"/>
      <c r="O120" s="4"/>
      <c r="P120" s="4"/>
      <c r="Q120" s="4"/>
      <c r="R120" s="4"/>
      <c r="S120" s="4"/>
      <c r="T120" s="4"/>
      <c r="U120" s="4"/>
      <c r="V120" s="4"/>
      <c r="W120" s="4"/>
      <c r="X120" s="4"/>
      <c r="Y120" s="4"/>
      <c r="Z120" s="4"/>
    </row>
    <row r="121" spans="1:26" ht="15.75" customHeight="1" x14ac:dyDescent="0.25">
      <c r="A121" s="115" t="s">
        <v>54</v>
      </c>
      <c r="B121" s="412" t="s">
        <v>1163</v>
      </c>
      <c r="C121" s="404"/>
      <c r="D121" s="404"/>
      <c r="E121" s="404"/>
      <c r="F121" s="404"/>
      <c r="G121" s="404"/>
      <c r="H121" s="405"/>
      <c r="I121" s="4"/>
      <c r="J121" s="4"/>
      <c r="K121" s="4"/>
      <c r="L121" s="4"/>
      <c r="M121" s="4"/>
      <c r="N121" s="4"/>
      <c r="O121" s="4"/>
      <c r="P121" s="4"/>
      <c r="Q121" s="4"/>
      <c r="R121" s="4"/>
      <c r="S121" s="4"/>
      <c r="T121" s="4"/>
      <c r="U121" s="4"/>
      <c r="V121" s="4"/>
      <c r="W121" s="4"/>
      <c r="X121" s="4"/>
      <c r="Y121" s="4"/>
      <c r="Z121" s="4"/>
    </row>
    <row r="122" spans="1:26" ht="15" customHeight="1" x14ac:dyDescent="0.25">
      <c r="A122" s="109">
        <v>1</v>
      </c>
      <c r="B122" s="397" t="s">
        <v>1164</v>
      </c>
      <c r="C122" s="148" t="s">
        <v>26</v>
      </c>
      <c r="D122" s="148"/>
      <c r="E122" s="398" t="str">
        <f t="shared" ref="E122:E131" si="32">IF(I122&lt;&gt;"",1,"")</f>
        <v/>
      </c>
      <c r="F122" s="398" t="str">
        <f t="shared" ref="F122:F131" si="33">IF(I122&lt;&gt;"",J122,"")</f>
        <v/>
      </c>
      <c r="G122" s="399" t="str">
        <f t="shared" ref="G122:G131" si="34">IF(J122&lt;&gt;"rumus","1 x "&amp;J122&amp;" = "&amp;J122,"rumus")</f>
        <v>rumus</v>
      </c>
      <c r="H122" s="148" t="s">
        <v>26</v>
      </c>
      <c r="I122" s="420"/>
      <c r="J122" s="401" t="str">
        <f t="shared" ref="J122:J131" si="35">IF(I122&lt;&gt;"",IF(I122="a.Buku SMTA atau setingkat",5,IF(I122="b.Buku SMTP atau setingkat",5,IF(I122="c.Buku SD atau setingkat",5,""))),"rumus")</f>
        <v>rumus</v>
      </c>
      <c r="K122" s="4"/>
      <c r="L122" s="4"/>
      <c r="M122" s="4"/>
      <c r="N122" s="4"/>
      <c r="O122" s="4"/>
      <c r="P122" s="4"/>
      <c r="Q122" s="4"/>
      <c r="R122" s="4"/>
      <c r="S122" s="4"/>
      <c r="T122" s="4"/>
      <c r="U122" s="4"/>
      <c r="V122" s="4"/>
      <c r="W122" s="4"/>
      <c r="X122" s="4"/>
      <c r="Y122" s="4"/>
      <c r="Z122" s="4"/>
    </row>
    <row r="123" spans="1:26" ht="15" customHeight="1" x14ac:dyDescent="0.25">
      <c r="A123" s="109">
        <v>2</v>
      </c>
      <c r="B123" s="397" t="s">
        <v>1164</v>
      </c>
      <c r="C123" s="148" t="s">
        <v>26</v>
      </c>
      <c r="D123" s="148"/>
      <c r="E123" s="398" t="str">
        <f t="shared" si="32"/>
        <v/>
      </c>
      <c r="F123" s="398" t="str">
        <f t="shared" si="33"/>
        <v/>
      </c>
      <c r="G123" s="399" t="str">
        <f t="shared" si="34"/>
        <v>rumus</v>
      </c>
      <c r="H123" s="148" t="s">
        <v>26</v>
      </c>
      <c r="I123" s="420"/>
      <c r="J123" s="401" t="str">
        <f t="shared" si="35"/>
        <v>rumus</v>
      </c>
      <c r="K123" s="4"/>
      <c r="L123" s="4"/>
      <c r="M123" s="4"/>
      <c r="N123" s="4"/>
      <c r="O123" s="4"/>
      <c r="P123" s="4"/>
      <c r="Q123" s="4"/>
      <c r="R123" s="4"/>
      <c r="S123" s="4"/>
      <c r="T123" s="4"/>
      <c r="U123" s="4"/>
      <c r="V123" s="4"/>
      <c r="W123" s="4"/>
      <c r="X123" s="4"/>
      <c r="Y123" s="4"/>
      <c r="Z123" s="4"/>
    </row>
    <row r="124" spans="1:26" ht="15" customHeight="1" x14ac:dyDescent="0.25">
      <c r="A124" s="109">
        <v>3</v>
      </c>
      <c r="B124" s="397" t="s">
        <v>1164</v>
      </c>
      <c r="C124" s="148" t="s">
        <v>26</v>
      </c>
      <c r="D124" s="148"/>
      <c r="E124" s="398" t="str">
        <f t="shared" si="32"/>
        <v/>
      </c>
      <c r="F124" s="398" t="str">
        <f t="shared" si="33"/>
        <v/>
      </c>
      <c r="G124" s="399" t="str">
        <f t="shared" si="34"/>
        <v>rumus</v>
      </c>
      <c r="H124" s="148" t="s">
        <v>26</v>
      </c>
      <c r="I124" s="420"/>
      <c r="J124" s="401" t="str">
        <f t="shared" si="35"/>
        <v>rumus</v>
      </c>
      <c r="K124" s="4"/>
      <c r="L124" s="4"/>
      <c r="M124" s="4"/>
      <c r="N124" s="4"/>
      <c r="O124" s="4"/>
      <c r="P124" s="4"/>
      <c r="Q124" s="4"/>
      <c r="R124" s="4"/>
      <c r="S124" s="4"/>
      <c r="T124" s="4"/>
      <c r="U124" s="4"/>
      <c r="V124" s="4"/>
      <c r="W124" s="4"/>
      <c r="X124" s="4"/>
      <c r="Y124" s="4"/>
      <c r="Z124" s="4"/>
    </row>
    <row r="125" spans="1:26" ht="15" customHeight="1" x14ac:dyDescent="0.25">
      <c r="A125" s="109">
        <v>4</v>
      </c>
      <c r="B125" s="397" t="s">
        <v>1164</v>
      </c>
      <c r="C125" s="148" t="s">
        <v>26</v>
      </c>
      <c r="D125" s="148"/>
      <c r="E125" s="398" t="str">
        <f t="shared" si="32"/>
        <v/>
      </c>
      <c r="F125" s="398" t="str">
        <f t="shared" si="33"/>
        <v/>
      </c>
      <c r="G125" s="399" t="str">
        <f t="shared" si="34"/>
        <v>rumus</v>
      </c>
      <c r="H125" s="148" t="s">
        <v>26</v>
      </c>
      <c r="I125" s="420"/>
      <c r="J125" s="401" t="str">
        <f t="shared" si="35"/>
        <v>rumus</v>
      </c>
      <c r="K125" s="4"/>
      <c r="L125" s="4"/>
      <c r="M125" s="4"/>
      <c r="N125" s="4"/>
      <c r="O125" s="4"/>
      <c r="P125" s="4"/>
      <c r="Q125" s="4"/>
      <c r="R125" s="4"/>
      <c r="S125" s="4"/>
      <c r="T125" s="4"/>
      <c r="U125" s="4"/>
      <c r="V125" s="4"/>
      <c r="W125" s="4"/>
      <c r="X125" s="4"/>
      <c r="Y125" s="4"/>
      <c r="Z125" s="4"/>
    </row>
    <row r="126" spans="1:26" ht="15" customHeight="1" x14ac:dyDescent="0.25">
      <c r="A126" s="109">
        <v>5</v>
      </c>
      <c r="B126" s="397" t="s">
        <v>1164</v>
      </c>
      <c r="C126" s="148" t="s">
        <v>26</v>
      </c>
      <c r="D126" s="148"/>
      <c r="E126" s="398" t="str">
        <f t="shared" si="32"/>
        <v/>
      </c>
      <c r="F126" s="398" t="str">
        <f t="shared" si="33"/>
        <v/>
      </c>
      <c r="G126" s="399" t="str">
        <f t="shared" si="34"/>
        <v>rumus</v>
      </c>
      <c r="H126" s="148" t="s">
        <v>26</v>
      </c>
      <c r="I126" s="420"/>
      <c r="J126" s="401" t="str">
        <f t="shared" si="35"/>
        <v>rumus</v>
      </c>
      <c r="K126" s="4"/>
      <c r="L126" s="4"/>
      <c r="M126" s="4"/>
      <c r="N126" s="4"/>
      <c r="O126" s="4"/>
      <c r="P126" s="4"/>
      <c r="Q126" s="4"/>
      <c r="R126" s="4"/>
      <c r="S126" s="4"/>
      <c r="T126" s="4"/>
      <c r="U126" s="4"/>
      <c r="V126" s="4"/>
      <c r="W126" s="4"/>
      <c r="X126" s="4"/>
      <c r="Y126" s="4"/>
      <c r="Z126" s="4"/>
    </row>
    <row r="127" spans="1:26" ht="15" customHeight="1" x14ac:dyDescent="0.25">
      <c r="A127" s="109">
        <v>6</v>
      </c>
      <c r="B127" s="397" t="s">
        <v>1164</v>
      </c>
      <c r="C127" s="148" t="s">
        <v>26</v>
      </c>
      <c r="D127" s="148"/>
      <c r="E127" s="398" t="str">
        <f t="shared" si="32"/>
        <v/>
      </c>
      <c r="F127" s="398" t="str">
        <f t="shared" si="33"/>
        <v/>
      </c>
      <c r="G127" s="399" t="str">
        <f t="shared" si="34"/>
        <v>rumus</v>
      </c>
      <c r="H127" s="148" t="s">
        <v>26</v>
      </c>
      <c r="I127" s="420"/>
      <c r="J127" s="401" t="str">
        <f t="shared" si="35"/>
        <v>rumus</v>
      </c>
      <c r="K127" s="4"/>
      <c r="L127" s="4"/>
      <c r="M127" s="4"/>
      <c r="N127" s="4"/>
      <c r="O127" s="4"/>
      <c r="P127" s="4"/>
      <c r="Q127" s="4"/>
      <c r="R127" s="4"/>
      <c r="S127" s="4"/>
      <c r="T127" s="4"/>
      <c r="U127" s="4"/>
      <c r="V127" s="4"/>
      <c r="W127" s="4"/>
      <c r="X127" s="4"/>
      <c r="Y127" s="4"/>
      <c r="Z127" s="4"/>
    </row>
    <row r="128" spans="1:26" ht="15" customHeight="1" x14ac:dyDescent="0.25">
      <c r="A128" s="109">
        <v>7</v>
      </c>
      <c r="B128" s="397" t="s">
        <v>1164</v>
      </c>
      <c r="C128" s="148" t="s">
        <v>26</v>
      </c>
      <c r="D128" s="148"/>
      <c r="E128" s="398" t="str">
        <f t="shared" si="32"/>
        <v/>
      </c>
      <c r="F128" s="398" t="str">
        <f t="shared" si="33"/>
        <v/>
      </c>
      <c r="G128" s="399" t="str">
        <f t="shared" si="34"/>
        <v>rumus</v>
      </c>
      <c r="H128" s="148" t="s">
        <v>26</v>
      </c>
      <c r="I128" s="420"/>
      <c r="J128" s="401" t="str">
        <f t="shared" si="35"/>
        <v>rumus</v>
      </c>
      <c r="K128" s="4"/>
      <c r="L128" s="4"/>
      <c r="M128" s="4"/>
      <c r="N128" s="4"/>
      <c r="O128" s="4"/>
      <c r="P128" s="4"/>
      <c r="Q128" s="4"/>
      <c r="R128" s="4"/>
      <c r="S128" s="4"/>
      <c r="T128" s="4"/>
      <c r="U128" s="4"/>
      <c r="V128" s="4"/>
      <c r="W128" s="4"/>
      <c r="X128" s="4"/>
      <c r="Y128" s="4"/>
      <c r="Z128" s="4"/>
    </row>
    <row r="129" spans="1:26" ht="15" customHeight="1" x14ac:dyDescent="0.25">
      <c r="A129" s="109">
        <v>8</v>
      </c>
      <c r="B129" s="397" t="s">
        <v>1164</v>
      </c>
      <c r="C129" s="148" t="s">
        <v>26</v>
      </c>
      <c r="D129" s="148"/>
      <c r="E129" s="398" t="str">
        <f t="shared" si="32"/>
        <v/>
      </c>
      <c r="F129" s="398" t="str">
        <f t="shared" si="33"/>
        <v/>
      </c>
      <c r="G129" s="399" t="str">
        <f t="shared" si="34"/>
        <v>rumus</v>
      </c>
      <c r="H129" s="148" t="s">
        <v>26</v>
      </c>
      <c r="I129" s="420"/>
      <c r="J129" s="401" t="str">
        <f t="shared" si="35"/>
        <v>rumus</v>
      </c>
      <c r="K129" s="4"/>
      <c r="L129" s="4"/>
      <c r="M129" s="4"/>
      <c r="N129" s="4"/>
      <c r="O129" s="4"/>
      <c r="P129" s="4"/>
      <c r="Q129" s="4"/>
      <c r="R129" s="4"/>
      <c r="S129" s="4"/>
      <c r="T129" s="4"/>
      <c r="U129" s="4"/>
      <c r="V129" s="4"/>
      <c r="W129" s="4"/>
      <c r="X129" s="4"/>
      <c r="Y129" s="4"/>
      <c r="Z129" s="4"/>
    </row>
    <row r="130" spans="1:26" ht="15" customHeight="1" x14ac:dyDescent="0.25">
      <c r="A130" s="109">
        <v>9</v>
      </c>
      <c r="B130" s="397" t="s">
        <v>1164</v>
      </c>
      <c r="C130" s="148" t="s">
        <v>26</v>
      </c>
      <c r="D130" s="148"/>
      <c r="E130" s="398" t="str">
        <f t="shared" si="32"/>
        <v/>
      </c>
      <c r="F130" s="398" t="str">
        <f t="shared" si="33"/>
        <v/>
      </c>
      <c r="G130" s="399" t="str">
        <f t="shared" si="34"/>
        <v>rumus</v>
      </c>
      <c r="H130" s="148" t="s">
        <v>26</v>
      </c>
      <c r="I130" s="420"/>
      <c r="J130" s="401" t="str">
        <f t="shared" si="35"/>
        <v>rumus</v>
      </c>
      <c r="K130" s="4"/>
      <c r="L130" s="4"/>
      <c r="M130" s="4"/>
      <c r="N130" s="4"/>
      <c r="O130" s="4"/>
      <c r="P130" s="4"/>
      <c r="Q130" s="4"/>
      <c r="R130" s="4"/>
      <c r="S130" s="4"/>
      <c r="T130" s="4"/>
      <c r="U130" s="4"/>
      <c r="V130" s="4"/>
      <c r="W130" s="4"/>
      <c r="X130" s="4"/>
      <c r="Y130" s="4"/>
      <c r="Z130" s="4"/>
    </row>
    <row r="131" spans="1:26" ht="15" customHeight="1" x14ac:dyDescent="0.25">
      <c r="A131" s="109">
        <v>10</v>
      </c>
      <c r="B131" s="397" t="s">
        <v>1164</v>
      </c>
      <c r="C131" s="148" t="s">
        <v>26</v>
      </c>
      <c r="D131" s="148"/>
      <c r="E131" s="398" t="str">
        <f t="shared" si="32"/>
        <v/>
      </c>
      <c r="F131" s="398" t="str">
        <f t="shared" si="33"/>
        <v/>
      </c>
      <c r="G131" s="399" t="str">
        <f t="shared" si="34"/>
        <v>rumus</v>
      </c>
      <c r="H131" s="148" t="s">
        <v>26</v>
      </c>
      <c r="I131" s="420"/>
      <c r="J131" s="401" t="str">
        <f t="shared" si="35"/>
        <v>rumus</v>
      </c>
      <c r="K131" s="4"/>
      <c r="L131" s="4"/>
      <c r="M131" s="4"/>
      <c r="N131" s="4"/>
      <c r="O131" s="4"/>
      <c r="P131" s="4"/>
      <c r="Q131" s="4"/>
      <c r="R131" s="4"/>
      <c r="S131" s="4"/>
      <c r="T131" s="4"/>
      <c r="U131" s="4"/>
      <c r="V131" s="4"/>
      <c r="W131" s="4"/>
      <c r="X131" s="4"/>
      <c r="Y131" s="4"/>
      <c r="Z131" s="4"/>
    </row>
    <row r="132" spans="1:26" ht="15.75" customHeight="1" x14ac:dyDescent="0.25">
      <c r="A132" s="128"/>
      <c r="B132" s="614" t="s">
        <v>304</v>
      </c>
      <c r="C132" s="615"/>
      <c r="D132" s="615"/>
      <c r="E132" s="615"/>
      <c r="F132" s="615"/>
      <c r="G132" s="107">
        <f>SUM(J122:J131)</f>
        <v>0</v>
      </c>
      <c r="H132" s="448"/>
      <c r="I132" s="4"/>
      <c r="J132" s="4"/>
      <c r="K132" s="4"/>
      <c r="L132" s="4"/>
      <c r="M132" s="4"/>
      <c r="N132" s="4"/>
      <c r="O132" s="4"/>
      <c r="P132" s="4"/>
      <c r="Q132" s="4"/>
      <c r="R132" s="4"/>
      <c r="S132" s="4"/>
      <c r="T132" s="4"/>
      <c r="U132" s="4"/>
      <c r="V132" s="4"/>
      <c r="W132" s="4"/>
      <c r="X132" s="4"/>
      <c r="Y132" s="4"/>
      <c r="Z132" s="4"/>
    </row>
    <row r="133" spans="1:26" ht="15.75" customHeight="1" x14ac:dyDescent="0.25">
      <c r="A133" s="115" t="s">
        <v>101</v>
      </c>
      <c r="B133" s="412" t="s">
        <v>1165</v>
      </c>
      <c r="C133" s="404"/>
      <c r="D133" s="404"/>
      <c r="E133" s="404"/>
      <c r="F133" s="404"/>
      <c r="G133" s="404"/>
      <c r="H133" s="405"/>
      <c r="I133" s="4"/>
      <c r="J133" s="4"/>
      <c r="K133" s="4"/>
      <c r="L133" s="4"/>
      <c r="M133" s="4"/>
      <c r="N133" s="4"/>
      <c r="O133" s="4"/>
      <c r="P133" s="4"/>
      <c r="Q133" s="4"/>
      <c r="R133" s="4"/>
      <c r="S133" s="4"/>
      <c r="T133" s="4"/>
      <c r="U133" s="4"/>
      <c r="V133" s="4"/>
      <c r="W133" s="4"/>
      <c r="X133" s="4"/>
      <c r="Y133" s="4"/>
      <c r="Z133" s="4"/>
    </row>
    <row r="134" spans="1:26" ht="15.75" customHeight="1" x14ac:dyDescent="0.25">
      <c r="A134" s="109">
        <v>1</v>
      </c>
      <c r="B134" s="397" t="s">
        <v>1166</v>
      </c>
      <c r="C134" s="148" t="s">
        <v>26</v>
      </c>
      <c r="D134" s="148"/>
      <c r="E134" s="398" t="str">
        <f t="shared" ref="E134:E143" si="36">IF(I134&lt;&gt;"",1,"")</f>
        <v/>
      </c>
      <c r="F134" s="398" t="str">
        <f t="shared" ref="F134:F143" si="37">IF(I134&lt;&gt;"",J134,"")</f>
        <v/>
      </c>
      <c r="G134" s="399" t="str">
        <f t="shared" ref="G134:G143" si="38">IF(J134&lt;&gt;"rumus","1 x "&amp;J134&amp;" = "&amp;J134,"rumus")</f>
        <v>rumus</v>
      </c>
      <c r="H134" s="148" t="s">
        <v>26</v>
      </c>
      <c r="I134" s="420"/>
      <c r="J134" s="401" t="str">
        <f t="shared" ref="J134:J143" si="39">IF(I134&lt;&gt;"",IF(I134="a.Tingkat Internasional tiap piagam/medali",5,IF(I134="b.Tingkat Nasional tiap piagam/medali",3,IF(I134="c.Tingkat Daerah/Lokal tiap piagam/medali",1,""))),"rumus")</f>
        <v>rumus</v>
      </c>
      <c r="K134" s="4"/>
      <c r="L134" s="4"/>
      <c r="M134" s="4"/>
      <c r="N134" s="4"/>
      <c r="O134" s="4"/>
      <c r="P134" s="4"/>
      <c r="Q134" s="4"/>
      <c r="R134" s="4"/>
      <c r="S134" s="4"/>
      <c r="T134" s="4"/>
      <c r="U134" s="4"/>
      <c r="V134" s="4"/>
      <c r="W134" s="4"/>
      <c r="X134" s="4"/>
      <c r="Y134" s="4"/>
      <c r="Z134" s="4"/>
    </row>
    <row r="135" spans="1:26" ht="15.75" customHeight="1" x14ac:dyDescent="0.25">
      <c r="A135" s="109">
        <v>2</v>
      </c>
      <c r="B135" s="397" t="s">
        <v>1166</v>
      </c>
      <c r="C135" s="148" t="s">
        <v>26</v>
      </c>
      <c r="D135" s="148"/>
      <c r="E135" s="398" t="str">
        <f t="shared" si="36"/>
        <v/>
      </c>
      <c r="F135" s="398" t="str">
        <f t="shared" si="37"/>
        <v/>
      </c>
      <c r="G135" s="399" t="str">
        <f t="shared" si="38"/>
        <v>rumus</v>
      </c>
      <c r="H135" s="148" t="s">
        <v>26</v>
      </c>
      <c r="I135" s="420"/>
      <c r="J135" s="401" t="str">
        <f t="shared" si="39"/>
        <v>rumus</v>
      </c>
      <c r="K135" s="4"/>
      <c r="L135" s="4"/>
      <c r="M135" s="4"/>
      <c r="N135" s="4"/>
      <c r="O135" s="4"/>
      <c r="P135" s="4"/>
      <c r="Q135" s="4"/>
      <c r="R135" s="4"/>
      <c r="S135" s="4"/>
      <c r="T135" s="4"/>
      <c r="U135" s="4"/>
      <c r="V135" s="4"/>
      <c r="W135" s="4"/>
      <c r="X135" s="4"/>
      <c r="Y135" s="4"/>
      <c r="Z135" s="4"/>
    </row>
    <row r="136" spans="1:26" ht="15.75" customHeight="1" x14ac:dyDescent="0.25">
      <c r="A136" s="109">
        <v>3</v>
      </c>
      <c r="B136" s="397" t="s">
        <v>1166</v>
      </c>
      <c r="C136" s="148" t="s">
        <v>26</v>
      </c>
      <c r="D136" s="148"/>
      <c r="E136" s="398" t="str">
        <f t="shared" si="36"/>
        <v/>
      </c>
      <c r="F136" s="398" t="str">
        <f t="shared" si="37"/>
        <v/>
      </c>
      <c r="G136" s="399" t="str">
        <f t="shared" si="38"/>
        <v>rumus</v>
      </c>
      <c r="H136" s="148" t="s">
        <v>26</v>
      </c>
      <c r="I136" s="420"/>
      <c r="J136" s="401" t="str">
        <f t="shared" si="39"/>
        <v>rumus</v>
      </c>
      <c r="K136" s="4"/>
      <c r="L136" s="4"/>
      <c r="M136" s="4"/>
      <c r="N136" s="4"/>
      <c r="O136" s="4"/>
      <c r="P136" s="4"/>
      <c r="Q136" s="4"/>
      <c r="R136" s="4"/>
      <c r="S136" s="4"/>
      <c r="T136" s="4"/>
      <c r="U136" s="4"/>
      <c r="V136" s="4"/>
      <c r="W136" s="4"/>
      <c r="X136" s="4"/>
      <c r="Y136" s="4"/>
      <c r="Z136" s="4"/>
    </row>
    <row r="137" spans="1:26" ht="15.75" customHeight="1" x14ac:dyDescent="0.25">
      <c r="A137" s="109">
        <v>4</v>
      </c>
      <c r="B137" s="397" t="s">
        <v>1166</v>
      </c>
      <c r="C137" s="148" t="s">
        <v>26</v>
      </c>
      <c r="D137" s="148"/>
      <c r="E137" s="398" t="str">
        <f t="shared" si="36"/>
        <v/>
      </c>
      <c r="F137" s="398" t="str">
        <f t="shared" si="37"/>
        <v/>
      </c>
      <c r="G137" s="399" t="str">
        <f t="shared" si="38"/>
        <v>rumus</v>
      </c>
      <c r="H137" s="148" t="s">
        <v>26</v>
      </c>
      <c r="I137" s="420"/>
      <c r="J137" s="401" t="str">
        <f t="shared" si="39"/>
        <v>rumus</v>
      </c>
      <c r="K137" s="4"/>
      <c r="L137" s="4"/>
      <c r="M137" s="4"/>
      <c r="N137" s="4"/>
      <c r="O137" s="4"/>
      <c r="P137" s="4"/>
      <c r="Q137" s="4"/>
      <c r="R137" s="4"/>
      <c r="S137" s="4"/>
      <c r="T137" s="4"/>
      <c r="U137" s="4"/>
      <c r="V137" s="4"/>
      <c r="W137" s="4"/>
      <c r="X137" s="4"/>
      <c r="Y137" s="4"/>
      <c r="Z137" s="4"/>
    </row>
    <row r="138" spans="1:26" ht="15.75" customHeight="1" x14ac:dyDescent="0.25">
      <c r="A138" s="109">
        <v>5</v>
      </c>
      <c r="B138" s="397" t="s">
        <v>1166</v>
      </c>
      <c r="C138" s="148" t="s">
        <v>26</v>
      </c>
      <c r="D138" s="148"/>
      <c r="E138" s="398" t="str">
        <f t="shared" si="36"/>
        <v/>
      </c>
      <c r="F138" s="398" t="str">
        <f t="shared" si="37"/>
        <v/>
      </c>
      <c r="G138" s="399" t="str">
        <f t="shared" si="38"/>
        <v>rumus</v>
      </c>
      <c r="H138" s="148" t="s">
        <v>26</v>
      </c>
      <c r="I138" s="420"/>
      <c r="J138" s="401" t="str">
        <f t="shared" si="39"/>
        <v>rumus</v>
      </c>
      <c r="K138" s="4"/>
      <c r="L138" s="4"/>
      <c r="M138" s="4"/>
      <c r="N138" s="4"/>
      <c r="O138" s="4"/>
      <c r="P138" s="4"/>
      <c r="Q138" s="4"/>
      <c r="R138" s="4"/>
      <c r="S138" s="4"/>
      <c r="T138" s="4"/>
      <c r="U138" s="4"/>
      <c r="V138" s="4"/>
      <c r="W138" s="4"/>
      <c r="X138" s="4"/>
      <c r="Y138" s="4"/>
      <c r="Z138" s="4"/>
    </row>
    <row r="139" spans="1:26" ht="15.75" customHeight="1" x14ac:dyDescent="0.25">
      <c r="A139" s="109">
        <v>6</v>
      </c>
      <c r="B139" s="397" t="s">
        <v>1166</v>
      </c>
      <c r="C139" s="148" t="s">
        <v>26</v>
      </c>
      <c r="D139" s="148"/>
      <c r="E139" s="398" t="str">
        <f t="shared" si="36"/>
        <v/>
      </c>
      <c r="F139" s="398" t="str">
        <f t="shared" si="37"/>
        <v/>
      </c>
      <c r="G139" s="399" t="str">
        <f t="shared" si="38"/>
        <v>rumus</v>
      </c>
      <c r="H139" s="148" t="s">
        <v>26</v>
      </c>
      <c r="I139" s="420"/>
      <c r="J139" s="401" t="str">
        <f t="shared" si="39"/>
        <v>rumus</v>
      </c>
      <c r="K139" s="4"/>
      <c r="L139" s="4"/>
      <c r="M139" s="4"/>
      <c r="N139" s="4"/>
      <c r="O139" s="4"/>
      <c r="P139" s="4"/>
      <c r="Q139" s="4"/>
      <c r="R139" s="4"/>
      <c r="S139" s="4"/>
      <c r="T139" s="4"/>
      <c r="U139" s="4"/>
      <c r="V139" s="4"/>
      <c r="W139" s="4"/>
      <c r="X139" s="4"/>
      <c r="Y139" s="4"/>
      <c r="Z139" s="4"/>
    </row>
    <row r="140" spans="1:26" ht="15.75" customHeight="1" x14ac:dyDescent="0.25">
      <c r="A140" s="109">
        <v>7</v>
      </c>
      <c r="B140" s="397" t="s">
        <v>1166</v>
      </c>
      <c r="C140" s="148" t="s">
        <v>26</v>
      </c>
      <c r="D140" s="148"/>
      <c r="E140" s="398" t="str">
        <f t="shared" si="36"/>
        <v/>
      </c>
      <c r="F140" s="398" t="str">
        <f t="shared" si="37"/>
        <v/>
      </c>
      <c r="G140" s="399" t="str">
        <f t="shared" si="38"/>
        <v>rumus</v>
      </c>
      <c r="H140" s="148" t="s">
        <v>26</v>
      </c>
      <c r="I140" s="420"/>
      <c r="J140" s="401" t="str">
        <f t="shared" si="39"/>
        <v>rumus</v>
      </c>
      <c r="K140" s="4"/>
      <c r="L140" s="4"/>
      <c r="M140" s="4"/>
      <c r="N140" s="4"/>
      <c r="O140" s="4"/>
      <c r="P140" s="4"/>
      <c r="Q140" s="4"/>
      <c r="R140" s="4"/>
      <c r="S140" s="4"/>
      <c r="T140" s="4"/>
      <c r="U140" s="4"/>
      <c r="V140" s="4"/>
      <c r="W140" s="4"/>
      <c r="X140" s="4"/>
      <c r="Y140" s="4"/>
      <c r="Z140" s="4"/>
    </row>
    <row r="141" spans="1:26" ht="15.75" customHeight="1" x14ac:dyDescent="0.25">
      <c r="A141" s="109">
        <v>8</v>
      </c>
      <c r="B141" s="397" t="s">
        <v>1166</v>
      </c>
      <c r="C141" s="148" t="s">
        <v>26</v>
      </c>
      <c r="D141" s="148"/>
      <c r="E141" s="398" t="str">
        <f t="shared" si="36"/>
        <v/>
      </c>
      <c r="F141" s="398" t="str">
        <f t="shared" si="37"/>
        <v/>
      </c>
      <c r="G141" s="399" t="str">
        <f t="shared" si="38"/>
        <v>rumus</v>
      </c>
      <c r="H141" s="148" t="s">
        <v>26</v>
      </c>
      <c r="I141" s="420"/>
      <c r="J141" s="401" t="str">
        <f t="shared" si="39"/>
        <v>rumus</v>
      </c>
      <c r="K141" s="4"/>
      <c r="L141" s="4"/>
      <c r="M141" s="4"/>
      <c r="N141" s="4"/>
      <c r="O141" s="4"/>
      <c r="P141" s="4"/>
      <c r="Q141" s="4"/>
      <c r="R141" s="4"/>
      <c r="S141" s="4"/>
      <c r="T141" s="4"/>
      <c r="U141" s="4"/>
      <c r="V141" s="4"/>
      <c r="W141" s="4"/>
      <c r="X141" s="4"/>
      <c r="Y141" s="4"/>
      <c r="Z141" s="4"/>
    </row>
    <row r="142" spans="1:26" ht="15.75" customHeight="1" x14ac:dyDescent="0.25">
      <c r="A142" s="109">
        <v>9</v>
      </c>
      <c r="B142" s="397" t="s">
        <v>1166</v>
      </c>
      <c r="C142" s="148" t="s">
        <v>26</v>
      </c>
      <c r="D142" s="148"/>
      <c r="E142" s="398" t="str">
        <f t="shared" si="36"/>
        <v/>
      </c>
      <c r="F142" s="398" t="str">
        <f t="shared" si="37"/>
        <v/>
      </c>
      <c r="G142" s="399" t="str">
        <f t="shared" si="38"/>
        <v>rumus</v>
      </c>
      <c r="H142" s="148" t="s">
        <v>26</v>
      </c>
      <c r="I142" s="420"/>
      <c r="J142" s="401" t="str">
        <f t="shared" si="39"/>
        <v>rumus</v>
      </c>
      <c r="K142" s="4"/>
      <c r="L142" s="4"/>
      <c r="M142" s="4"/>
      <c r="N142" s="4"/>
      <c r="O142" s="4"/>
      <c r="P142" s="4"/>
      <c r="Q142" s="4"/>
      <c r="R142" s="4"/>
      <c r="S142" s="4"/>
      <c r="T142" s="4"/>
      <c r="U142" s="4"/>
      <c r="V142" s="4"/>
      <c r="W142" s="4"/>
      <c r="X142" s="4"/>
      <c r="Y142" s="4"/>
      <c r="Z142" s="4"/>
    </row>
    <row r="143" spans="1:26" ht="15.75" customHeight="1" x14ac:dyDescent="0.25">
      <c r="A143" s="109">
        <v>10</v>
      </c>
      <c r="B143" s="397" t="s">
        <v>1166</v>
      </c>
      <c r="C143" s="148" t="s">
        <v>26</v>
      </c>
      <c r="D143" s="148"/>
      <c r="E143" s="398" t="str">
        <f t="shared" si="36"/>
        <v/>
      </c>
      <c r="F143" s="398" t="str">
        <f t="shared" si="37"/>
        <v/>
      </c>
      <c r="G143" s="399" t="str">
        <f t="shared" si="38"/>
        <v>rumus</v>
      </c>
      <c r="H143" s="148" t="s">
        <v>26</v>
      </c>
      <c r="I143" s="420"/>
      <c r="J143" s="401" t="str">
        <f t="shared" si="39"/>
        <v>rumus</v>
      </c>
      <c r="K143" s="4"/>
      <c r="L143" s="4"/>
      <c r="M143" s="4"/>
      <c r="N143" s="4"/>
      <c r="O143" s="4"/>
      <c r="P143" s="4"/>
      <c r="Q143" s="4"/>
      <c r="R143" s="4"/>
      <c r="S143" s="4"/>
      <c r="T143" s="4"/>
      <c r="U143" s="4"/>
      <c r="V143" s="4"/>
      <c r="W143" s="4"/>
      <c r="X143" s="4"/>
      <c r="Y143" s="4"/>
      <c r="Z143" s="4"/>
    </row>
    <row r="144" spans="1:26" ht="15.75" customHeight="1" x14ac:dyDescent="0.25">
      <c r="A144" s="128"/>
      <c r="B144" s="614" t="s">
        <v>304</v>
      </c>
      <c r="C144" s="615"/>
      <c r="D144" s="615"/>
      <c r="E144" s="615"/>
      <c r="F144" s="615"/>
      <c r="G144" s="107">
        <f>SUM(J134:J143)</f>
        <v>0</v>
      </c>
      <c r="H144" s="448"/>
      <c r="I144" s="4"/>
      <c r="J144" s="4"/>
      <c r="K144" s="4"/>
      <c r="L144" s="4"/>
      <c r="M144" s="4"/>
      <c r="N144" s="4"/>
      <c r="O144" s="4"/>
      <c r="P144" s="4"/>
      <c r="Q144" s="4"/>
      <c r="R144" s="4"/>
      <c r="S144" s="4"/>
      <c r="T144" s="4"/>
      <c r="U144" s="4"/>
      <c r="V144" s="4"/>
      <c r="W144" s="4"/>
      <c r="X144" s="4"/>
      <c r="Y144" s="4"/>
      <c r="Z144" s="4"/>
    </row>
    <row r="145" spans="1:26" ht="15.75" customHeight="1" x14ac:dyDescent="0.25">
      <c r="A145" s="115" t="s">
        <v>111</v>
      </c>
      <c r="B145" s="412" t="s">
        <v>1167</v>
      </c>
      <c r="C145" s="404"/>
      <c r="D145" s="404"/>
      <c r="E145" s="404"/>
      <c r="F145" s="404"/>
      <c r="G145" s="404"/>
      <c r="H145" s="405"/>
      <c r="I145" s="4"/>
      <c r="J145" s="4"/>
      <c r="K145" s="4"/>
      <c r="L145" s="4"/>
      <c r="M145" s="4"/>
      <c r="N145" s="4"/>
      <c r="O145" s="4"/>
      <c r="P145" s="4"/>
      <c r="Q145" s="4"/>
      <c r="R145" s="4"/>
      <c r="S145" s="4"/>
      <c r="T145" s="4"/>
      <c r="U145" s="4"/>
      <c r="V145" s="4"/>
      <c r="W145" s="4"/>
      <c r="X145" s="4"/>
      <c r="Y145" s="4"/>
      <c r="Z145" s="4"/>
    </row>
    <row r="146" spans="1:26" ht="15.75" customHeight="1" x14ac:dyDescent="0.25">
      <c r="A146" s="109">
        <v>1</v>
      </c>
      <c r="B146" s="397" t="s">
        <v>1166</v>
      </c>
      <c r="C146" s="148" t="s">
        <v>26</v>
      </c>
      <c r="D146" s="148"/>
      <c r="E146" s="398" t="str">
        <f t="shared" ref="E146:E155" si="40">IF(I146&lt;&gt;"",1,"")</f>
        <v/>
      </c>
      <c r="F146" s="398" t="str">
        <f t="shared" ref="F146:F155" si="41">IF(I146&lt;&gt;"",J146,"")</f>
        <v/>
      </c>
      <c r="G146" s="399" t="str">
        <f t="shared" ref="G146:G155" si="42">IF(J146&lt;&gt;"rumus","1 x "&amp;J146&amp;" = "&amp;J146,"rumus")</f>
        <v>rumus</v>
      </c>
      <c r="H146" s="148" t="s">
        <v>26</v>
      </c>
      <c r="I146" s="420"/>
      <c r="J146" s="401" t="str">
        <f t="shared" ref="J146:J155" si="43">IF(I146&lt;&gt;"",IF(I146="Menjadi anggota tim penilai jabatan akademik dosen",1,""),"rumus")</f>
        <v>rumus</v>
      </c>
      <c r="K146" s="4"/>
      <c r="L146" s="4"/>
      <c r="M146" s="4"/>
      <c r="N146" s="4"/>
      <c r="O146" s="4"/>
      <c r="P146" s="4"/>
      <c r="Q146" s="4"/>
      <c r="R146" s="4"/>
      <c r="S146" s="4"/>
      <c r="T146" s="4"/>
      <c r="U146" s="4"/>
      <c r="V146" s="4"/>
      <c r="W146" s="4"/>
      <c r="X146" s="4"/>
      <c r="Y146" s="4"/>
      <c r="Z146" s="4"/>
    </row>
    <row r="147" spans="1:26" ht="15.75" customHeight="1" x14ac:dyDescent="0.25">
      <c r="A147" s="109">
        <v>2</v>
      </c>
      <c r="B147" s="397" t="s">
        <v>1166</v>
      </c>
      <c r="C147" s="148" t="s">
        <v>26</v>
      </c>
      <c r="D147" s="148"/>
      <c r="E147" s="398" t="str">
        <f t="shared" si="40"/>
        <v/>
      </c>
      <c r="F147" s="398" t="str">
        <f t="shared" si="41"/>
        <v/>
      </c>
      <c r="G147" s="399" t="str">
        <f t="shared" si="42"/>
        <v>rumus</v>
      </c>
      <c r="H147" s="148" t="s">
        <v>26</v>
      </c>
      <c r="I147" s="420"/>
      <c r="J147" s="401" t="str">
        <f t="shared" si="43"/>
        <v>rumus</v>
      </c>
      <c r="K147" s="4"/>
      <c r="L147" s="4"/>
      <c r="M147" s="4"/>
      <c r="N147" s="4"/>
      <c r="O147" s="4"/>
      <c r="P147" s="4"/>
      <c r="Q147" s="4"/>
      <c r="R147" s="4"/>
      <c r="S147" s="4"/>
      <c r="T147" s="4"/>
      <c r="U147" s="4"/>
      <c r="V147" s="4"/>
      <c r="W147" s="4"/>
      <c r="X147" s="4"/>
      <c r="Y147" s="4"/>
      <c r="Z147" s="4"/>
    </row>
    <row r="148" spans="1:26" ht="15.75" customHeight="1" x14ac:dyDescent="0.25">
      <c r="A148" s="109">
        <v>3</v>
      </c>
      <c r="B148" s="397" t="s">
        <v>1166</v>
      </c>
      <c r="C148" s="148" t="s">
        <v>26</v>
      </c>
      <c r="D148" s="148"/>
      <c r="E148" s="398" t="str">
        <f t="shared" si="40"/>
        <v/>
      </c>
      <c r="F148" s="398" t="str">
        <f t="shared" si="41"/>
        <v/>
      </c>
      <c r="G148" s="399" t="str">
        <f t="shared" si="42"/>
        <v>rumus</v>
      </c>
      <c r="H148" s="148" t="s">
        <v>26</v>
      </c>
      <c r="I148" s="420"/>
      <c r="J148" s="401" t="str">
        <f t="shared" si="43"/>
        <v>rumus</v>
      </c>
      <c r="K148" s="4"/>
      <c r="L148" s="4"/>
      <c r="M148" s="4"/>
      <c r="N148" s="4"/>
      <c r="O148" s="4"/>
      <c r="P148" s="4"/>
      <c r="Q148" s="4"/>
      <c r="R148" s="4"/>
      <c r="S148" s="4"/>
      <c r="T148" s="4"/>
      <c r="U148" s="4"/>
      <c r="V148" s="4"/>
      <c r="W148" s="4"/>
      <c r="X148" s="4"/>
      <c r="Y148" s="4"/>
      <c r="Z148" s="4"/>
    </row>
    <row r="149" spans="1:26" ht="15.75" customHeight="1" x14ac:dyDescent="0.25">
      <c r="A149" s="109">
        <v>4</v>
      </c>
      <c r="B149" s="397" t="s">
        <v>1166</v>
      </c>
      <c r="C149" s="148" t="s">
        <v>26</v>
      </c>
      <c r="D149" s="148"/>
      <c r="E149" s="398" t="str">
        <f t="shared" si="40"/>
        <v/>
      </c>
      <c r="F149" s="398" t="str">
        <f t="shared" si="41"/>
        <v/>
      </c>
      <c r="G149" s="399" t="str">
        <f t="shared" si="42"/>
        <v>rumus</v>
      </c>
      <c r="H149" s="148" t="s">
        <v>26</v>
      </c>
      <c r="I149" s="420"/>
      <c r="J149" s="401" t="str">
        <f t="shared" si="43"/>
        <v>rumus</v>
      </c>
      <c r="K149" s="4"/>
      <c r="L149" s="4"/>
      <c r="M149" s="4"/>
      <c r="N149" s="4"/>
      <c r="O149" s="4"/>
      <c r="P149" s="4"/>
      <c r="Q149" s="4"/>
      <c r="R149" s="4"/>
      <c r="S149" s="4"/>
      <c r="T149" s="4"/>
      <c r="U149" s="4"/>
      <c r="V149" s="4"/>
      <c r="W149" s="4"/>
      <c r="X149" s="4"/>
      <c r="Y149" s="4"/>
      <c r="Z149" s="4"/>
    </row>
    <row r="150" spans="1:26" ht="15.75" customHeight="1" x14ac:dyDescent="0.25">
      <c r="A150" s="109">
        <v>5</v>
      </c>
      <c r="B150" s="397" t="s">
        <v>1166</v>
      </c>
      <c r="C150" s="148" t="s">
        <v>26</v>
      </c>
      <c r="D150" s="148"/>
      <c r="E150" s="398" t="str">
        <f t="shared" si="40"/>
        <v/>
      </c>
      <c r="F150" s="398" t="str">
        <f t="shared" si="41"/>
        <v/>
      </c>
      <c r="G150" s="399" t="str">
        <f t="shared" si="42"/>
        <v>rumus</v>
      </c>
      <c r="H150" s="148" t="s">
        <v>26</v>
      </c>
      <c r="I150" s="420"/>
      <c r="J150" s="401" t="str">
        <f t="shared" si="43"/>
        <v>rumus</v>
      </c>
      <c r="K150" s="4"/>
      <c r="L150" s="4"/>
      <c r="M150" s="4"/>
      <c r="N150" s="4"/>
      <c r="O150" s="4"/>
      <c r="P150" s="4"/>
      <c r="Q150" s="4"/>
      <c r="R150" s="4"/>
      <c r="S150" s="4"/>
      <c r="T150" s="4"/>
      <c r="U150" s="4"/>
      <c r="V150" s="4"/>
      <c r="W150" s="4"/>
      <c r="X150" s="4"/>
      <c r="Y150" s="4"/>
      <c r="Z150" s="4"/>
    </row>
    <row r="151" spans="1:26" ht="15.75" customHeight="1" x14ac:dyDescent="0.25">
      <c r="A151" s="109">
        <v>6</v>
      </c>
      <c r="B151" s="397" t="s">
        <v>1166</v>
      </c>
      <c r="C151" s="148" t="s">
        <v>26</v>
      </c>
      <c r="D151" s="148"/>
      <c r="E151" s="398" t="str">
        <f t="shared" si="40"/>
        <v/>
      </c>
      <c r="F151" s="398" t="str">
        <f t="shared" si="41"/>
        <v/>
      </c>
      <c r="G151" s="399" t="str">
        <f t="shared" si="42"/>
        <v>rumus</v>
      </c>
      <c r="H151" s="148" t="s">
        <v>26</v>
      </c>
      <c r="I151" s="420"/>
      <c r="J151" s="401" t="str">
        <f t="shared" si="43"/>
        <v>rumus</v>
      </c>
      <c r="K151" s="4"/>
      <c r="L151" s="4"/>
      <c r="M151" s="4"/>
      <c r="N151" s="4"/>
      <c r="O151" s="4"/>
      <c r="P151" s="4"/>
      <c r="Q151" s="4"/>
      <c r="R151" s="4"/>
      <c r="S151" s="4"/>
      <c r="T151" s="4"/>
      <c r="U151" s="4"/>
      <c r="V151" s="4"/>
      <c r="W151" s="4"/>
      <c r="X151" s="4"/>
      <c r="Y151" s="4"/>
      <c r="Z151" s="4"/>
    </row>
    <row r="152" spans="1:26" ht="15.75" customHeight="1" x14ac:dyDescent="0.25">
      <c r="A152" s="109">
        <v>7</v>
      </c>
      <c r="B152" s="397" t="s">
        <v>1166</v>
      </c>
      <c r="C152" s="148" t="s">
        <v>26</v>
      </c>
      <c r="D152" s="148"/>
      <c r="E152" s="398" t="str">
        <f t="shared" si="40"/>
        <v/>
      </c>
      <c r="F152" s="398" t="str">
        <f t="shared" si="41"/>
        <v/>
      </c>
      <c r="G152" s="399" t="str">
        <f t="shared" si="42"/>
        <v>rumus</v>
      </c>
      <c r="H152" s="148" t="s">
        <v>26</v>
      </c>
      <c r="I152" s="420"/>
      <c r="J152" s="401" t="str">
        <f t="shared" si="43"/>
        <v>rumus</v>
      </c>
      <c r="K152" s="4"/>
      <c r="L152" s="4"/>
      <c r="M152" s="4"/>
      <c r="N152" s="4"/>
      <c r="O152" s="4"/>
      <c r="P152" s="4"/>
      <c r="Q152" s="4"/>
      <c r="R152" s="4"/>
      <c r="S152" s="4"/>
      <c r="T152" s="4"/>
      <c r="U152" s="4"/>
      <c r="V152" s="4"/>
      <c r="W152" s="4"/>
      <c r="X152" s="4"/>
      <c r="Y152" s="4"/>
      <c r="Z152" s="4"/>
    </row>
    <row r="153" spans="1:26" ht="15.75" customHeight="1" x14ac:dyDescent="0.25">
      <c r="A153" s="109">
        <v>8</v>
      </c>
      <c r="B153" s="397" t="s">
        <v>1166</v>
      </c>
      <c r="C153" s="148" t="s">
        <v>26</v>
      </c>
      <c r="D153" s="148"/>
      <c r="E153" s="398" t="str">
        <f t="shared" si="40"/>
        <v/>
      </c>
      <c r="F153" s="398" t="str">
        <f t="shared" si="41"/>
        <v/>
      </c>
      <c r="G153" s="399" t="str">
        <f t="shared" si="42"/>
        <v>rumus</v>
      </c>
      <c r="H153" s="148" t="s">
        <v>26</v>
      </c>
      <c r="I153" s="420"/>
      <c r="J153" s="401" t="str">
        <f t="shared" si="43"/>
        <v>rumus</v>
      </c>
      <c r="K153" s="4"/>
      <c r="L153" s="4"/>
      <c r="M153" s="4"/>
      <c r="N153" s="4"/>
      <c r="O153" s="4"/>
      <c r="P153" s="4"/>
      <c r="Q153" s="4"/>
      <c r="R153" s="4"/>
      <c r="S153" s="4"/>
      <c r="T153" s="4"/>
      <c r="U153" s="4"/>
      <c r="V153" s="4"/>
      <c r="W153" s="4"/>
      <c r="X153" s="4"/>
      <c r="Y153" s="4"/>
      <c r="Z153" s="4"/>
    </row>
    <row r="154" spans="1:26" ht="15.75" customHeight="1" x14ac:dyDescent="0.25">
      <c r="A154" s="109">
        <v>9</v>
      </c>
      <c r="B154" s="397" t="s">
        <v>1166</v>
      </c>
      <c r="C154" s="148" t="s">
        <v>26</v>
      </c>
      <c r="D154" s="148"/>
      <c r="E154" s="398" t="str">
        <f t="shared" si="40"/>
        <v/>
      </c>
      <c r="F154" s="398" t="str">
        <f t="shared" si="41"/>
        <v/>
      </c>
      <c r="G154" s="399" t="str">
        <f t="shared" si="42"/>
        <v>rumus</v>
      </c>
      <c r="H154" s="148" t="s">
        <v>26</v>
      </c>
      <c r="I154" s="420"/>
      <c r="J154" s="401" t="str">
        <f t="shared" si="43"/>
        <v>rumus</v>
      </c>
      <c r="K154" s="4"/>
      <c r="L154" s="4"/>
      <c r="M154" s="4"/>
      <c r="N154" s="4"/>
      <c r="O154" s="4"/>
      <c r="P154" s="4"/>
      <c r="Q154" s="4"/>
      <c r="R154" s="4"/>
      <c r="S154" s="4"/>
      <c r="T154" s="4"/>
      <c r="U154" s="4"/>
      <c r="V154" s="4"/>
      <c r="W154" s="4"/>
      <c r="X154" s="4"/>
      <c r="Y154" s="4"/>
      <c r="Z154" s="4"/>
    </row>
    <row r="155" spans="1:26" ht="15.75" customHeight="1" x14ac:dyDescent="0.25">
      <c r="A155" s="109">
        <v>10</v>
      </c>
      <c r="B155" s="397" t="s">
        <v>1166</v>
      </c>
      <c r="C155" s="148" t="s">
        <v>26</v>
      </c>
      <c r="D155" s="148"/>
      <c r="E155" s="398" t="str">
        <f t="shared" si="40"/>
        <v/>
      </c>
      <c r="F155" s="398" t="str">
        <f t="shared" si="41"/>
        <v/>
      </c>
      <c r="G155" s="399" t="str">
        <f t="shared" si="42"/>
        <v>rumus</v>
      </c>
      <c r="H155" s="148" t="s">
        <v>26</v>
      </c>
      <c r="I155" s="420"/>
      <c r="J155" s="401" t="str">
        <f t="shared" si="43"/>
        <v>rumus</v>
      </c>
      <c r="K155" s="4"/>
      <c r="L155" s="4"/>
      <c r="M155" s="4"/>
      <c r="N155" s="4"/>
      <c r="O155" s="4"/>
      <c r="P155" s="4"/>
      <c r="Q155" s="4"/>
      <c r="R155" s="4"/>
      <c r="S155" s="4"/>
      <c r="T155" s="4"/>
      <c r="U155" s="4"/>
      <c r="V155" s="4"/>
      <c r="W155" s="4"/>
      <c r="X155" s="4"/>
      <c r="Y155" s="4"/>
      <c r="Z155" s="4"/>
    </row>
    <row r="156" spans="1:26" ht="15.75" customHeight="1" x14ac:dyDescent="0.25">
      <c r="A156" s="128"/>
      <c r="B156" s="614" t="s">
        <v>304</v>
      </c>
      <c r="C156" s="615"/>
      <c r="D156" s="615"/>
      <c r="E156" s="615"/>
      <c r="F156" s="615"/>
      <c r="G156" s="107">
        <f>SUM(J146:J155)</f>
        <v>0</v>
      </c>
      <c r="H156" s="448"/>
      <c r="I156" s="4"/>
      <c r="J156" s="4"/>
      <c r="K156" s="4"/>
      <c r="L156" s="4"/>
      <c r="M156" s="4"/>
      <c r="N156" s="4"/>
      <c r="O156" s="4"/>
      <c r="P156" s="4"/>
      <c r="Q156" s="4"/>
      <c r="R156" s="4"/>
      <c r="S156" s="4"/>
      <c r="T156" s="4"/>
      <c r="U156" s="4"/>
      <c r="V156" s="4"/>
      <c r="W156" s="4"/>
      <c r="X156" s="4"/>
      <c r="Y156" s="4"/>
      <c r="Z156" s="4"/>
    </row>
    <row r="157" spans="1:26" ht="15.75" customHeight="1" x14ac:dyDescent="0.25">
      <c r="A157" s="128"/>
      <c r="B157" s="614" t="s">
        <v>1168</v>
      </c>
      <c r="C157" s="615"/>
      <c r="D157" s="615"/>
      <c r="E157" s="615"/>
      <c r="F157" s="615"/>
      <c r="G157" s="107">
        <f>G36+G48+G60+G72+G84+G108+G120+G132+G144+G156+G96</f>
        <v>5</v>
      </c>
      <c r="H157" s="448"/>
      <c r="I157" s="157"/>
      <c r="J157" s="4"/>
      <c r="K157" s="4"/>
      <c r="L157" s="4"/>
      <c r="M157" s="4"/>
      <c r="N157" s="4"/>
      <c r="O157" s="4"/>
      <c r="P157" s="4"/>
      <c r="Q157" s="4"/>
      <c r="R157" s="4"/>
      <c r="S157" s="4"/>
      <c r="T157" s="4"/>
      <c r="U157" s="4"/>
      <c r="V157" s="4"/>
      <c r="W157" s="4"/>
      <c r="X157" s="4"/>
      <c r="Y157" s="4"/>
      <c r="Z157" s="4"/>
    </row>
    <row r="158" spans="1:26" ht="15.75" customHeight="1" x14ac:dyDescent="0.25">
      <c r="A158" s="159"/>
      <c r="B158" s="160"/>
      <c r="C158" s="160"/>
      <c r="D158" s="160"/>
      <c r="E158" s="160"/>
      <c r="F158" s="160"/>
      <c r="G158" s="161"/>
      <c r="H158" s="162"/>
      <c r="I158" s="4"/>
      <c r="J158" s="4"/>
      <c r="K158" s="4"/>
      <c r="L158" s="4"/>
      <c r="M158" s="4"/>
      <c r="N158" s="4"/>
      <c r="O158" s="4"/>
      <c r="P158" s="4"/>
      <c r="Q158" s="4"/>
      <c r="R158" s="4"/>
      <c r="S158" s="4"/>
      <c r="T158" s="4"/>
      <c r="U158" s="4"/>
      <c r="V158" s="4"/>
      <c r="W158" s="4"/>
      <c r="X158" s="4"/>
      <c r="Y158" s="4"/>
      <c r="Z158" s="4"/>
    </row>
    <row r="159" spans="1:26" ht="15.75" customHeight="1" x14ac:dyDescent="0.25">
      <c r="A159" s="617" t="s">
        <v>826</v>
      </c>
      <c r="B159" s="613"/>
      <c r="C159" s="613"/>
      <c r="D159" s="613"/>
      <c r="E159" s="613"/>
      <c r="F159" s="613"/>
      <c r="G159" s="613"/>
      <c r="H159" s="613"/>
      <c r="I159" s="4"/>
      <c r="J159" s="4"/>
      <c r="K159" s="4"/>
      <c r="L159" s="4"/>
      <c r="M159" s="4"/>
      <c r="N159" s="4"/>
      <c r="O159" s="4"/>
      <c r="P159" s="4"/>
      <c r="Q159" s="4"/>
      <c r="R159" s="4"/>
      <c r="S159" s="4"/>
      <c r="T159" s="4"/>
      <c r="U159" s="4"/>
      <c r="V159" s="4"/>
      <c r="W159" s="4"/>
      <c r="X159" s="4"/>
      <c r="Y159" s="4"/>
      <c r="Z159" s="4"/>
    </row>
    <row r="160" spans="1:26" ht="15.75" customHeight="1" x14ac:dyDescent="0.25">
      <c r="A160" s="618"/>
      <c r="B160" s="613"/>
      <c r="C160" s="613"/>
      <c r="D160" s="613"/>
      <c r="E160" s="613"/>
      <c r="F160" s="613"/>
      <c r="G160" s="613"/>
      <c r="H160" s="613"/>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7" t="s">
        <v>827</v>
      </c>
      <c r="H161" s="131" t="str">
        <f ca="1">"      "&amp;TEXT(TODAY()," mmmm yyyy")</f>
        <v xml:space="preserve">       April 2026</v>
      </c>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618" t="str">
        <f>'LAMPIRAN II DONE'!G1229</f>
        <v>Ketua Program Studi S1 Rekayasa Perangkat Lunak Kampus Surabaya Fakultas Informatika</v>
      </c>
      <c r="F162" s="613"/>
      <c r="G162" s="613"/>
      <c r="H162" s="613"/>
      <c r="I162" s="4"/>
      <c r="J162" s="4"/>
      <c r="K162" s="4"/>
      <c r="L162" s="4"/>
      <c r="M162" s="4"/>
      <c r="N162" s="4"/>
      <c r="O162" s="4"/>
      <c r="P162" s="4"/>
      <c r="Q162" s="4"/>
      <c r="R162" s="4"/>
      <c r="S162" s="4"/>
      <c r="T162" s="4"/>
      <c r="U162" s="4"/>
      <c r="V162" s="4"/>
      <c r="W162" s="4"/>
      <c r="X162" s="4"/>
      <c r="Y162" s="4"/>
      <c r="Z162" s="4"/>
    </row>
    <row r="163" spans="1:26" ht="15.75" customHeight="1" x14ac:dyDescent="0.2">
      <c r="E163" s="613"/>
      <c r="F163" s="613"/>
      <c r="G163" s="613"/>
      <c r="H163" s="613"/>
    </row>
    <row r="164" spans="1:26" ht="15.75" customHeight="1" x14ac:dyDescent="0.25">
      <c r="E164" s="111"/>
      <c r="F164" s="111"/>
      <c r="G164" s="111"/>
      <c r="H164" s="111"/>
    </row>
    <row r="165" spans="1:26" ht="15.75" customHeight="1" x14ac:dyDescent="0.2"/>
    <row r="166" spans="1:26" ht="15.75" customHeight="1" x14ac:dyDescent="0.2"/>
    <row r="167" spans="1:26" ht="15.75" customHeight="1" x14ac:dyDescent="0.2"/>
    <row r="168" spans="1:26" ht="15.75" customHeight="1" x14ac:dyDescent="0.25">
      <c r="E168" s="619" t="str">
        <f>'LAMPIRAN II DONE'!G1235</f>
        <v/>
      </c>
      <c r="F168" s="613"/>
      <c r="G168" s="613"/>
      <c r="H168" s="613"/>
    </row>
    <row r="169" spans="1:26" ht="15.75" customHeight="1" x14ac:dyDescent="0.25">
      <c r="F169" s="163"/>
    </row>
    <row r="170" spans="1:26" ht="15.75" customHeight="1" x14ac:dyDescent="0.25">
      <c r="A170" s="612" t="s">
        <v>828</v>
      </c>
      <c r="B170" s="613"/>
      <c r="C170" s="613"/>
      <c r="D170" s="613"/>
      <c r="E170" s="613"/>
      <c r="F170" s="613"/>
      <c r="G170" s="613"/>
      <c r="H170" s="613"/>
      <c r="I170" s="4"/>
      <c r="J170" s="4"/>
      <c r="K170" s="4"/>
      <c r="L170" s="4"/>
      <c r="M170" s="4"/>
      <c r="N170" s="4"/>
      <c r="O170" s="4"/>
      <c r="P170" s="4"/>
      <c r="Q170" s="4"/>
      <c r="R170" s="4"/>
      <c r="S170" s="4"/>
      <c r="T170" s="4"/>
      <c r="U170" s="4"/>
      <c r="V170" s="4"/>
      <c r="W170" s="4"/>
      <c r="X170" s="4"/>
      <c r="Y170" s="4"/>
      <c r="Z170" s="4"/>
    </row>
    <row r="171" spans="1:26" ht="15.75" customHeight="1" x14ac:dyDescent="0.25">
      <c r="A171" s="612" t="s">
        <v>829</v>
      </c>
      <c r="B171" s="613"/>
      <c r="C171" s="613"/>
      <c r="D171" s="613"/>
      <c r="E171" s="613"/>
      <c r="F171" s="613"/>
      <c r="G171" s="613"/>
      <c r="H171" s="613"/>
      <c r="I171" s="4"/>
      <c r="J171" s="4"/>
      <c r="K171" s="4"/>
      <c r="L171" s="4"/>
      <c r="M171" s="4"/>
      <c r="N171" s="4"/>
      <c r="O171" s="4"/>
      <c r="P171" s="4"/>
      <c r="Q171" s="4"/>
      <c r="R171" s="4"/>
      <c r="S171" s="4"/>
      <c r="T171" s="4"/>
      <c r="U171" s="4"/>
      <c r="V171" s="4"/>
      <c r="W171" s="4"/>
      <c r="X171" s="4"/>
      <c r="Y171" s="4"/>
      <c r="Z171" s="4"/>
    </row>
    <row r="172" spans="1:26" ht="15.75" customHeight="1" x14ac:dyDescent="0.25">
      <c r="A172" s="612" t="s">
        <v>830</v>
      </c>
      <c r="B172" s="613"/>
      <c r="C172" s="613"/>
      <c r="D172" s="613"/>
      <c r="E172" s="613"/>
      <c r="F172" s="613"/>
      <c r="G172" s="613"/>
      <c r="H172" s="613"/>
      <c r="I172" s="4"/>
      <c r="J172" s="4"/>
      <c r="K172" s="4"/>
      <c r="L172" s="4"/>
      <c r="M172" s="4"/>
      <c r="N172" s="4"/>
      <c r="O172" s="4"/>
      <c r="P172" s="4"/>
      <c r="Q172" s="4"/>
      <c r="R172" s="4"/>
      <c r="S172" s="4"/>
      <c r="T172" s="4"/>
      <c r="U172" s="4"/>
      <c r="V172" s="4"/>
      <c r="W172" s="4"/>
      <c r="X172" s="4"/>
      <c r="Y172" s="4"/>
      <c r="Z172" s="4"/>
    </row>
    <row r="173" spans="1:26" ht="15.75" customHeight="1" x14ac:dyDescent="0.25">
      <c r="A173" s="612" t="s">
        <v>831</v>
      </c>
      <c r="B173" s="613"/>
      <c r="C173" s="613"/>
      <c r="D173" s="613"/>
      <c r="E173" s="613"/>
      <c r="F173" s="613"/>
      <c r="G173" s="613"/>
      <c r="H173" s="613"/>
      <c r="I173" s="4"/>
      <c r="J173" s="4"/>
      <c r="K173" s="4"/>
      <c r="L173" s="4"/>
      <c r="M173" s="4"/>
      <c r="N173" s="4"/>
      <c r="O173" s="4"/>
      <c r="P173" s="4"/>
      <c r="Q173" s="4"/>
      <c r="R173" s="4"/>
      <c r="S173" s="4"/>
      <c r="T173" s="4"/>
      <c r="U173" s="4"/>
      <c r="V173" s="4"/>
      <c r="W173" s="4"/>
      <c r="X173" s="4"/>
      <c r="Y173" s="4"/>
      <c r="Z173" s="4"/>
    </row>
    <row r="174" spans="1:26" ht="15.75" customHeight="1" x14ac:dyDescent="0.25">
      <c r="E174" s="619"/>
      <c r="F174" s="613"/>
      <c r="G174" s="613"/>
      <c r="H174" s="613"/>
    </row>
    <row r="175" spans="1:26" ht="15.75" customHeight="1" x14ac:dyDescent="0.25">
      <c r="F175" s="163"/>
    </row>
    <row r="176" spans="1:26" ht="15.75" customHeight="1" x14ac:dyDescent="0.25">
      <c r="F176" s="163"/>
    </row>
    <row r="177" spans="6:6" ht="15.75" customHeight="1" x14ac:dyDescent="0.25">
      <c r="F177" s="163"/>
    </row>
    <row r="178" spans="6:6" ht="15.75" customHeight="1" x14ac:dyDescent="0.25">
      <c r="F178" s="163"/>
    </row>
    <row r="179" spans="6:6" ht="15.75" customHeight="1" x14ac:dyDescent="0.25">
      <c r="F179" s="163"/>
    </row>
    <row r="180" spans="6:6" ht="15.75" customHeight="1" x14ac:dyDescent="0.25">
      <c r="F180" s="163"/>
    </row>
    <row r="181" spans="6:6" ht="15.75" customHeight="1" x14ac:dyDescent="0.25">
      <c r="F181" s="163"/>
    </row>
    <row r="182" spans="6:6" ht="15.75" customHeight="1" x14ac:dyDescent="0.25">
      <c r="F182" s="163"/>
    </row>
    <row r="183" spans="6:6" ht="15.75" customHeight="1" x14ac:dyDescent="0.25">
      <c r="F183" s="163"/>
    </row>
    <row r="184" spans="6:6" ht="15.75" customHeight="1" x14ac:dyDescent="0.25">
      <c r="F184" s="163"/>
    </row>
    <row r="185" spans="6:6" ht="15.75" customHeight="1" x14ac:dyDescent="0.25">
      <c r="F185" s="163"/>
    </row>
    <row r="186" spans="6:6" ht="15.75" customHeight="1" x14ac:dyDescent="0.25">
      <c r="F186" s="163"/>
    </row>
    <row r="187" spans="6:6" ht="15.75" customHeight="1" x14ac:dyDescent="0.25">
      <c r="F187" s="163"/>
    </row>
    <row r="188" spans="6:6" ht="15.75" customHeight="1" x14ac:dyDescent="0.25">
      <c r="F188" s="163"/>
    </row>
    <row r="189" spans="6:6" ht="15.75" customHeight="1" x14ac:dyDescent="0.25">
      <c r="F189" s="163"/>
    </row>
    <row r="190" spans="6:6" ht="15.75" customHeight="1" x14ac:dyDescent="0.25">
      <c r="F190" s="163"/>
    </row>
    <row r="191" spans="6:6" ht="15.75" customHeight="1" x14ac:dyDescent="0.25">
      <c r="F191" s="163"/>
    </row>
    <row r="192" spans="6:6" ht="15.75" customHeight="1" x14ac:dyDescent="0.25">
      <c r="F192" s="163"/>
    </row>
    <row r="193" spans="6:6" ht="15.75" customHeight="1" x14ac:dyDescent="0.25">
      <c r="F193" s="163"/>
    </row>
    <row r="194" spans="6:6" ht="15.75" customHeight="1" x14ac:dyDescent="0.25">
      <c r="F194" s="163"/>
    </row>
    <row r="195" spans="6:6" ht="15.75" customHeight="1" x14ac:dyDescent="0.25">
      <c r="F195" s="163"/>
    </row>
    <row r="196" spans="6:6" ht="15.75" customHeight="1" x14ac:dyDescent="0.25">
      <c r="F196" s="163"/>
    </row>
    <row r="197" spans="6:6" ht="15.75" customHeight="1" x14ac:dyDescent="0.25">
      <c r="F197" s="163"/>
    </row>
    <row r="198" spans="6:6" ht="15.75" customHeight="1" x14ac:dyDescent="0.25">
      <c r="F198" s="163"/>
    </row>
    <row r="199" spans="6:6" ht="15.75" customHeight="1" x14ac:dyDescent="0.25">
      <c r="F199" s="163"/>
    </row>
    <row r="200" spans="6:6" ht="15.75" customHeight="1" x14ac:dyDescent="0.25">
      <c r="F200" s="163"/>
    </row>
    <row r="201" spans="6:6" ht="15.75" customHeight="1" x14ac:dyDescent="0.25">
      <c r="F201" s="163"/>
    </row>
    <row r="202" spans="6:6" ht="15.75" customHeight="1" x14ac:dyDescent="0.25">
      <c r="F202" s="163"/>
    </row>
    <row r="203" spans="6:6" ht="15.75" customHeight="1" x14ac:dyDescent="0.25">
      <c r="F203" s="163"/>
    </row>
    <row r="204" spans="6:6" ht="15.75" customHeight="1" x14ac:dyDescent="0.25">
      <c r="F204" s="163"/>
    </row>
    <row r="205" spans="6:6" ht="15.75" customHeight="1" x14ac:dyDescent="0.25">
      <c r="F205" s="163"/>
    </row>
    <row r="206" spans="6:6" ht="15.75" customHeight="1" x14ac:dyDescent="0.25">
      <c r="F206" s="163"/>
    </row>
    <row r="207" spans="6:6" ht="15.75" customHeight="1" x14ac:dyDescent="0.25">
      <c r="F207" s="163"/>
    </row>
    <row r="208" spans="6:6" ht="15.75" customHeight="1" x14ac:dyDescent="0.25">
      <c r="F208" s="163"/>
    </row>
    <row r="209" spans="6:6" ht="15.75" customHeight="1" x14ac:dyDescent="0.25">
      <c r="F209" s="163"/>
    </row>
    <row r="210" spans="6:6" ht="15.75" customHeight="1" x14ac:dyDescent="0.25">
      <c r="F210" s="163"/>
    </row>
    <row r="211" spans="6:6" ht="15.75" customHeight="1" x14ac:dyDescent="0.25">
      <c r="F211" s="163"/>
    </row>
    <row r="212" spans="6:6" ht="15.75" customHeight="1" x14ac:dyDescent="0.25">
      <c r="F212" s="163"/>
    </row>
    <row r="213" spans="6:6" ht="15.75" customHeight="1" x14ac:dyDescent="0.25">
      <c r="F213" s="163"/>
    </row>
    <row r="214" spans="6:6" ht="15.75" customHeight="1" x14ac:dyDescent="0.25">
      <c r="F214" s="163"/>
    </row>
    <row r="215" spans="6:6" ht="15.75" customHeight="1" x14ac:dyDescent="0.25">
      <c r="F215" s="163"/>
    </row>
    <row r="216" spans="6:6" ht="15.75" customHeight="1" x14ac:dyDescent="0.25">
      <c r="F216" s="163"/>
    </row>
    <row r="217" spans="6:6" ht="15.75" customHeight="1" x14ac:dyDescent="0.25">
      <c r="F217" s="163"/>
    </row>
    <row r="218" spans="6:6" ht="15.75" customHeight="1" x14ac:dyDescent="0.25">
      <c r="F218" s="163"/>
    </row>
    <row r="219" spans="6:6" ht="15.75" customHeight="1" x14ac:dyDescent="0.25">
      <c r="F219" s="163"/>
    </row>
    <row r="220" spans="6:6" ht="15.75" customHeight="1" x14ac:dyDescent="0.25">
      <c r="F220" s="163"/>
    </row>
    <row r="221" spans="6:6" ht="15.75" customHeight="1" x14ac:dyDescent="0.25">
      <c r="F221" s="163"/>
    </row>
    <row r="222" spans="6:6" ht="15.75" customHeight="1" x14ac:dyDescent="0.25">
      <c r="F222" s="163"/>
    </row>
    <row r="223" spans="6:6" ht="15.75" customHeight="1" x14ac:dyDescent="0.25">
      <c r="F223" s="163"/>
    </row>
    <row r="224" spans="6:6" ht="15.75" customHeight="1" x14ac:dyDescent="0.25">
      <c r="F224" s="163"/>
    </row>
    <row r="225" spans="6:6" ht="15.75" customHeight="1" x14ac:dyDescent="0.25">
      <c r="F225" s="163"/>
    </row>
    <row r="226" spans="6:6" ht="15.75" customHeight="1" x14ac:dyDescent="0.25">
      <c r="F226" s="163"/>
    </row>
    <row r="227" spans="6:6" ht="15.75" customHeight="1" x14ac:dyDescent="0.25">
      <c r="F227" s="163"/>
    </row>
    <row r="228" spans="6:6" ht="15.75" customHeight="1" x14ac:dyDescent="0.25">
      <c r="F228" s="163"/>
    </row>
    <row r="229" spans="6:6" ht="15.75" customHeight="1" x14ac:dyDescent="0.25">
      <c r="F229" s="163"/>
    </row>
    <row r="230" spans="6:6" ht="15.75" customHeight="1" x14ac:dyDescent="0.25">
      <c r="F230" s="163"/>
    </row>
    <row r="231" spans="6:6" ht="15.75" customHeight="1" x14ac:dyDescent="0.25">
      <c r="F231" s="163"/>
    </row>
    <row r="232" spans="6:6" ht="15.75" customHeight="1" x14ac:dyDescent="0.25">
      <c r="F232" s="163"/>
    </row>
    <row r="233" spans="6:6" ht="15.75" customHeight="1" x14ac:dyDescent="0.25">
      <c r="F233" s="163"/>
    </row>
    <row r="234" spans="6:6" ht="15.75" customHeight="1" x14ac:dyDescent="0.25">
      <c r="F234" s="163"/>
    </row>
    <row r="235" spans="6:6" ht="15.75" customHeight="1" x14ac:dyDescent="0.25">
      <c r="F235" s="163"/>
    </row>
    <row r="236" spans="6:6" ht="15.75" customHeight="1" x14ac:dyDescent="0.25">
      <c r="F236" s="163"/>
    </row>
    <row r="237" spans="6:6" ht="15.75" customHeight="1" x14ac:dyDescent="0.25">
      <c r="F237" s="163"/>
    </row>
    <row r="238" spans="6:6" ht="15.75" customHeight="1" x14ac:dyDescent="0.25">
      <c r="F238" s="163"/>
    </row>
    <row r="239" spans="6:6" ht="15.75" customHeight="1" x14ac:dyDescent="0.25">
      <c r="F239" s="163"/>
    </row>
    <row r="240" spans="6:6" ht="15.75" customHeight="1" x14ac:dyDescent="0.25">
      <c r="F240" s="163"/>
    </row>
    <row r="241" spans="6:6" ht="15.75" customHeight="1" x14ac:dyDescent="0.25">
      <c r="F241" s="163"/>
    </row>
    <row r="242" spans="6:6" ht="15.75" customHeight="1" x14ac:dyDescent="0.25">
      <c r="F242" s="163"/>
    </row>
    <row r="243" spans="6:6" ht="15.75" customHeight="1" x14ac:dyDescent="0.25">
      <c r="F243" s="163"/>
    </row>
    <row r="244" spans="6:6" ht="15.75" customHeight="1" x14ac:dyDescent="0.25">
      <c r="F244" s="163"/>
    </row>
    <row r="245" spans="6:6" ht="15.75" customHeight="1" x14ac:dyDescent="0.25">
      <c r="F245" s="163"/>
    </row>
    <row r="246" spans="6:6" ht="15.75" customHeight="1" x14ac:dyDescent="0.25">
      <c r="F246" s="163"/>
    </row>
    <row r="247" spans="6:6" ht="15.75" customHeight="1" x14ac:dyDescent="0.25">
      <c r="F247" s="163"/>
    </row>
    <row r="248" spans="6:6" ht="15.75" customHeight="1" x14ac:dyDescent="0.25">
      <c r="F248" s="163"/>
    </row>
    <row r="249" spans="6:6" ht="15.75" customHeight="1" x14ac:dyDescent="0.25">
      <c r="F249" s="163"/>
    </row>
    <row r="250" spans="6:6" ht="15.75" customHeight="1" x14ac:dyDescent="0.25">
      <c r="F250" s="163"/>
    </row>
    <row r="251" spans="6:6" ht="15.75" customHeight="1" x14ac:dyDescent="0.25">
      <c r="F251" s="163"/>
    </row>
    <row r="252" spans="6:6" ht="15.75" customHeight="1" x14ac:dyDescent="0.25">
      <c r="F252" s="163"/>
    </row>
    <row r="253" spans="6:6" ht="15.75" customHeight="1" x14ac:dyDescent="0.25">
      <c r="F253" s="163"/>
    </row>
    <row r="254" spans="6:6" ht="15.75" customHeight="1" x14ac:dyDescent="0.25">
      <c r="F254" s="163"/>
    </row>
    <row r="255" spans="6:6" ht="15.75" customHeight="1" x14ac:dyDescent="0.25">
      <c r="F255" s="163"/>
    </row>
    <row r="256" spans="6:6" ht="15.75" customHeight="1" x14ac:dyDescent="0.25">
      <c r="F256" s="163"/>
    </row>
    <row r="257" spans="6:6" ht="15.75" customHeight="1" x14ac:dyDescent="0.25">
      <c r="F257" s="163"/>
    </row>
    <row r="258" spans="6:6" ht="15.75" customHeight="1" x14ac:dyDescent="0.25">
      <c r="F258" s="163"/>
    </row>
    <row r="259" spans="6:6" ht="15.75" customHeight="1" x14ac:dyDescent="0.25">
      <c r="F259" s="163"/>
    </row>
    <row r="260" spans="6:6" ht="15.75" customHeight="1" x14ac:dyDescent="0.25">
      <c r="F260" s="163"/>
    </row>
    <row r="261" spans="6:6" ht="15.75" customHeight="1" x14ac:dyDescent="0.25">
      <c r="F261" s="163"/>
    </row>
    <row r="262" spans="6:6" ht="15.75" customHeight="1" x14ac:dyDescent="0.25">
      <c r="F262" s="163"/>
    </row>
    <row r="263" spans="6:6" ht="15.75" customHeight="1" x14ac:dyDescent="0.25">
      <c r="F263" s="163"/>
    </row>
    <row r="264" spans="6:6" ht="15.75" customHeight="1" x14ac:dyDescent="0.25">
      <c r="F264" s="163"/>
    </row>
    <row r="265" spans="6:6" ht="15.75" customHeight="1" x14ac:dyDescent="0.25">
      <c r="F265" s="163"/>
    </row>
    <row r="266" spans="6:6" ht="15.75" customHeight="1" x14ac:dyDescent="0.25">
      <c r="F266" s="163"/>
    </row>
    <row r="267" spans="6:6" ht="15.75" customHeight="1" x14ac:dyDescent="0.25">
      <c r="F267" s="163"/>
    </row>
    <row r="268" spans="6:6" ht="15.75" customHeight="1" x14ac:dyDescent="0.25">
      <c r="F268" s="163"/>
    </row>
    <row r="269" spans="6:6" ht="15.75" customHeight="1" x14ac:dyDescent="0.25">
      <c r="F269" s="163"/>
    </row>
    <row r="270" spans="6:6" ht="15.75" customHeight="1" x14ac:dyDescent="0.25">
      <c r="F270" s="163"/>
    </row>
    <row r="271" spans="6:6" ht="15.75" customHeight="1" x14ac:dyDescent="0.25">
      <c r="F271" s="163"/>
    </row>
    <row r="272" spans="6:6" ht="15.75" customHeight="1" x14ac:dyDescent="0.25">
      <c r="F272" s="163"/>
    </row>
    <row r="273" spans="6:6" ht="15.75" customHeight="1" x14ac:dyDescent="0.25">
      <c r="F273" s="163"/>
    </row>
    <row r="274" spans="6:6" ht="15.75" customHeight="1" x14ac:dyDescent="0.25">
      <c r="F274" s="163"/>
    </row>
    <row r="275" spans="6:6" ht="15.75" customHeight="1" x14ac:dyDescent="0.25">
      <c r="F275" s="163"/>
    </row>
    <row r="276" spans="6:6" ht="15.75" customHeight="1" x14ac:dyDescent="0.25">
      <c r="F276" s="163"/>
    </row>
    <row r="277" spans="6:6" ht="15.75" customHeight="1" x14ac:dyDescent="0.25">
      <c r="F277" s="163"/>
    </row>
    <row r="278" spans="6:6" ht="15.75" customHeight="1" x14ac:dyDescent="0.25">
      <c r="F278" s="163"/>
    </row>
    <row r="279" spans="6:6" ht="15.75" customHeight="1" x14ac:dyDescent="0.25">
      <c r="F279" s="163"/>
    </row>
    <row r="280" spans="6:6" ht="15.75" customHeight="1" x14ac:dyDescent="0.25">
      <c r="F280" s="163"/>
    </row>
    <row r="281" spans="6:6" ht="15.75" customHeight="1" x14ac:dyDescent="0.25">
      <c r="F281" s="163"/>
    </row>
    <row r="282" spans="6:6" ht="15.75" customHeight="1" x14ac:dyDescent="0.25">
      <c r="F282" s="163"/>
    </row>
    <row r="283" spans="6:6" ht="15.75" customHeight="1" x14ac:dyDescent="0.25">
      <c r="F283" s="163"/>
    </row>
    <row r="284" spans="6:6" ht="15.75" customHeight="1" x14ac:dyDescent="0.25">
      <c r="F284" s="163"/>
    </row>
    <row r="285" spans="6:6" ht="15.75" customHeight="1" x14ac:dyDescent="0.25">
      <c r="F285" s="163"/>
    </row>
    <row r="286" spans="6:6" ht="15.75" customHeight="1" x14ac:dyDescent="0.25">
      <c r="F286" s="163"/>
    </row>
    <row r="287" spans="6:6" ht="15.75" customHeight="1" x14ac:dyDescent="0.25">
      <c r="F287" s="163"/>
    </row>
    <row r="288" spans="6:6" ht="15.75" customHeight="1" x14ac:dyDescent="0.25">
      <c r="F288" s="163"/>
    </row>
    <row r="289" spans="6:6" ht="15.75" customHeight="1" x14ac:dyDescent="0.25">
      <c r="F289" s="163"/>
    </row>
    <row r="290" spans="6:6" ht="15.75" customHeight="1" x14ac:dyDescent="0.25">
      <c r="F290" s="163"/>
    </row>
    <row r="291" spans="6:6" ht="15.75" customHeight="1" x14ac:dyDescent="0.25">
      <c r="F291" s="163"/>
    </row>
    <row r="292" spans="6:6" ht="15.75" customHeight="1" x14ac:dyDescent="0.25">
      <c r="F292" s="163"/>
    </row>
    <row r="293" spans="6:6" ht="15.75" customHeight="1" x14ac:dyDescent="0.25">
      <c r="F293" s="163"/>
    </row>
    <row r="294" spans="6:6" ht="15.75" customHeight="1" x14ac:dyDescent="0.25">
      <c r="F294" s="163"/>
    </row>
    <row r="295" spans="6:6" ht="15.75" customHeight="1" x14ac:dyDescent="0.25">
      <c r="F295" s="163"/>
    </row>
    <row r="296" spans="6:6" ht="15.75" customHeight="1" x14ac:dyDescent="0.25">
      <c r="F296" s="163"/>
    </row>
    <row r="297" spans="6:6" ht="15.75" customHeight="1" x14ac:dyDescent="0.25">
      <c r="F297" s="163"/>
    </row>
    <row r="298" spans="6:6" ht="15.75" customHeight="1" x14ac:dyDescent="0.25">
      <c r="F298" s="163"/>
    </row>
    <row r="299" spans="6:6" ht="15.75" customHeight="1" x14ac:dyDescent="0.25">
      <c r="F299" s="163"/>
    </row>
    <row r="300" spans="6:6" ht="15.75" customHeight="1" x14ac:dyDescent="0.25">
      <c r="F300" s="163"/>
    </row>
    <row r="301" spans="6:6" ht="15.75" customHeight="1" x14ac:dyDescent="0.25">
      <c r="F301" s="163"/>
    </row>
    <row r="302" spans="6:6" ht="15.75" customHeight="1" x14ac:dyDescent="0.25">
      <c r="F302" s="163"/>
    </row>
    <row r="303" spans="6:6" ht="15.75" customHeight="1" x14ac:dyDescent="0.25">
      <c r="F303" s="163"/>
    </row>
    <row r="304" spans="6:6" ht="15.75" customHeight="1" x14ac:dyDescent="0.25">
      <c r="F304" s="163"/>
    </row>
    <row r="305" spans="6:6" ht="15.75" customHeight="1" x14ac:dyDescent="0.25">
      <c r="F305" s="163"/>
    </row>
    <row r="306" spans="6:6" ht="15.75" customHeight="1" x14ac:dyDescent="0.25">
      <c r="F306" s="163"/>
    </row>
    <row r="307" spans="6:6" ht="15.75" customHeight="1" x14ac:dyDescent="0.25">
      <c r="F307" s="163"/>
    </row>
    <row r="308" spans="6:6" ht="15.75" customHeight="1" x14ac:dyDescent="0.25">
      <c r="F308" s="163"/>
    </row>
    <row r="309" spans="6:6" ht="15.75" customHeight="1" x14ac:dyDescent="0.25">
      <c r="F309" s="163"/>
    </row>
    <row r="310" spans="6:6" ht="15.75" customHeight="1" x14ac:dyDescent="0.25">
      <c r="F310" s="163"/>
    </row>
    <row r="311" spans="6:6" ht="15.75" customHeight="1" x14ac:dyDescent="0.25">
      <c r="F311" s="163"/>
    </row>
    <row r="312" spans="6:6" ht="15.75" customHeight="1" x14ac:dyDescent="0.25">
      <c r="F312" s="163"/>
    </row>
    <row r="313" spans="6:6" ht="15.75" customHeight="1" x14ac:dyDescent="0.25">
      <c r="F313" s="163"/>
    </row>
    <row r="314" spans="6:6" ht="15.75" customHeight="1" x14ac:dyDescent="0.25">
      <c r="F314" s="163"/>
    </row>
    <row r="315" spans="6:6" ht="15.75" customHeight="1" x14ac:dyDescent="0.25">
      <c r="F315" s="163"/>
    </row>
    <row r="316" spans="6:6" ht="15.75" customHeight="1" x14ac:dyDescent="0.25">
      <c r="F316" s="163"/>
    </row>
    <row r="317" spans="6:6" ht="15.75" customHeight="1" x14ac:dyDescent="0.25">
      <c r="F317" s="163"/>
    </row>
    <row r="318" spans="6:6" ht="15.75" customHeight="1" x14ac:dyDescent="0.25">
      <c r="F318" s="163"/>
    </row>
    <row r="319" spans="6:6" ht="15.75" customHeight="1" x14ac:dyDescent="0.25">
      <c r="F319" s="163"/>
    </row>
    <row r="320" spans="6:6" ht="15.75" customHeight="1" x14ac:dyDescent="0.25">
      <c r="F320" s="163"/>
    </row>
    <row r="321" spans="6:6" ht="15.75" customHeight="1" x14ac:dyDescent="0.25">
      <c r="F321" s="163"/>
    </row>
    <row r="322" spans="6:6" ht="15.75" customHeight="1" x14ac:dyDescent="0.25">
      <c r="F322" s="163"/>
    </row>
    <row r="323" spans="6:6" ht="15.75" customHeight="1" x14ac:dyDescent="0.25">
      <c r="F323" s="163"/>
    </row>
    <row r="324" spans="6:6" ht="15.75" customHeight="1" x14ac:dyDescent="0.25">
      <c r="F324" s="163"/>
    </row>
    <row r="325" spans="6:6" ht="15.75" customHeight="1" x14ac:dyDescent="0.25">
      <c r="F325" s="163"/>
    </row>
    <row r="326" spans="6:6" ht="15.75" customHeight="1" x14ac:dyDescent="0.25">
      <c r="F326" s="163"/>
    </row>
    <row r="327" spans="6:6" ht="15.75" customHeight="1" x14ac:dyDescent="0.25">
      <c r="F327" s="163"/>
    </row>
    <row r="328" spans="6:6" ht="15.75" customHeight="1" x14ac:dyDescent="0.25">
      <c r="F328" s="163"/>
    </row>
    <row r="329" spans="6:6" ht="15.75" customHeight="1" x14ac:dyDescent="0.25">
      <c r="F329" s="163"/>
    </row>
    <row r="330" spans="6:6" ht="15.75" customHeight="1" x14ac:dyDescent="0.25">
      <c r="F330" s="163"/>
    </row>
    <row r="331" spans="6:6" ht="15.75" customHeight="1" x14ac:dyDescent="0.25">
      <c r="F331" s="163"/>
    </row>
    <row r="332" spans="6:6" ht="15.75" customHeight="1" x14ac:dyDescent="0.25">
      <c r="F332" s="163"/>
    </row>
    <row r="333" spans="6:6" ht="15.75" customHeight="1" x14ac:dyDescent="0.25">
      <c r="F333" s="163"/>
    </row>
    <row r="334" spans="6:6" ht="15.75" customHeight="1" x14ac:dyDescent="0.25">
      <c r="F334" s="163"/>
    </row>
    <row r="335" spans="6:6" ht="15.75" customHeight="1" x14ac:dyDescent="0.25">
      <c r="F335" s="163"/>
    </row>
    <row r="336" spans="6:6" ht="15.75" customHeight="1" x14ac:dyDescent="0.25">
      <c r="F336" s="163"/>
    </row>
    <row r="337" spans="6:6" ht="15.75" customHeight="1" x14ac:dyDescent="0.25">
      <c r="F337" s="163"/>
    </row>
    <row r="338" spans="6:6" ht="15.75" customHeight="1" x14ac:dyDescent="0.25">
      <c r="F338" s="163"/>
    </row>
    <row r="339" spans="6:6" ht="15.75" customHeight="1" x14ac:dyDescent="0.25">
      <c r="F339" s="163"/>
    </row>
    <row r="340" spans="6:6" ht="15.75" customHeight="1" x14ac:dyDescent="0.25">
      <c r="F340" s="163"/>
    </row>
    <row r="341" spans="6:6" ht="15.75" customHeight="1" x14ac:dyDescent="0.25">
      <c r="F341" s="163"/>
    </row>
    <row r="342" spans="6:6" ht="15.75" customHeight="1" x14ac:dyDescent="0.25">
      <c r="F342" s="163"/>
    </row>
    <row r="343" spans="6:6" ht="15.75" customHeight="1" x14ac:dyDescent="0.25">
      <c r="F343" s="163"/>
    </row>
    <row r="344" spans="6:6" ht="15.75" customHeight="1" x14ac:dyDescent="0.25">
      <c r="F344" s="163"/>
    </row>
    <row r="345" spans="6:6" ht="15.75" customHeight="1" x14ac:dyDescent="0.25">
      <c r="F345" s="163"/>
    </row>
    <row r="346" spans="6:6" ht="15.75" customHeight="1" x14ac:dyDescent="0.25">
      <c r="F346" s="163"/>
    </row>
    <row r="347" spans="6:6" ht="15.75" customHeight="1" x14ac:dyDescent="0.25">
      <c r="F347" s="163"/>
    </row>
    <row r="348" spans="6:6" ht="15.75" customHeight="1" x14ac:dyDescent="0.25">
      <c r="F348" s="163"/>
    </row>
    <row r="349" spans="6:6" ht="15.75" customHeight="1" x14ac:dyDescent="0.25">
      <c r="F349" s="163"/>
    </row>
    <row r="350" spans="6:6" ht="15.75" customHeight="1" x14ac:dyDescent="0.25">
      <c r="F350" s="163"/>
    </row>
    <row r="351" spans="6:6" ht="15.75" customHeight="1" x14ac:dyDescent="0.25">
      <c r="F351" s="163"/>
    </row>
    <row r="352" spans="6:6" ht="15.75" customHeight="1" x14ac:dyDescent="0.25">
      <c r="F352" s="163"/>
    </row>
    <row r="353" spans="6:6" ht="15.75" customHeight="1" x14ac:dyDescent="0.25">
      <c r="F353" s="163"/>
    </row>
    <row r="354" spans="6:6" ht="15.75" customHeight="1" x14ac:dyDescent="0.25">
      <c r="F354" s="163"/>
    </row>
    <row r="355" spans="6:6" ht="15.75" customHeight="1" x14ac:dyDescent="0.25">
      <c r="F355" s="163"/>
    </row>
    <row r="356" spans="6:6" ht="15.75" customHeight="1" x14ac:dyDescent="0.25">
      <c r="F356" s="163"/>
    </row>
    <row r="357" spans="6:6" ht="15.75" customHeight="1" x14ac:dyDescent="0.25">
      <c r="F357" s="163"/>
    </row>
    <row r="358" spans="6:6" ht="15.75" customHeight="1" x14ac:dyDescent="0.25">
      <c r="F358" s="163"/>
    </row>
    <row r="359" spans="6:6" ht="15.75" customHeight="1" x14ac:dyDescent="0.25">
      <c r="F359" s="163"/>
    </row>
    <row r="360" spans="6:6" ht="15.75" customHeight="1" x14ac:dyDescent="0.25">
      <c r="F360" s="163"/>
    </row>
    <row r="361" spans="6:6" ht="15.75" customHeight="1" x14ac:dyDescent="0.25">
      <c r="F361" s="163"/>
    </row>
    <row r="362" spans="6:6" ht="15.75" customHeight="1" x14ac:dyDescent="0.25">
      <c r="F362" s="163"/>
    </row>
    <row r="363" spans="6:6" ht="15.75" customHeight="1" x14ac:dyDescent="0.25">
      <c r="F363" s="163"/>
    </row>
    <row r="364" spans="6:6" ht="15.75" customHeight="1" x14ac:dyDescent="0.25">
      <c r="F364" s="163"/>
    </row>
    <row r="365" spans="6:6" ht="15.75" customHeight="1" x14ac:dyDescent="0.25">
      <c r="F365" s="163"/>
    </row>
    <row r="366" spans="6:6" ht="15.75" customHeight="1" x14ac:dyDescent="0.25">
      <c r="F366" s="163"/>
    </row>
    <row r="367" spans="6:6" ht="15.75" customHeight="1" x14ac:dyDescent="0.25">
      <c r="F367" s="163"/>
    </row>
    <row r="368" spans="6:6" ht="15.75" customHeight="1" x14ac:dyDescent="0.25">
      <c r="F368" s="163"/>
    </row>
    <row r="369" spans="6:6" ht="15.75" customHeight="1" x14ac:dyDescent="0.25">
      <c r="F369" s="163"/>
    </row>
    <row r="370" spans="6:6" ht="15.75" customHeight="1" x14ac:dyDescent="0.25">
      <c r="F370" s="163"/>
    </row>
    <row r="371" spans="6:6" ht="15.75" customHeight="1" x14ac:dyDescent="0.25">
      <c r="F371" s="163"/>
    </row>
    <row r="372" spans="6:6" ht="15.75" customHeight="1" x14ac:dyDescent="0.25">
      <c r="F372" s="163"/>
    </row>
    <row r="373" spans="6:6" ht="15.75" customHeight="1" x14ac:dyDescent="0.25">
      <c r="F373" s="163"/>
    </row>
    <row r="374" spans="6:6" ht="15.75" customHeight="1" x14ac:dyDescent="0.25">
      <c r="F374" s="163"/>
    </row>
    <row r="375" spans="6:6" ht="15.75" customHeight="1" x14ac:dyDescent="0.25">
      <c r="F375" s="163"/>
    </row>
    <row r="376" spans="6:6" ht="15.75" customHeight="1" x14ac:dyDescent="0.25">
      <c r="F376" s="163"/>
    </row>
    <row r="377" spans="6:6" ht="15.75" customHeight="1" x14ac:dyDescent="0.25">
      <c r="F377" s="163"/>
    </row>
    <row r="378" spans="6:6" ht="15.75" customHeight="1" x14ac:dyDescent="0.25">
      <c r="F378" s="163"/>
    </row>
    <row r="379" spans="6:6" ht="15.75" customHeight="1" x14ac:dyDescent="0.25">
      <c r="F379" s="163"/>
    </row>
    <row r="380" spans="6:6" ht="15.75" customHeight="1" x14ac:dyDescent="0.25">
      <c r="F380" s="163"/>
    </row>
    <row r="381" spans="6:6" ht="15.75" customHeight="1" x14ac:dyDescent="0.25">
      <c r="F381" s="163"/>
    </row>
    <row r="382" spans="6:6" ht="15.75" customHeight="1" x14ac:dyDescent="0.25">
      <c r="F382" s="163"/>
    </row>
    <row r="383" spans="6:6" ht="15.75" customHeight="1" x14ac:dyDescent="0.25">
      <c r="F383" s="163"/>
    </row>
    <row r="384" spans="6:6" ht="15.75" customHeight="1" x14ac:dyDescent="0.25">
      <c r="F384" s="163"/>
    </row>
    <row r="385" spans="6:6" ht="15.75" customHeight="1" x14ac:dyDescent="0.25">
      <c r="F385" s="163"/>
    </row>
    <row r="386" spans="6:6" ht="15.75" customHeight="1" x14ac:dyDescent="0.25">
      <c r="F386" s="163"/>
    </row>
    <row r="387" spans="6:6" ht="15.75" customHeight="1" x14ac:dyDescent="0.25">
      <c r="F387" s="163"/>
    </row>
    <row r="388" spans="6:6" ht="15.75" customHeight="1" x14ac:dyDescent="0.25">
      <c r="F388" s="163"/>
    </row>
    <row r="389" spans="6:6" ht="15.75" customHeight="1" x14ac:dyDescent="0.25">
      <c r="F389" s="163"/>
    </row>
    <row r="390" spans="6:6" ht="15.75" customHeight="1" x14ac:dyDescent="0.25">
      <c r="F390" s="163"/>
    </row>
    <row r="391" spans="6:6" ht="15.75" customHeight="1" x14ac:dyDescent="0.25">
      <c r="F391" s="163"/>
    </row>
    <row r="392" spans="6:6" ht="15.75" customHeight="1" x14ac:dyDescent="0.25">
      <c r="F392" s="163"/>
    </row>
    <row r="393" spans="6:6" ht="15.75" customHeight="1" x14ac:dyDescent="0.25">
      <c r="F393" s="163"/>
    </row>
    <row r="394" spans="6:6" ht="15.75" customHeight="1" x14ac:dyDescent="0.25">
      <c r="F394" s="163"/>
    </row>
    <row r="395" spans="6:6" ht="15.75" customHeight="1" x14ac:dyDescent="0.25">
      <c r="F395" s="163"/>
    </row>
    <row r="396" spans="6:6" ht="15.75" customHeight="1" x14ac:dyDescent="0.25">
      <c r="F396" s="163"/>
    </row>
    <row r="397" spans="6:6" ht="15.75" customHeight="1" x14ac:dyDescent="0.25">
      <c r="F397" s="163"/>
    </row>
    <row r="398" spans="6:6" ht="15.75" customHeight="1" x14ac:dyDescent="0.25">
      <c r="F398" s="163"/>
    </row>
    <row r="399" spans="6:6" ht="15.75" customHeight="1" x14ac:dyDescent="0.25">
      <c r="F399" s="163"/>
    </row>
    <row r="400" spans="6:6" ht="15.75" customHeight="1" x14ac:dyDescent="0.25">
      <c r="F400" s="163"/>
    </row>
    <row r="401" spans="6:6" ht="15.75" customHeight="1" x14ac:dyDescent="0.25">
      <c r="F401" s="163"/>
    </row>
    <row r="402" spans="6:6" ht="15.75" customHeight="1" x14ac:dyDescent="0.25">
      <c r="F402" s="163"/>
    </row>
    <row r="403" spans="6:6" ht="15.75" customHeight="1" x14ac:dyDescent="0.25">
      <c r="F403" s="163"/>
    </row>
    <row r="404" spans="6:6" ht="15.75" customHeight="1" x14ac:dyDescent="0.25">
      <c r="F404" s="163"/>
    </row>
    <row r="405" spans="6:6" ht="15.75" customHeight="1" x14ac:dyDescent="0.25">
      <c r="F405" s="163"/>
    </row>
    <row r="406" spans="6:6" ht="15.75" customHeight="1" x14ac:dyDescent="0.25">
      <c r="F406" s="163"/>
    </row>
    <row r="407" spans="6:6" ht="15.75" customHeight="1" x14ac:dyDescent="0.25">
      <c r="F407" s="163"/>
    </row>
    <row r="408" spans="6:6" ht="15.75" customHeight="1" x14ac:dyDescent="0.25">
      <c r="F408" s="163"/>
    </row>
    <row r="409" spans="6:6" ht="15.75" customHeight="1" x14ac:dyDescent="0.25">
      <c r="F409" s="163"/>
    </row>
    <row r="410" spans="6:6" ht="15.75" customHeight="1" x14ac:dyDescent="0.25">
      <c r="F410" s="163"/>
    </row>
    <row r="411" spans="6:6" ht="15.75" customHeight="1" x14ac:dyDescent="0.25">
      <c r="F411" s="163"/>
    </row>
    <row r="412" spans="6:6" ht="15.75" customHeight="1" x14ac:dyDescent="0.25">
      <c r="F412" s="163"/>
    </row>
    <row r="413" spans="6:6" ht="15.75" customHeight="1" x14ac:dyDescent="0.25">
      <c r="F413" s="163"/>
    </row>
    <row r="414" spans="6:6" ht="15.75" customHeight="1" x14ac:dyDescent="0.25">
      <c r="F414" s="163"/>
    </row>
    <row r="415" spans="6:6" ht="15.75" customHeight="1" x14ac:dyDescent="0.25">
      <c r="F415" s="163"/>
    </row>
    <row r="416" spans="6:6" ht="15.75" customHeight="1" x14ac:dyDescent="0.25">
      <c r="F416" s="163"/>
    </row>
    <row r="417" spans="6:6" ht="15.75" customHeight="1" x14ac:dyDescent="0.25">
      <c r="F417" s="163"/>
    </row>
    <row r="418" spans="6:6" ht="15.75" customHeight="1" x14ac:dyDescent="0.25">
      <c r="F418" s="163"/>
    </row>
    <row r="419" spans="6:6" ht="15.75" customHeight="1" x14ac:dyDescent="0.25">
      <c r="F419" s="163"/>
    </row>
    <row r="420" spans="6:6" ht="15.75" customHeight="1" x14ac:dyDescent="0.25">
      <c r="F420" s="163"/>
    </row>
    <row r="421" spans="6:6" ht="15.75" customHeight="1" x14ac:dyDescent="0.25">
      <c r="F421" s="163"/>
    </row>
    <row r="422" spans="6:6" ht="15.75" customHeight="1" x14ac:dyDescent="0.25">
      <c r="F422" s="163"/>
    </row>
    <row r="423" spans="6:6" ht="15.75" customHeight="1" x14ac:dyDescent="0.25">
      <c r="F423" s="163"/>
    </row>
    <row r="424" spans="6:6" ht="15.75" customHeight="1" x14ac:dyDescent="0.25">
      <c r="F424" s="163"/>
    </row>
    <row r="425" spans="6:6" ht="15.75" customHeight="1" x14ac:dyDescent="0.25">
      <c r="F425" s="163"/>
    </row>
    <row r="426" spans="6:6" ht="15.75" customHeight="1" x14ac:dyDescent="0.25">
      <c r="F426" s="163"/>
    </row>
    <row r="427" spans="6:6" ht="15.75" customHeight="1" x14ac:dyDescent="0.25">
      <c r="F427" s="163"/>
    </row>
    <row r="428" spans="6:6" ht="15.75" customHeight="1" x14ac:dyDescent="0.25">
      <c r="F428" s="163"/>
    </row>
    <row r="429" spans="6:6" ht="15.75" customHeight="1" x14ac:dyDescent="0.25">
      <c r="F429" s="163"/>
    </row>
    <row r="430" spans="6:6" ht="15.75" customHeight="1" x14ac:dyDescent="0.25">
      <c r="F430" s="163"/>
    </row>
    <row r="431" spans="6:6" ht="15.75" customHeight="1" x14ac:dyDescent="0.25">
      <c r="F431" s="163"/>
    </row>
    <row r="432" spans="6:6" ht="15.75" customHeight="1" x14ac:dyDescent="0.25">
      <c r="F432" s="163"/>
    </row>
    <row r="433" spans="6:6" ht="15.75" customHeight="1" x14ac:dyDescent="0.25">
      <c r="F433" s="163"/>
    </row>
    <row r="434" spans="6:6" ht="15.75" customHeight="1" x14ac:dyDescent="0.25">
      <c r="F434" s="163"/>
    </row>
    <row r="435" spans="6:6" ht="15.75" customHeight="1" x14ac:dyDescent="0.25">
      <c r="F435" s="163"/>
    </row>
    <row r="436" spans="6:6" ht="15.75" customHeight="1" x14ac:dyDescent="0.25">
      <c r="F436" s="163"/>
    </row>
    <row r="437" spans="6:6" ht="15.75" customHeight="1" x14ac:dyDescent="0.25">
      <c r="F437" s="163"/>
    </row>
    <row r="438" spans="6:6" ht="15.75" customHeight="1" x14ac:dyDescent="0.25">
      <c r="F438" s="163"/>
    </row>
    <row r="439" spans="6:6" ht="15.75" customHeight="1" x14ac:dyDescent="0.25">
      <c r="F439" s="163"/>
    </row>
    <row r="440" spans="6:6" ht="15.75" customHeight="1" x14ac:dyDescent="0.25">
      <c r="F440" s="163"/>
    </row>
    <row r="441" spans="6:6" ht="15.75" customHeight="1" x14ac:dyDescent="0.25">
      <c r="F441" s="163"/>
    </row>
    <row r="442" spans="6:6" ht="15.75" customHeight="1" x14ac:dyDescent="0.25">
      <c r="F442" s="163"/>
    </row>
    <row r="443" spans="6:6" ht="15.75" customHeight="1" x14ac:dyDescent="0.25">
      <c r="F443" s="163"/>
    </row>
    <row r="444" spans="6:6" ht="15.75" customHeight="1" x14ac:dyDescent="0.25">
      <c r="F444" s="163"/>
    </row>
    <row r="445" spans="6:6" ht="15.75" customHeight="1" x14ac:dyDescent="0.25">
      <c r="F445" s="163"/>
    </row>
    <row r="446" spans="6:6" ht="15.75" customHeight="1" x14ac:dyDescent="0.25">
      <c r="F446" s="163"/>
    </row>
    <row r="447" spans="6:6" ht="15.75" customHeight="1" x14ac:dyDescent="0.25">
      <c r="F447" s="163"/>
    </row>
    <row r="448" spans="6:6" ht="15.75" customHeight="1" x14ac:dyDescent="0.25">
      <c r="F448" s="163"/>
    </row>
    <row r="449" spans="6:6" ht="15.75" customHeight="1" x14ac:dyDescent="0.25">
      <c r="F449" s="163"/>
    </row>
    <row r="450" spans="6:6" ht="15.75" customHeight="1" x14ac:dyDescent="0.25">
      <c r="F450" s="163"/>
    </row>
    <row r="451" spans="6:6" ht="15.75" customHeight="1" x14ac:dyDescent="0.25">
      <c r="F451" s="163"/>
    </row>
    <row r="452" spans="6:6" ht="15.75" customHeight="1" x14ac:dyDescent="0.25">
      <c r="F452" s="163"/>
    </row>
    <row r="453" spans="6:6" ht="15.75" customHeight="1" x14ac:dyDescent="0.25">
      <c r="F453" s="163"/>
    </row>
    <row r="454" spans="6:6" ht="15.75" customHeight="1" x14ac:dyDescent="0.25">
      <c r="F454" s="163"/>
    </row>
    <row r="455" spans="6:6" ht="15.75" customHeight="1" x14ac:dyDescent="0.25">
      <c r="F455" s="163"/>
    </row>
    <row r="456" spans="6:6" ht="15.75" customHeight="1" x14ac:dyDescent="0.25">
      <c r="F456" s="163"/>
    </row>
    <row r="457" spans="6:6" ht="15.75" customHeight="1" x14ac:dyDescent="0.25">
      <c r="F457" s="163"/>
    </row>
    <row r="458" spans="6:6" ht="15.75" customHeight="1" x14ac:dyDescent="0.25">
      <c r="F458" s="163"/>
    </row>
    <row r="459" spans="6:6" ht="15.75" customHeight="1" x14ac:dyDescent="0.25">
      <c r="F459" s="163"/>
    </row>
    <row r="460" spans="6:6" ht="15.75" customHeight="1" x14ac:dyDescent="0.25">
      <c r="F460" s="163"/>
    </row>
    <row r="461" spans="6:6" ht="15.75" customHeight="1" x14ac:dyDescent="0.25">
      <c r="F461" s="163"/>
    </row>
    <row r="462" spans="6:6" ht="15.75" customHeight="1" x14ac:dyDescent="0.25">
      <c r="F462" s="163"/>
    </row>
    <row r="463" spans="6:6" ht="15.75" customHeight="1" x14ac:dyDescent="0.25">
      <c r="F463" s="163"/>
    </row>
    <row r="464" spans="6:6" ht="15.75" customHeight="1" x14ac:dyDescent="0.25">
      <c r="F464" s="163"/>
    </row>
    <row r="465" spans="6:6" ht="15.75" customHeight="1" x14ac:dyDescent="0.25">
      <c r="F465" s="163"/>
    </row>
    <row r="466" spans="6:6" ht="15.75" customHeight="1" x14ac:dyDescent="0.25">
      <c r="F466" s="163"/>
    </row>
    <row r="467" spans="6:6" ht="15.75" customHeight="1" x14ac:dyDescent="0.25">
      <c r="F467" s="163"/>
    </row>
    <row r="468" spans="6:6" ht="15.75" customHeight="1" x14ac:dyDescent="0.25">
      <c r="F468" s="163"/>
    </row>
    <row r="469" spans="6:6" ht="15.75" customHeight="1" x14ac:dyDescent="0.25">
      <c r="F469" s="163"/>
    </row>
    <row r="470" spans="6:6" ht="15.75" customHeight="1" x14ac:dyDescent="0.25">
      <c r="F470" s="163"/>
    </row>
    <row r="471" spans="6:6" ht="15.75" customHeight="1" x14ac:dyDescent="0.25">
      <c r="F471" s="163"/>
    </row>
    <row r="472" spans="6:6" ht="15.75" customHeight="1" x14ac:dyDescent="0.25">
      <c r="F472" s="163"/>
    </row>
    <row r="473" spans="6:6" ht="15.75" customHeight="1" x14ac:dyDescent="0.25">
      <c r="F473" s="163"/>
    </row>
    <row r="474" spans="6:6" ht="15.75" customHeight="1" x14ac:dyDescent="0.25">
      <c r="F474" s="163"/>
    </row>
    <row r="475" spans="6:6" ht="15.75" customHeight="1" x14ac:dyDescent="0.25">
      <c r="F475" s="163"/>
    </row>
    <row r="476" spans="6:6" ht="15.75" customHeight="1" x14ac:dyDescent="0.25">
      <c r="F476" s="163"/>
    </row>
    <row r="477" spans="6:6" ht="15.75" customHeight="1" x14ac:dyDescent="0.25">
      <c r="F477" s="163"/>
    </row>
    <row r="478" spans="6:6" ht="15.75" customHeight="1" x14ac:dyDescent="0.25">
      <c r="F478" s="163"/>
    </row>
    <row r="479" spans="6:6" ht="15.75" customHeight="1" x14ac:dyDescent="0.25">
      <c r="F479" s="163"/>
    </row>
    <row r="480" spans="6:6" ht="15.75" customHeight="1" x14ac:dyDescent="0.25">
      <c r="F480" s="163"/>
    </row>
    <row r="481" spans="6:6" ht="15.75" customHeight="1" x14ac:dyDescent="0.25">
      <c r="F481" s="163"/>
    </row>
    <row r="482" spans="6:6" ht="15.75" customHeight="1" x14ac:dyDescent="0.25">
      <c r="F482" s="163"/>
    </row>
    <row r="483" spans="6:6" ht="15.75" customHeight="1" x14ac:dyDescent="0.25">
      <c r="F483" s="163"/>
    </row>
    <row r="484" spans="6:6" ht="15.75" customHeight="1" x14ac:dyDescent="0.25">
      <c r="F484" s="163"/>
    </row>
    <row r="485" spans="6:6" ht="15.75" customHeight="1" x14ac:dyDescent="0.25">
      <c r="F485" s="163"/>
    </row>
    <row r="486" spans="6:6" ht="15.75" customHeight="1" x14ac:dyDescent="0.25">
      <c r="F486" s="163"/>
    </row>
    <row r="487" spans="6:6" ht="15.75" customHeight="1" x14ac:dyDescent="0.25">
      <c r="F487" s="163"/>
    </row>
    <row r="488" spans="6:6" ht="15.75" customHeight="1" x14ac:dyDescent="0.25">
      <c r="F488" s="163"/>
    </row>
    <row r="489" spans="6:6" ht="15.75" customHeight="1" x14ac:dyDescent="0.25">
      <c r="F489" s="163"/>
    </row>
    <row r="490" spans="6:6" ht="15.75" customHeight="1" x14ac:dyDescent="0.25">
      <c r="F490" s="163"/>
    </row>
    <row r="491" spans="6:6" ht="15.75" customHeight="1" x14ac:dyDescent="0.25">
      <c r="F491" s="163"/>
    </row>
    <row r="492" spans="6:6" ht="15.75" customHeight="1" x14ac:dyDescent="0.25">
      <c r="F492" s="163"/>
    </row>
    <row r="493" spans="6:6" ht="15.75" customHeight="1" x14ac:dyDescent="0.25">
      <c r="F493" s="163"/>
    </row>
    <row r="494" spans="6:6" ht="15.75" customHeight="1" x14ac:dyDescent="0.25">
      <c r="F494" s="163"/>
    </row>
    <row r="495" spans="6:6" ht="15.75" customHeight="1" x14ac:dyDescent="0.25">
      <c r="F495" s="163"/>
    </row>
    <row r="496" spans="6:6" ht="15.75" customHeight="1" x14ac:dyDescent="0.25">
      <c r="F496" s="163"/>
    </row>
    <row r="497" spans="6:6" ht="15.75" customHeight="1" x14ac:dyDescent="0.25">
      <c r="F497" s="163"/>
    </row>
    <row r="498" spans="6:6" ht="15.75" customHeight="1" x14ac:dyDescent="0.25">
      <c r="F498" s="163"/>
    </row>
    <row r="499" spans="6:6" ht="15.75" customHeight="1" x14ac:dyDescent="0.25">
      <c r="F499" s="163"/>
    </row>
    <row r="500" spans="6:6" ht="15.75" customHeight="1" x14ac:dyDescent="0.25">
      <c r="F500" s="163"/>
    </row>
    <row r="501" spans="6:6" ht="15.75" customHeight="1" x14ac:dyDescent="0.25">
      <c r="F501" s="163"/>
    </row>
    <row r="502" spans="6:6" ht="15.75" customHeight="1" x14ac:dyDescent="0.25">
      <c r="F502" s="163"/>
    </row>
    <row r="503" spans="6:6" ht="15.75" customHeight="1" x14ac:dyDescent="0.25">
      <c r="F503" s="163"/>
    </row>
    <row r="504" spans="6:6" ht="15.75" customHeight="1" x14ac:dyDescent="0.25">
      <c r="F504" s="163"/>
    </row>
    <row r="505" spans="6:6" ht="15.75" customHeight="1" x14ac:dyDescent="0.25">
      <c r="F505" s="163"/>
    </row>
    <row r="506" spans="6:6" ht="15.75" customHeight="1" x14ac:dyDescent="0.25">
      <c r="F506" s="163"/>
    </row>
    <row r="507" spans="6:6" ht="15.75" customHeight="1" x14ac:dyDescent="0.25">
      <c r="F507" s="163"/>
    </row>
    <row r="508" spans="6:6" ht="15.75" customHeight="1" x14ac:dyDescent="0.25">
      <c r="F508" s="163"/>
    </row>
    <row r="509" spans="6:6" ht="15.75" customHeight="1" x14ac:dyDescent="0.25">
      <c r="F509" s="163"/>
    </row>
    <row r="510" spans="6:6" ht="15.75" customHeight="1" x14ac:dyDescent="0.25">
      <c r="F510" s="163"/>
    </row>
    <row r="511" spans="6:6" ht="15.75" customHeight="1" x14ac:dyDescent="0.25">
      <c r="F511" s="163"/>
    </row>
    <row r="512" spans="6:6" ht="15.75" customHeight="1" x14ac:dyDescent="0.25">
      <c r="F512" s="163"/>
    </row>
    <row r="513" spans="6:6" ht="15.75" customHeight="1" x14ac:dyDescent="0.25">
      <c r="F513" s="163"/>
    </row>
    <row r="514" spans="6:6" ht="15.75" customHeight="1" x14ac:dyDescent="0.25">
      <c r="F514" s="163"/>
    </row>
    <row r="515" spans="6:6" ht="15.75" customHeight="1" x14ac:dyDescent="0.25">
      <c r="F515" s="163"/>
    </row>
    <row r="516" spans="6:6" ht="15.75" customHeight="1" x14ac:dyDescent="0.25">
      <c r="F516" s="163"/>
    </row>
    <row r="517" spans="6:6" ht="15.75" customHeight="1" x14ac:dyDescent="0.25">
      <c r="F517" s="163"/>
    </row>
    <row r="518" spans="6:6" ht="15.75" customHeight="1" x14ac:dyDescent="0.25">
      <c r="F518" s="163"/>
    </row>
    <row r="519" spans="6:6" ht="15.75" customHeight="1" x14ac:dyDescent="0.25">
      <c r="F519" s="163"/>
    </row>
    <row r="520" spans="6:6" ht="15.75" customHeight="1" x14ac:dyDescent="0.25">
      <c r="F520" s="163"/>
    </row>
    <row r="521" spans="6:6" ht="15.75" customHeight="1" x14ac:dyDescent="0.25">
      <c r="F521" s="163"/>
    </row>
    <row r="522" spans="6:6" ht="15.75" customHeight="1" x14ac:dyDescent="0.25">
      <c r="F522" s="163"/>
    </row>
    <row r="523" spans="6:6" ht="15.75" customHeight="1" x14ac:dyDescent="0.25">
      <c r="F523" s="163"/>
    </row>
    <row r="524" spans="6:6" ht="15.75" customHeight="1" x14ac:dyDescent="0.25">
      <c r="F524" s="163"/>
    </row>
    <row r="525" spans="6:6" ht="15.75" customHeight="1" x14ac:dyDescent="0.25">
      <c r="F525" s="163"/>
    </row>
    <row r="526" spans="6:6" ht="15.75" customHeight="1" x14ac:dyDescent="0.25">
      <c r="F526" s="163"/>
    </row>
    <row r="527" spans="6:6" ht="15.75" customHeight="1" x14ac:dyDescent="0.25">
      <c r="F527" s="163"/>
    </row>
    <row r="528" spans="6:6" ht="15.75" customHeight="1" x14ac:dyDescent="0.25">
      <c r="F528" s="163"/>
    </row>
    <row r="529" spans="6:6" ht="15.75" customHeight="1" x14ac:dyDescent="0.25">
      <c r="F529" s="163"/>
    </row>
    <row r="530" spans="6:6" ht="15.75" customHeight="1" x14ac:dyDescent="0.25">
      <c r="F530" s="163"/>
    </row>
    <row r="531" spans="6:6" ht="15.75" customHeight="1" x14ac:dyDescent="0.25">
      <c r="F531" s="163"/>
    </row>
    <row r="532" spans="6:6" ht="15.75" customHeight="1" x14ac:dyDescent="0.25">
      <c r="F532" s="163"/>
    </row>
    <row r="533" spans="6:6" ht="15.75" customHeight="1" x14ac:dyDescent="0.25">
      <c r="F533" s="163"/>
    </row>
    <row r="534" spans="6:6" ht="15.75" customHeight="1" x14ac:dyDescent="0.25">
      <c r="F534" s="163"/>
    </row>
    <row r="535" spans="6:6" ht="15.75" customHeight="1" x14ac:dyDescent="0.25">
      <c r="F535" s="163"/>
    </row>
    <row r="536" spans="6:6" ht="15.75" customHeight="1" x14ac:dyDescent="0.25">
      <c r="F536" s="163"/>
    </row>
    <row r="537" spans="6:6" ht="15.75" customHeight="1" x14ac:dyDescent="0.25">
      <c r="F537" s="163"/>
    </row>
    <row r="538" spans="6:6" ht="15.75" customHeight="1" x14ac:dyDescent="0.25">
      <c r="F538" s="163"/>
    </row>
    <row r="539" spans="6:6" ht="15.75" customHeight="1" x14ac:dyDescent="0.25">
      <c r="F539" s="163"/>
    </row>
    <row r="540" spans="6:6" ht="15.75" customHeight="1" x14ac:dyDescent="0.25">
      <c r="F540" s="163"/>
    </row>
    <row r="541" spans="6:6" ht="15.75" customHeight="1" x14ac:dyDescent="0.25">
      <c r="F541" s="163"/>
    </row>
    <row r="542" spans="6:6" ht="15.75" customHeight="1" x14ac:dyDescent="0.25">
      <c r="F542" s="163"/>
    </row>
    <row r="543" spans="6:6" ht="15.75" customHeight="1" x14ac:dyDescent="0.25">
      <c r="F543" s="163"/>
    </row>
    <row r="544" spans="6:6" ht="15.75" customHeight="1" x14ac:dyDescent="0.25">
      <c r="F544" s="163"/>
    </row>
    <row r="545" spans="6:6" ht="15.75" customHeight="1" x14ac:dyDescent="0.25">
      <c r="F545" s="163"/>
    </row>
    <row r="546" spans="6:6" ht="15.75" customHeight="1" x14ac:dyDescent="0.25">
      <c r="F546" s="163"/>
    </row>
    <row r="547" spans="6:6" ht="15.75" customHeight="1" x14ac:dyDescent="0.25">
      <c r="F547" s="163"/>
    </row>
    <row r="548" spans="6:6" ht="15.75" customHeight="1" x14ac:dyDescent="0.25">
      <c r="F548" s="163"/>
    </row>
    <row r="549" spans="6:6" ht="15.75" customHeight="1" x14ac:dyDescent="0.25">
      <c r="F549" s="163"/>
    </row>
    <row r="550" spans="6:6" ht="15.75" customHeight="1" x14ac:dyDescent="0.25">
      <c r="F550" s="163"/>
    </row>
    <row r="551" spans="6:6" ht="15.75" customHeight="1" x14ac:dyDescent="0.25">
      <c r="F551" s="163"/>
    </row>
    <row r="552" spans="6:6" ht="15.75" customHeight="1" x14ac:dyDescent="0.25">
      <c r="F552" s="163"/>
    </row>
    <row r="553" spans="6:6" ht="15.75" customHeight="1" x14ac:dyDescent="0.25">
      <c r="F553" s="163"/>
    </row>
    <row r="554" spans="6:6" ht="15.75" customHeight="1" x14ac:dyDescent="0.25">
      <c r="F554" s="163"/>
    </row>
    <row r="555" spans="6:6" ht="15.75" customHeight="1" x14ac:dyDescent="0.25">
      <c r="F555" s="163"/>
    </row>
    <row r="556" spans="6:6" ht="15.75" customHeight="1" x14ac:dyDescent="0.25">
      <c r="F556" s="163"/>
    </row>
    <row r="557" spans="6:6" ht="15.75" customHeight="1" x14ac:dyDescent="0.25">
      <c r="F557" s="163"/>
    </row>
    <row r="558" spans="6:6" ht="15.75" customHeight="1" x14ac:dyDescent="0.25">
      <c r="F558" s="163"/>
    </row>
    <row r="559" spans="6:6" ht="15.75" customHeight="1" x14ac:dyDescent="0.25">
      <c r="F559" s="163"/>
    </row>
    <row r="560" spans="6:6" ht="15.75" customHeight="1" x14ac:dyDescent="0.25">
      <c r="F560" s="163"/>
    </row>
    <row r="561" spans="6:6" ht="15.75" customHeight="1" x14ac:dyDescent="0.25">
      <c r="F561" s="163"/>
    </row>
    <row r="562" spans="6:6" ht="15.75" customHeight="1" x14ac:dyDescent="0.25">
      <c r="F562" s="163"/>
    </row>
    <row r="563" spans="6:6" ht="15.75" customHeight="1" x14ac:dyDescent="0.25">
      <c r="F563" s="163"/>
    </row>
    <row r="564" spans="6:6" ht="15.75" customHeight="1" x14ac:dyDescent="0.25">
      <c r="F564" s="163"/>
    </row>
    <row r="565" spans="6:6" ht="15.75" customHeight="1" x14ac:dyDescent="0.25">
      <c r="F565" s="163"/>
    </row>
    <row r="566" spans="6:6" ht="15.75" customHeight="1" x14ac:dyDescent="0.25">
      <c r="F566" s="163"/>
    </row>
    <row r="567" spans="6:6" ht="15.75" customHeight="1" x14ac:dyDescent="0.25">
      <c r="F567" s="163"/>
    </row>
    <row r="568" spans="6:6" ht="15.75" customHeight="1" x14ac:dyDescent="0.25">
      <c r="F568" s="163"/>
    </row>
    <row r="569" spans="6:6" ht="15.75" customHeight="1" x14ac:dyDescent="0.25">
      <c r="F569" s="163"/>
    </row>
    <row r="570" spans="6:6" ht="15.75" customHeight="1" x14ac:dyDescent="0.25">
      <c r="F570" s="163"/>
    </row>
    <row r="571" spans="6:6" ht="15.75" customHeight="1" x14ac:dyDescent="0.25">
      <c r="F571" s="163"/>
    </row>
    <row r="572" spans="6:6" ht="15.75" customHeight="1" x14ac:dyDescent="0.25">
      <c r="F572" s="163"/>
    </row>
    <row r="573" spans="6:6" ht="15.75" customHeight="1" x14ac:dyDescent="0.25">
      <c r="F573" s="163"/>
    </row>
    <row r="574" spans="6:6" ht="15.75" customHeight="1" x14ac:dyDescent="0.25">
      <c r="F574" s="163"/>
    </row>
    <row r="575" spans="6:6" ht="15.75" customHeight="1" x14ac:dyDescent="0.25">
      <c r="F575" s="163"/>
    </row>
    <row r="576" spans="6:6" ht="15.75" customHeight="1" x14ac:dyDescent="0.25">
      <c r="F576" s="163"/>
    </row>
    <row r="577" spans="6:6" ht="15.75" customHeight="1" x14ac:dyDescent="0.25">
      <c r="F577" s="163"/>
    </row>
    <row r="578" spans="6:6" ht="15.75" customHeight="1" x14ac:dyDescent="0.25">
      <c r="F578" s="163"/>
    </row>
    <row r="579" spans="6:6" ht="15.75" customHeight="1" x14ac:dyDescent="0.25">
      <c r="F579" s="163"/>
    </row>
    <row r="580" spans="6:6" ht="15.75" customHeight="1" x14ac:dyDescent="0.25">
      <c r="F580" s="163"/>
    </row>
    <row r="581" spans="6:6" ht="15.75" customHeight="1" x14ac:dyDescent="0.25">
      <c r="F581" s="163"/>
    </row>
    <row r="582" spans="6:6" ht="15.75" customHeight="1" x14ac:dyDescent="0.25">
      <c r="F582" s="163"/>
    </row>
    <row r="583" spans="6:6" ht="15.75" customHeight="1" x14ac:dyDescent="0.25">
      <c r="F583" s="163"/>
    </row>
    <row r="584" spans="6:6" ht="15.75" customHeight="1" x14ac:dyDescent="0.25">
      <c r="F584" s="163"/>
    </row>
    <row r="585" spans="6:6" ht="15.75" customHeight="1" x14ac:dyDescent="0.25">
      <c r="F585" s="163"/>
    </row>
    <row r="586" spans="6:6" ht="15.75" customHeight="1" x14ac:dyDescent="0.25">
      <c r="F586" s="163"/>
    </row>
    <row r="587" spans="6:6" ht="15.75" customHeight="1" x14ac:dyDescent="0.25">
      <c r="F587" s="163"/>
    </row>
    <row r="588" spans="6:6" ht="15.75" customHeight="1" x14ac:dyDescent="0.25">
      <c r="F588" s="163"/>
    </row>
    <row r="589" spans="6:6" ht="15.75" customHeight="1" x14ac:dyDescent="0.25">
      <c r="F589" s="163"/>
    </row>
    <row r="590" spans="6:6" ht="15.75" customHeight="1" x14ac:dyDescent="0.25">
      <c r="F590" s="163"/>
    </row>
    <row r="591" spans="6:6" ht="15.75" customHeight="1" x14ac:dyDescent="0.25">
      <c r="F591" s="163"/>
    </row>
    <row r="592" spans="6:6" ht="15.75" customHeight="1" x14ac:dyDescent="0.25">
      <c r="F592" s="163"/>
    </row>
    <row r="593" spans="6:6" ht="15.75" customHeight="1" x14ac:dyDescent="0.25">
      <c r="F593" s="163"/>
    </row>
    <row r="594" spans="6:6" ht="15.75" customHeight="1" x14ac:dyDescent="0.25">
      <c r="F594" s="163"/>
    </row>
    <row r="595" spans="6:6" ht="15.75" customHeight="1" x14ac:dyDescent="0.25">
      <c r="F595" s="163"/>
    </row>
    <row r="596" spans="6:6" ht="15.75" customHeight="1" x14ac:dyDescent="0.25">
      <c r="F596" s="163"/>
    </row>
    <row r="597" spans="6:6" ht="15.75" customHeight="1" x14ac:dyDescent="0.25">
      <c r="F597" s="163"/>
    </row>
    <row r="598" spans="6:6" ht="15.75" customHeight="1" x14ac:dyDescent="0.25">
      <c r="F598" s="163"/>
    </row>
    <row r="599" spans="6:6" ht="15.75" customHeight="1" x14ac:dyDescent="0.25">
      <c r="F599" s="163"/>
    </row>
    <row r="600" spans="6:6" ht="15.75" customHeight="1" x14ac:dyDescent="0.25">
      <c r="F600" s="163"/>
    </row>
    <row r="601" spans="6:6" ht="15.75" customHeight="1" x14ac:dyDescent="0.25">
      <c r="F601" s="163"/>
    </row>
    <row r="602" spans="6:6" ht="15.75" customHeight="1" x14ac:dyDescent="0.25">
      <c r="F602" s="163"/>
    </row>
    <row r="603" spans="6:6" ht="15.75" customHeight="1" x14ac:dyDescent="0.25">
      <c r="F603" s="163"/>
    </row>
    <row r="604" spans="6:6" ht="15.75" customHeight="1" x14ac:dyDescent="0.25">
      <c r="F604" s="163"/>
    </row>
    <row r="605" spans="6:6" ht="15.75" customHeight="1" x14ac:dyDescent="0.25">
      <c r="F605" s="163"/>
    </row>
    <row r="606" spans="6:6" ht="15.75" customHeight="1" x14ac:dyDescent="0.25">
      <c r="F606" s="163"/>
    </row>
    <row r="607" spans="6:6" ht="15.75" customHeight="1" x14ac:dyDescent="0.25">
      <c r="F607" s="163"/>
    </row>
    <row r="608" spans="6:6" ht="15.75" customHeight="1" x14ac:dyDescent="0.25">
      <c r="F608" s="163"/>
    </row>
    <row r="609" spans="6:6" ht="15.75" customHeight="1" x14ac:dyDescent="0.25">
      <c r="F609" s="163"/>
    </row>
    <row r="610" spans="6:6" ht="15.75" customHeight="1" x14ac:dyDescent="0.25">
      <c r="F610" s="163"/>
    </row>
    <row r="611" spans="6:6" ht="15.75" customHeight="1" x14ac:dyDescent="0.25">
      <c r="F611" s="163"/>
    </row>
    <row r="612" spans="6:6" ht="15.75" customHeight="1" x14ac:dyDescent="0.25">
      <c r="F612" s="163"/>
    </row>
    <row r="613" spans="6:6" ht="15.75" customHeight="1" x14ac:dyDescent="0.25">
      <c r="F613" s="163"/>
    </row>
    <row r="614" spans="6:6" ht="15.75" customHeight="1" x14ac:dyDescent="0.25">
      <c r="F614" s="163"/>
    </row>
    <row r="615" spans="6:6" ht="15.75" customHeight="1" x14ac:dyDescent="0.25">
      <c r="F615" s="163"/>
    </row>
    <row r="616" spans="6:6" ht="15.75" customHeight="1" x14ac:dyDescent="0.25">
      <c r="F616" s="163"/>
    </row>
    <row r="617" spans="6:6" ht="15.75" customHeight="1" x14ac:dyDescent="0.25">
      <c r="F617" s="163"/>
    </row>
    <row r="618" spans="6:6" ht="15.75" customHeight="1" x14ac:dyDescent="0.25">
      <c r="F618" s="163"/>
    </row>
    <row r="619" spans="6:6" ht="15.75" customHeight="1" x14ac:dyDescent="0.25">
      <c r="F619" s="163"/>
    </row>
    <row r="620" spans="6:6" ht="15.75" customHeight="1" x14ac:dyDescent="0.25">
      <c r="F620" s="163"/>
    </row>
    <row r="621" spans="6:6" ht="15.75" customHeight="1" x14ac:dyDescent="0.25">
      <c r="F621" s="163"/>
    </row>
    <row r="622" spans="6:6" ht="15.75" customHeight="1" x14ac:dyDescent="0.25">
      <c r="F622" s="163"/>
    </row>
    <row r="623" spans="6:6" ht="15.75" customHeight="1" x14ac:dyDescent="0.25">
      <c r="F623" s="163"/>
    </row>
    <row r="624" spans="6:6" ht="15.75" customHeight="1" x14ac:dyDescent="0.25">
      <c r="F624" s="163"/>
    </row>
    <row r="625" spans="6:6" ht="15.75" customHeight="1" x14ac:dyDescent="0.25">
      <c r="F625" s="163"/>
    </row>
    <row r="626" spans="6:6" ht="15.75" customHeight="1" x14ac:dyDescent="0.25">
      <c r="F626" s="163"/>
    </row>
    <row r="627" spans="6:6" ht="15.75" customHeight="1" x14ac:dyDescent="0.25">
      <c r="F627" s="163"/>
    </row>
    <row r="628" spans="6:6" ht="15.75" customHeight="1" x14ac:dyDescent="0.25">
      <c r="F628" s="163"/>
    </row>
    <row r="629" spans="6:6" ht="15.75" customHeight="1" x14ac:dyDescent="0.25">
      <c r="F629" s="163"/>
    </row>
    <row r="630" spans="6:6" ht="15.75" customHeight="1" x14ac:dyDescent="0.25">
      <c r="F630" s="163"/>
    </row>
    <row r="631" spans="6:6" ht="15.75" customHeight="1" x14ac:dyDescent="0.25">
      <c r="F631" s="163"/>
    </row>
    <row r="632" spans="6:6" ht="15.75" customHeight="1" x14ac:dyDescent="0.25">
      <c r="F632" s="163"/>
    </row>
    <row r="633" spans="6:6" ht="15.75" customHeight="1" x14ac:dyDescent="0.25">
      <c r="F633" s="163"/>
    </row>
    <row r="634" spans="6:6" ht="15.75" customHeight="1" x14ac:dyDescent="0.25">
      <c r="F634" s="163"/>
    </row>
    <row r="635" spans="6:6" ht="15.75" customHeight="1" x14ac:dyDescent="0.25">
      <c r="F635" s="163"/>
    </row>
    <row r="636" spans="6:6" ht="15.75" customHeight="1" x14ac:dyDescent="0.25">
      <c r="F636" s="163"/>
    </row>
    <row r="637" spans="6:6" ht="15.75" customHeight="1" x14ac:dyDescent="0.25">
      <c r="F637" s="163"/>
    </row>
    <row r="638" spans="6:6" ht="15.75" customHeight="1" x14ac:dyDescent="0.25">
      <c r="F638" s="163"/>
    </row>
    <row r="639" spans="6:6" ht="15.75" customHeight="1" x14ac:dyDescent="0.25">
      <c r="F639" s="163"/>
    </row>
    <row r="640" spans="6:6" ht="15.75" customHeight="1" x14ac:dyDescent="0.25">
      <c r="F640" s="163"/>
    </row>
    <row r="641" spans="6:6" ht="15.75" customHeight="1" x14ac:dyDescent="0.25">
      <c r="F641" s="163"/>
    </row>
    <row r="642" spans="6:6" ht="15.75" customHeight="1" x14ac:dyDescent="0.25">
      <c r="F642" s="163"/>
    </row>
    <row r="643" spans="6:6" ht="15.75" customHeight="1" x14ac:dyDescent="0.25">
      <c r="F643" s="163"/>
    </row>
    <row r="644" spans="6:6" ht="15.75" customHeight="1" x14ac:dyDescent="0.25">
      <c r="F644" s="163"/>
    </row>
    <row r="645" spans="6:6" ht="15.75" customHeight="1" x14ac:dyDescent="0.25">
      <c r="F645" s="163"/>
    </row>
    <row r="646" spans="6:6" ht="15.75" customHeight="1" x14ac:dyDescent="0.25">
      <c r="F646" s="163"/>
    </row>
    <row r="647" spans="6:6" ht="15.75" customHeight="1" x14ac:dyDescent="0.25">
      <c r="F647" s="163"/>
    </row>
    <row r="648" spans="6:6" ht="15.75" customHeight="1" x14ac:dyDescent="0.25">
      <c r="F648" s="163"/>
    </row>
    <row r="649" spans="6:6" ht="15.75" customHeight="1" x14ac:dyDescent="0.25">
      <c r="F649" s="163"/>
    </row>
    <row r="650" spans="6:6" ht="15.75" customHeight="1" x14ac:dyDescent="0.25">
      <c r="F650" s="163"/>
    </row>
    <row r="651" spans="6:6" ht="15.75" customHeight="1" x14ac:dyDescent="0.25">
      <c r="F651" s="163"/>
    </row>
    <row r="652" spans="6:6" ht="15.75" customHeight="1" x14ac:dyDescent="0.25">
      <c r="F652" s="163"/>
    </row>
    <row r="653" spans="6:6" ht="15.75" customHeight="1" x14ac:dyDescent="0.25">
      <c r="F653" s="163"/>
    </row>
    <row r="654" spans="6:6" ht="15.75" customHeight="1" x14ac:dyDescent="0.25">
      <c r="F654" s="163"/>
    </row>
    <row r="655" spans="6:6" ht="15.75" customHeight="1" x14ac:dyDescent="0.25">
      <c r="F655" s="163"/>
    </row>
    <row r="656" spans="6:6" ht="15.75" customHeight="1" x14ac:dyDescent="0.25">
      <c r="F656" s="163"/>
    </row>
    <row r="657" spans="6:6" ht="15.75" customHeight="1" x14ac:dyDescent="0.25">
      <c r="F657" s="163"/>
    </row>
    <row r="658" spans="6:6" ht="15.75" customHeight="1" x14ac:dyDescent="0.25">
      <c r="F658" s="163"/>
    </row>
    <row r="659" spans="6:6" ht="15.75" customHeight="1" x14ac:dyDescent="0.25">
      <c r="F659" s="163"/>
    </row>
    <row r="660" spans="6:6" ht="15.75" customHeight="1" x14ac:dyDescent="0.25">
      <c r="F660" s="163"/>
    </row>
    <row r="661" spans="6:6" ht="15.75" customHeight="1" x14ac:dyDescent="0.25">
      <c r="F661" s="163"/>
    </row>
    <row r="662" spans="6:6" ht="15.75" customHeight="1" x14ac:dyDescent="0.25">
      <c r="F662" s="163"/>
    </row>
    <row r="663" spans="6:6" ht="15.75" customHeight="1" x14ac:dyDescent="0.25">
      <c r="F663" s="163"/>
    </row>
    <row r="664" spans="6:6" ht="15.75" customHeight="1" x14ac:dyDescent="0.25">
      <c r="F664" s="163"/>
    </row>
    <row r="665" spans="6:6" ht="15.75" customHeight="1" x14ac:dyDescent="0.25">
      <c r="F665" s="163"/>
    </row>
    <row r="666" spans="6:6" ht="15.75" customHeight="1" x14ac:dyDescent="0.25">
      <c r="F666" s="163"/>
    </row>
    <row r="667" spans="6:6" ht="15.75" customHeight="1" x14ac:dyDescent="0.25">
      <c r="F667" s="163"/>
    </row>
    <row r="668" spans="6:6" ht="15.75" customHeight="1" x14ac:dyDescent="0.25">
      <c r="F668" s="163"/>
    </row>
    <row r="669" spans="6:6" ht="15.75" customHeight="1" x14ac:dyDescent="0.25">
      <c r="F669" s="163"/>
    </row>
    <row r="670" spans="6:6" ht="15.75" customHeight="1" x14ac:dyDescent="0.25">
      <c r="F670" s="163"/>
    </row>
    <row r="671" spans="6:6" ht="15.75" customHeight="1" x14ac:dyDescent="0.25">
      <c r="F671" s="163"/>
    </row>
    <row r="672" spans="6:6" ht="15.75" customHeight="1" x14ac:dyDescent="0.25">
      <c r="F672" s="163"/>
    </row>
    <row r="673" spans="6:6" ht="15.75" customHeight="1" x14ac:dyDescent="0.25">
      <c r="F673" s="163"/>
    </row>
    <row r="674" spans="6:6" ht="15.75" customHeight="1" x14ac:dyDescent="0.25">
      <c r="F674" s="163"/>
    </row>
    <row r="675" spans="6:6" ht="15.75" customHeight="1" x14ac:dyDescent="0.25">
      <c r="F675" s="163"/>
    </row>
    <row r="676" spans="6:6" ht="15.75" customHeight="1" x14ac:dyDescent="0.25">
      <c r="F676" s="163"/>
    </row>
    <row r="677" spans="6:6" ht="15.75" customHeight="1" x14ac:dyDescent="0.25">
      <c r="F677" s="163"/>
    </row>
    <row r="678" spans="6:6" ht="15.75" customHeight="1" x14ac:dyDescent="0.25">
      <c r="F678" s="163"/>
    </row>
    <row r="679" spans="6:6" ht="15.75" customHeight="1" x14ac:dyDescent="0.25">
      <c r="F679" s="163"/>
    </row>
    <row r="680" spans="6:6" ht="15.75" customHeight="1" x14ac:dyDescent="0.25">
      <c r="F680" s="163"/>
    </row>
    <row r="681" spans="6:6" ht="15.75" customHeight="1" x14ac:dyDescent="0.25">
      <c r="F681" s="163"/>
    </row>
    <row r="682" spans="6:6" ht="15.75" customHeight="1" x14ac:dyDescent="0.25">
      <c r="F682" s="163"/>
    </row>
    <row r="683" spans="6:6" ht="15.75" customHeight="1" x14ac:dyDescent="0.25">
      <c r="F683" s="163"/>
    </row>
    <row r="684" spans="6:6" ht="15.75" customHeight="1" x14ac:dyDescent="0.25">
      <c r="F684" s="163"/>
    </row>
    <row r="685" spans="6:6" ht="15.75" customHeight="1" x14ac:dyDescent="0.25">
      <c r="F685" s="163"/>
    </row>
    <row r="686" spans="6:6" ht="15.75" customHeight="1" x14ac:dyDescent="0.25">
      <c r="F686" s="163"/>
    </row>
    <row r="687" spans="6:6" ht="15.75" customHeight="1" x14ac:dyDescent="0.25">
      <c r="F687" s="163"/>
    </row>
    <row r="688" spans="6:6" ht="15.75" customHeight="1" x14ac:dyDescent="0.25">
      <c r="F688" s="163"/>
    </row>
    <row r="689" spans="6:6" ht="15.75" customHeight="1" x14ac:dyDescent="0.25">
      <c r="F689" s="163"/>
    </row>
    <row r="690" spans="6:6" ht="15.75" customHeight="1" x14ac:dyDescent="0.25">
      <c r="F690" s="163"/>
    </row>
    <row r="691" spans="6:6" ht="15.75" customHeight="1" x14ac:dyDescent="0.25">
      <c r="F691" s="163"/>
    </row>
    <row r="692" spans="6:6" ht="15.75" customHeight="1" x14ac:dyDescent="0.25">
      <c r="F692" s="163"/>
    </row>
    <row r="693" spans="6:6" ht="15.75" customHeight="1" x14ac:dyDescent="0.25">
      <c r="F693" s="163"/>
    </row>
    <row r="694" spans="6:6" ht="15.75" customHeight="1" x14ac:dyDescent="0.25">
      <c r="F694" s="163"/>
    </row>
    <row r="695" spans="6:6" ht="15.75" customHeight="1" x14ac:dyDescent="0.25">
      <c r="F695" s="163"/>
    </row>
    <row r="696" spans="6:6" ht="15.75" customHeight="1" x14ac:dyDescent="0.25">
      <c r="F696" s="163"/>
    </row>
    <row r="697" spans="6:6" ht="15.75" customHeight="1" x14ac:dyDescent="0.25">
      <c r="F697" s="163"/>
    </row>
    <row r="698" spans="6:6" ht="15.75" customHeight="1" x14ac:dyDescent="0.25">
      <c r="F698" s="163"/>
    </row>
    <row r="699" spans="6:6" ht="15.75" customHeight="1" x14ac:dyDescent="0.25">
      <c r="F699" s="163"/>
    </row>
    <row r="700" spans="6:6" ht="15.75" customHeight="1" x14ac:dyDescent="0.25">
      <c r="F700" s="163"/>
    </row>
    <row r="701" spans="6:6" ht="15.75" customHeight="1" x14ac:dyDescent="0.25">
      <c r="F701" s="163"/>
    </row>
    <row r="702" spans="6:6" ht="15.75" customHeight="1" x14ac:dyDescent="0.25">
      <c r="F702" s="163"/>
    </row>
    <row r="703" spans="6:6" ht="15.75" customHeight="1" x14ac:dyDescent="0.25">
      <c r="F703" s="163"/>
    </row>
    <row r="704" spans="6:6" ht="15.75" customHeight="1" x14ac:dyDescent="0.25">
      <c r="F704" s="163"/>
    </row>
    <row r="705" spans="6:6" ht="15.75" customHeight="1" x14ac:dyDescent="0.25">
      <c r="F705" s="163"/>
    </row>
    <row r="706" spans="6:6" ht="15.75" customHeight="1" x14ac:dyDescent="0.25">
      <c r="F706" s="163"/>
    </row>
    <row r="707" spans="6:6" ht="15.75" customHeight="1" x14ac:dyDescent="0.25">
      <c r="F707" s="163"/>
    </row>
    <row r="708" spans="6:6" ht="15.75" customHeight="1" x14ac:dyDescent="0.25">
      <c r="F708" s="163"/>
    </row>
    <row r="709" spans="6:6" ht="15.75" customHeight="1" x14ac:dyDescent="0.25">
      <c r="F709" s="163"/>
    </row>
    <row r="710" spans="6:6" ht="15.75" customHeight="1" x14ac:dyDescent="0.25">
      <c r="F710" s="163"/>
    </row>
    <row r="711" spans="6:6" ht="15.75" customHeight="1" x14ac:dyDescent="0.25">
      <c r="F711" s="163"/>
    </row>
    <row r="712" spans="6:6" ht="15.75" customHeight="1" x14ac:dyDescent="0.25">
      <c r="F712" s="163"/>
    </row>
    <row r="713" spans="6:6" ht="15.75" customHeight="1" x14ac:dyDescent="0.25">
      <c r="F713" s="163"/>
    </row>
    <row r="714" spans="6:6" ht="15.75" customHeight="1" x14ac:dyDescent="0.25">
      <c r="F714" s="163"/>
    </row>
    <row r="715" spans="6:6" ht="15.75" customHeight="1" x14ac:dyDescent="0.25">
      <c r="F715" s="163"/>
    </row>
    <row r="716" spans="6:6" ht="15.75" customHeight="1" x14ac:dyDescent="0.25">
      <c r="F716" s="163"/>
    </row>
    <row r="717" spans="6:6" ht="15.75" customHeight="1" x14ac:dyDescent="0.25">
      <c r="F717" s="163"/>
    </row>
    <row r="718" spans="6:6" ht="15.75" customHeight="1" x14ac:dyDescent="0.25">
      <c r="F718" s="163"/>
    </row>
    <row r="719" spans="6:6" ht="15.75" customHeight="1" x14ac:dyDescent="0.25">
      <c r="F719" s="163"/>
    </row>
    <row r="720" spans="6:6" ht="15.75" customHeight="1" x14ac:dyDescent="0.25">
      <c r="F720" s="163"/>
    </row>
    <row r="721" spans="6:6" ht="15.75" customHeight="1" x14ac:dyDescent="0.25">
      <c r="F721" s="163"/>
    </row>
    <row r="722" spans="6:6" ht="15.75" customHeight="1" x14ac:dyDescent="0.25">
      <c r="F722" s="163"/>
    </row>
    <row r="723" spans="6:6" ht="15.75" customHeight="1" x14ac:dyDescent="0.25">
      <c r="F723" s="163"/>
    </row>
    <row r="724" spans="6:6" ht="15.75" customHeight="1" x14ac:dyDescent="0.25">
      <c r="F724" s="163"/>
    </row>
    <row r="725" spans="6:6" ht="15.75" customHeight="1" x14ac:dyDescent="0.25">
      <c r="F725" s="163"/>
    </row>
    <row r="726" spans="6:6" ht="15.75" customHeight="1" x14ac:dyDescent="0.25">
      <c r="F726" s="163"/>
    </row>
    <row r="727" spans="6:6" ht="15.75" customHeight="1" x14ac:dyDescent="0.25">
      <c r="F727" s="163"/>
    </row>
    <row r="728" spans="6:6" ht="15.75" customHeight="1" x14ac:dyDescent="0.25">
      <c r="F728" s="163"/>
    </row>
    <row r="729" spans="6:6" ht="15.75" customHeight="1" x14ac:dyDescent="0.25">
      <c r="F729" s="163"/>
    </row>
    <row r="730" spans="6:6" ht="15.75" customHeight="1" x14ac:dyDescent="0.25">
      <c r="F730" s="163"/>
    </row>
    <row r="731" spans="6:6" ht="15.75" customHeight="1" x14ac:dyDescent="0.25">
      <c r="F731" s="163"/>
    </row>
    <row r="732" spans="6:6" ht="15.75" customHeight="1" x14ac:dyDescent="0.25">
      <c r="F732" s="163"/>
    </row>
    <row r="733" spans="6:6" ht="15.75" customHeight="1" x14ac:dyDescent="0.25">
      <c r="F733" s="163"/>
    </row>
    <row r="734" spans="6:6" ht="15.75" customHeight="1" x14ac:dyDescent="0.25">
      <c r="F734" s="163"/>
    </row>
    <row r="735" spans="6:6" ht="15.75" customHeight="1" x14ac:dyDescent="0.25">
      <c r="F735" s="163"/>
    </row>
    <row r="736" spans="6:6" ht="15.75" customHeight="1" x14ac:dyDescent="0.25">
      <c r="F736" s="163"/>
    </row>
    <row r="737" spans="6:6" ht="15.75" customHeight="1" x14ac:dyDescent="0.25">
      <c r="F737" s="163"/>
    </row>
    <row r="738" spans="6:6" ht="15.75" customHeight="1" x14ac:dyDescent="0.25">
      <c r="F738" s="163"/>
    </row>
    <row r="739" spans="6:6" ht="15.75" customHeight="1" x14ac:dyDescent="0.25">
      <c r="F739" s="163"/>
    </row>
    <row r="740" spans="6:6" ht="15.75" customHeight="1" x14ac:dyDescent="0.25">
      <c r="F740" s="163"/>
    </row>
    <row r="741" spans="6:6" ht="15.75" customHeight="1" x14ac:dyDescent="0.25">
      <c r="F741" s="163"/>
    </row>
    <row r="742" spans="6:6" ht="15.75" customHeight="1" x14ac:dyDescent="0.25">
      <c r="F742" s="163"/>
    </row>
    <row r="743" spans="6:6" ht="15.75" customHeight="1" x14ac:dyDescent="0.25">
      <c r="F743" s="163"/>
    </row>
    <row r="744" spans="6:6" ht="15.75" customHeight="1" x14ac:dyDescent="0.25">
      <c r="F744" s="163"/>
    </row>
    <row r="745" spans="6:6" ht="15.75" customHeight="1" x14ac:dyDescent="0.25">
      <c r="F745" s="163"/>
    </row>
    <row r="746" spans="6:6" ht="15.75" customHeight="1" x14ac:dyDescent="0.25">
      <c r="F746" s="163"/>
    </row>
    <row r="747" spans="6:6" ht="15.75" customHeight="1" x14ac:dyDescent="0.25">
      <c r="F747" s="163"/>
    </row>
    <row r="748" spans="6:6" ht="15.75" customHeight="1" x14ac:dyDescent="0.25">
      <c r="F748" s="163"/>
    </row>
    <row r="749" spans="6:6" ht="15.75" customHeight="1" x14ac:dyDescent="0.25">
      <c r="F749" s="163"/>
    </row>
    <row r="750" spans="6:6" ht="15.75" customHeight="1" x14ac:dyDescent="0.25">
      <c r="F750" s="163"/>
    </row>
    <row r="751" spans="6:6" ht="15.75" customHeight="1" x14ac:dyDescent="0.25">
      <c r="F751" s="163"/>
    </row>
    <row r="752" spans="6:6" ht="15.75" customHeight="1" x14ac:dyDescent="0.25">
      <c r="F752" s="163"/>
    </row>
    <row r="753" spans="6:6" ht="15.75" customHeight="1" x14ac:dyDescent="0.25">
      <c r="F753" s="163"/>
    </row>
    <row r="754" spans="6:6" ht="15.75" customHeight="1" x14ac:dyDescent="0.25">
      <c r="F754" s="163"/>
    </row>
    <row r="755" spans="6:6" ht="15.75" customHeight="1" x14ac:dyDescent="0.25">
      <c r="F755" s="163"/>
    </row>
    <row r="756" spans="6:6" ht="15.75" customHeight="1" x14ac:dyDescent="0.25">
      <c r="F756" s="163"/>
    </row>
    <row r="757" spans="6:6" ht="15.75" customHeight="1" x14ac:dyDescent="0.25">
      <c r="F757" s="163"/>
    </row>
    <row r="758" spans="6:6" ht="15.75" customHeight="1" x14ac:dyDescent="0.25">
      <c r="F758" s="163"/>
    </row>
    <row r="759" spans="6:6" ht="15.75" customHeight="1" x14ac:dyDescent="0.25">
      <c r="F759" s="163"/>
    </row>
    <row r="760" spans="6:6" ht="15.75" customHeight="1" x14ac:dyDescent="0.25">
      <c r="F760" s="163"/>
    </row>
    <row r="761" spans="6:6" ht="15.75" customHeight="1" x14ac:dyDescent="0.25">
      <c r="F761" s="163"/>
    </row>
    <row r="762" spans="6:6" ht="15.75" customHeight="1" x14ac:dyDescent="0.25">
      <c r="F762" s="163"/>
    </row>
    <row r="763" spans="6:6" ht="15.75" customHeight="1" x14ac:dyDescent="0.25">
      <c r="F763" s="163"/>
    </row>
    <row r="764" spans="6:6" ht="15.75" customHeight="1" x14ac:dyDescent="0.25">
      <c r="F764" s="163"/>
    </row>
    <row r="765" spans="6:6" ht="15.75" customHeight="1" x14ac:dyDescent="0.25">
      <c r="F765" s="163"/>
    </row>
    <row r="766" spans="6:6" ht="15.75" customHeight="1" x14ac:dyDescent="0.25">
      <c r="F766" s="163"/>
    </row>
    <row r="767" spans="6:6" ht="15.75" customHeight="1" x14ac:dyDescent="0.25">
      <c r="F767" s="163"/>
    </row>
    <row r="768" spans="6:6" ht="15.75" customHeight="1" x14ac:dyDescent="0.25">
      <c r="F768" s="163"/>
    </row>
    <row r="769" spans="6:6" ht="15.75" customHeight="1" x14ac:dyDescent="0.25">
      <c r="F769" s="163"/>
    </row>
    <row r="770" spans="6:6" ht="15.75" customHeight="1" x14ac:dyDescent="0.25">
      <c r="F770" s="163"/>
    </row>
    <row r="771" spans="6:6" ht="15.75" customHeight="1" x14ac:dyDescent="0.25">
      <c r="F771" s="163"/>
    </row>
    <row r="772" spans="6:6" ht="15.75" customHeight="1" x14ac:dyDescent="0.25">
      <c r="F772" s="163"/>
    </row>
    <row r="773" spans="6:6" ht="15.75" customHeight="1" x14ac:dyDescent="0.25">
      <c r="F773" s="163"/>
    </row>
    <row r="774" spans="6:6" ht="15.75" customHeight="1" x14ac:dyDescent="0.25">
      <c r="F774" s="163"/>
    </row>
    <row r="775" spans="6:6" ht="15.75" customHeight="1" x14ac:dyDescent="0.25">
      <c r="F775" s="163"/>
    </row>
    <row r="776" spans="6:6" ht="15.75" customHeight="1" x14ac:dyDescent="0.25">
      <c r="F776" s="163"/>
    </row>
    <row r="777" spans="6:6" ht="15.75" customHeight="1" x14ac:dyDescent="0.25">
      <c r="F777" s="163"/>
    </row>
    <row r="778" spans="6:6" ht="15.75" customHeight="1" x14ac:dyDescent="0.25">
      <c r="F778" s="163"/>
    </row>
    <row r="779" spans="6:6" ht="15.75" customHeight="1" x14ac:dyDescent="0.25">
      <c r="F779" s="163"/>
    </row>
    <row r="780" spans="6:6" ht="15.75" customHeight="1" x14ac:dyDescent="0.25">
      <c r="F780" s="163"/>
    </row>
    <row r="781" spans="6:6" ht="15.75" customHeight="1" x14ac:dyDescent="0.25">
      <c r="F781" s="163"/>
    </row>
    <row r="782" spans="6:6" ht="15.75" customHeight="1" x14ac:dyDescent="0.25">
      <c r="F782" s="163"/>
    </row>
    <row r="783" spans="6:6" ht="15.75" customHeight="1" x14ac:dyDescent="0.25">
      <c r="F783" s="163"/>
    </row>
    <row r="784" spans="6:6" ht="15.75" customHeight="1" x14ac:dyDescent="0.25">
      <c r="F784" s="163"/>
    </row>
    <row r="785" spans="6:6" ht="15.75" customHeight="1" x14ac:dyDescent="0.25">
      <c r="F785" s="163"/>
    </row>
    <row r="786" spans="6:6" ht="15.75" customHeight="1" x14ac:dyDescent="0.25">
      <c r="F786" s="163"/>
    </row>
    <row r="787" spans="6:6" ht="15.75" customHeight="1" x14ac:dyDescent="0.25">
      <c r="F787" s="163"/>
    </row>
    <row r="788" spans="6:6" ht="15.75" customHeight="1" x14ac:dyDescent="0.25">
      <c r="F788" s="163"/>
    </row>
    <row r="789" spans="6:6" ht="15.75" customHeight="1" x14ac:dyDescent="0.25">
      <c r="F789" s="163"/>
    </row>
    <row r="790" spans="6:6" ht="15.75" customHeight="1" x14ac:dyDescent="0.25">
      <c r="F790" s="163"/>
    </row>
    <row r="791" spans="6:6" ht="15.75" customHeight="1" x14ac:dyDescent="0.25">
      <c r="F791" s="163"/>
    </row>
    <row r="792" spans="6:6" ht="15.75" customHeight="1" x14ac:dyDescent="0.25">
      <c r="F792" s="163"/>
    </row>
    <row r="793" spans="6:6" ht="15.75" customHeight="1" x14ac:dyDescent="0.25">
      <c r="F793" s="163"/>
    </row>
    <row r="794" spans="6:6" ht="15.75" customHeight="1" x14ac:dyDescent="0.25">
      <c r="F794" s="163"/>
    </row>
    <row r="795" spans="6:6" ht="15.75" customHeight="1" x14ac:dyDescent="0.25">
      <c r="F795" s="163"/>
    </row>
    <row r="796" spans="6:6" ht="15.75" customHeight="1" x14ac:dyDescent="0.25">
      <c r="F796" s="163"/>
    </row>
    <row r="797" spans="6:6" ht="15.75" customHeight="1" x14ac:dyDescent="0.25">
      <c r="F797" s="163"/>
    </row>
    <row r="798" spans="6:6" ht="15.75" customHeight="1" x14ac:dyDescent="0.25">
      <c r="F798" s="163"/>
    </row>
    <row r="799" spans="6:6" ht="15.75" customHeight="1" x14ac:dyDescent="0.25">
      <c r="F799" s="163"/>
    </row>
    <row r="800" spans="6:6" ht="15.75" customHeight="1" x14ac:dyDescent="0.25">
      <c r="F800" s="163"/>
    </row>
    <row r="801" spans="6:6" ht="15.75" customHeight="1" x14ac:dyDescent="0.25">
      <c r="F801" s="163"/>
    </row>
    <row r="802" spans="6:6" ht="15.75" customHeight="1" x14ac:dyDescent="0.25">
      <c r="F802" s="163"/>
    </row>
    <row r="803" spans="6:6" ht="15.75" customHeight="1" x14ac:dyDescent="0.25">
      <c r="F803" s="163"/>
    </row>
    <row r="804" spans="6:6" ht="15.75" customHeight="1" x14ac:dyDescent="0.25">
      <c r="F804" s="163"/>
    </row>
    <row r="805" spans="6:6" ht="15.75" customHeight="1" x14ac:dyDescent="0.25">
      <c r="F805" s="163"/>
    </row>
    <row r="806" spans="6:6" ht="15.75" customHeight="1" x14ac:dyDescent="0.25">
      <c r="F806" s="163"/>
    </row>
    <row r="807" spans="6:6" ht="15.75" customHeight="1" x14ac:dyDescent="0.25">
      <c r="F807" s="163"/>
    </row>
    <row r="808" spans="6:6" ht="15.75" customHeight="1" x14ac:dyDescent="0.25">
      <c r="F808" s="163"/>
    </row>
    <row r="809" spans="6:6" ht="15.75" customHeight="1" x14ac:dyDescent="0.25">
      <c r="F809" s="163"/>
    </row>
    <row r="810" spans="6:6" ht="15.75" customHeight="1" x14ac:dyDescent="0.25">
      <c r="F810" s="163"/>
    </row>
    <row r="811" spans="6:6" ht="15.75" customHeight="1" x14ac:dyDescent="0.25">
      <c r="F811" s="163"/>
    </row>
    <row r="812" spans="6:6" ht="15.75" customHeight="1" x14ac:dyDescent="0.25">
      <c r="F812" s="163"/>
    </row>
    <row r="813" spans="6:6" ht="15.75" customHeight="1" x14ac:dyDescent="0.25">
      <c r="F813" s="163"/>
    </row>
    <row r="814" spans="6:6" ht="15.75" customHeight="1" x14ac:dyDescent="0.25">
      <c r="F814" s="163"/>
    </row>
    <row r="815" spans="6:6" ht="15.75" customHeight="1" x14ac:dyDescent="0.25">
      <c r="F815" s="163"/>
    </row>
    <row r="816" spans="6:6" ht="15.75" customHeight="1" x14ac:dyDescent="0.25">
      <c r="F816" s="163"/>
    </row>
    <row r="817" spans="6:6" ht="15.75" customHeight="1" x14ac:dyDescent="0.25">
      <c r="F817" s="163"/>
    </row>
    <row r="818" spans="6:6" ht="15.75" customHeight="1" x14ac:dyDescent="0.25">
      <c r="F818" s="163"/>
    </row>
    <row r="819" spans="6:6" ht="15.75" customHeight="1" x14ac:dyDescent="0.25">
      <c r="F819" s="163"/>
    </row>
    <row r="820" spans="6:6" ht="15.75" customHeight="1" x14ac:dyDescent="0.25">
      <c r="F820" s="163"/>
    </row>
    <row r="821" spans="6:6" ht="15.75" customHeight="1" x14ac:dyDescent="0.25">
      <c r="F821" s="163"/>
    </row>
    <row r="822" spans="6:6" ht="15.75" customHeight="1" x14ac:dyDescent="0.25">
      <c r="F822" s="163"/>
    </row>
    <row r="823" spans="6:6" ht="15.75" customHeight="1" x14ac:dyDescent="0.25">
      <c r="F823" s="163"/>
    </row>
    <row r="824" spans="6:6" ht="15.75" customHeight="1" x14ac:dyDescent="0.25">
      <c r="F824" s="163"/>
    </row>
    <row r="825" spans="6:6" ht="15.75" customHeight="1" x14ac:dyDescent="0.25">
      <c r="F825" s="163"/>
    </row>
    <row r="826" spans="6:6" ht="15.75" customHeight="1" x14ac:dyDescent="0.25">
      <c r="F826" s="163"/>
    </row>
    <row r="827" spans="6:6" ht="15.75" customHeight="1" x14ac:dyDescent="0.25">
      <c r="F827" s="163"/>
    </row>
    <row r="828" spans="6:6" ht="15.75" customHeight="1" x14ac:dyDescent="0.25">
      <c r="F828" s="163"/>
    </row>
    <row r="829" spans="6:6" ht="15.75" customHeight="1" x14ac:dyDescent="0.25">
      <c r="F829" s="163"/>
    </row>
    <row r="830" spans="6:6" ht="15.75" customHeight="1" x14ac:dyDescent="0.25">
      <c r="F830" s="163"/>
    </row>
    <row r="831" spans="6:6" ht="15.75" customHeight="1" x14ac:dyDescent="0.25">
      <c r="F831" s="163"/>
    </row>
    <row r="832" spans="6:6" ht="15.75" customHeight="1" x14ac:dyDescent="0.25">
      <c r="F832" s="163"/>
    </row>
    <row r="833" spans="6:6" ht="15.75" customHeight="1" x14ac:dyDescent="0.25">
      <c r="F833" s="163"/>
    </row>
    <row r="834" spans="6:6" ht="15.75" customHeight="1" x14ac:dyDescent="0.25">
      <c r="F834" s="163"/>
    </row>
    <row r="835" spans="6:6" ht="15.75" customHeight="1" x14ac:dyDescent="0.25">
      <c r="F835" s="163"/>
    </row>
    <row r="836" spans="6:6" ht="15.75" customHeight="1" x14ac:dyDescent="0.25">
      <c r="F836" s="163"/>
    </row>
    <row r="837" spans="6:6" ht="15.75" customHeight="1" x14ac:dyDescent="0.25">
      <c r="F837" s="163"/>
    </row>
    <row r="838" spans="6:6" ht="15.75" customHeight="1" x14ac:dyDescent="0.25">
      <c r="F838" s="163"/>
    </row>
    <row r="839" spans="6:6" ht="15.75" customHeight="1" x14ac:dyDescent="0.25">
      <c r="F839" s="163"/>
    </row>
    <row r="840" spans="6:6" ht="15.75" customHeight="1" x14ac:dyDescent="0.25">
      <c r="F840" s="163"/>
    </row>
    <row r="841" spans="6:6" ht="15.75" customHeight="1" x14ac:dyDescent="0.25">
      <c r="F841" s="163"/>
    </row>
    <row r="842" spans="6:6" ht="15.75" customHeight="1" x14ac:dyDescent="0.25">
      <c r="F842" s="163"/>
    </row>
    <row r="843" spans="6:6" ht="15.75" customHeight="1" x14ac:dyDescent="0.25">
      <c r="F843" s="163"/>
    </row>
    <row r="844" spans="6:6" ht="15.75" customHeight="1" x14ac:dyDescent="0.25">
      <c r="F844" s="163"/>
    </row>
    <row r="845" spans="6:6" ht="15.75" customHeight="1" x14ac:dyDescent="0.25">
      <c r="F845" s="163"/>
    </row>
    <row r="846" spans="6:6" ht="15.75" customHeight="1" x14ac:dyDescent="0.25">
      <c r="F846" s="163"/>
    </row>
    <row r="847" spans="6:6" ht="15.75" customHeight="1" x14ac:dyDescent="0.25">
      <c r="F847" s="163"/>
    </row>
    <row r="848" spans="6:6" ht="15.75" customHeight="1" x14ac:dyDescent="0.25">
      <c r="F848" s="163"/>
    </row>
    <row r="849" spans="6:6" ht="15.75" customHeight="1" x14ac:dyDescent="0.25">
      <c r="F849" s="163"/>
    </row>
    <row r="850" spans="6:6" ht="15.75" customHeight="1" x14ac:dyDescent="0.25">
      <c r="F850" s="163"/>
    </row>
    <row r="851" spans="6:6" ht="15.75" customHeight="1" x14ac:dyDescent="0.25">
      <c r="F851" s="163"/>
    </row>
    <row r="852" spans="6:6" ht="15.75" customHeight="1" x14ac:dyDescent="0.25">
      <c r="F852" s="163"/>
    </row>
    <row r="853" spans="6:6" ht="15.75" customHeight="1" x14ac:dyDescent="0.25">
      <c r="F853" s="163"/>
    </row>
    <row r="854" spans="6:6" ht="15.75" customHeight="1" x14ac:dyDescent="0.25">
      <c r="F854" s="163"/>
    </row>
    <row r="855" spans="6:6" ht="15.75" customHeight="1" x14ac:dyDescent="0.25">
      <c r="F855" s="163"/>
    </row>
    <row r="856" spans="6:6" ht="15.75" customHeight="1" x14ac:dyDescent="0.25">
      <c r="F856" s="163"/>
    </row>
    <row r="857" spans="6:6" ht="15.75" customHeight="1" x14ac:dyDescent="0.25">
      <c r="F857" s="163"/>
    </row>
    <row r="858" spans="6:6" ht="15.75" customHeight="1" x14ac:dyDescent="0.25">
      <c r="F858" s="163"/>
    </row>
    <row r="859" spans="6:6" ht="15.75" customHeight="1" x14ac:dyDescent="0.25">
      <c r="F859" s="163"/>
    </row>
    <row r="860" spans="6:6" ht="15.75" customHeight="1" x14ac:dyDescent="0.25">
      <c r="F860" s="163"/>
    </row>
    <row r="861" spans="6:6" ht="15.75" customHeight="1" x14ac:dyDescent="0.25">
      <c r="F861" s="163"/>
    </row>
    <row r="862" spans="6:6" ht="15.75" customHeight="1" x14ac:dyDescent="0.25">
      <c r="F862" s="163"/>
    </row>
    <row r="863" spans="6:6" ht="15.75" customHeight="1" x14ac:dyDescent="0.25">
      <c r="F863" s="163"/>
    </row>
    <row r="864" spans="6:6" ht="15.75" customHeight="1" x14ac:dyDescent="0.25">
      <c r="F864" s="163"/>
    </row>
    <row r="865" spans="6:6" ht="15.75" customHeight="1" x14ac:dyDescent="0.25">
      <c r="F865" s="163"/>
    </row>
    <row r="866" spans="6:6" ht="15.75" customHeight="1" x14ac:dyDescent="0.25">
      <c r="F866" s="163"/>
    </row>
    <row r="867" spans="6:6" ht="15.75" customHeight="1" x14ac:dyDescent="0.25">
      <c r="F867" s="163"/>
    </row>
    <row r="868" spans="6:6" ht="15.75" customHeight="1" x14ac:dyDescent="0.25">
      <c r="F868" s="163"/>
    </row>
    <row r="869" spans="6:6" ht="15.75" customHeight="1" x14ac:dyDescent="0.25">
      <c r="F869" s="163"/>
    </row>
    <row r="870" spans="6:6" ht="15.75" customHeight="1" x14ac:dyDescent="0.25">
      <c r="F870" s="163"/>
    </row>
    <row r="871" spans="6:6" ht="15.75" customHeight="1" x14ac:dyDescent="0.25">
      <c r="F871" s="163"/>
    </row>
    <row r="872" spans="6:6" ht="15.75" customHeight="1" x14ac:dyDescent="0.25">
      <c r="F872" s="163"/>
    </row>
    <row r="873" spans="6:6" ht="15.75" customHeight="1" x14ac:dyDescent="0.25">
      <c r="F873" s="163"/>
    </row>
    <row r="874" spans="6:6" ht="15.75" customHeight="1" x14ac:dyDescent="0.25">
      <c r="F874" s="163"/>
    </row>
    <row r="875" spans="6:6" ht="15.75" customHeight="1" x14ac:dyDescent="0.25">
      <c r="F875" s="163"/>
    </row>
    <row r="876" spans="6:6" ht="15.75" customHeight="1" x14ac:dyDescent="0.25">
      <c r="F876" s="163"/>
    </row>
    <row r="877" spans="6:6" ht="15.75" customHeight="1" x14ac:dyDescent="0.25">
      <c r="F877" s="163"/>
    </row>
    <row r="878" spans="6:6" ht="15.75" customHeight="1" x14ac:dyDescent="0.25">
      <c r="F878" s="163"/>
    </row>
    <row r="879" spans="6:6" ht="15.75" customHeight="1" x14ac:dyDescent="0.25">
      <c r="F879" s="163"/>
    </row>
    <row r="880" spans="6:6" ht="15.75" customHeight="1" x14ac:dyDescent="0.25">
      <c r="F880" s="163"/>
    </row>
    <row r="881" spans="6:6" ht="15.75" customHeight="1" x14ac:dyDescent="0.25">
      <c r="F881" s="163"/>
    </row>
    <row r="882" spans="6:6" ht="15.75" customHeight="1" x14ac:dyDescent="0.25">
      <c r="F882" s="163"/>
    </row>
    <row r="883" spans="6:6" ht="15.75" customHeight="1" x14ac:dyDescent="0.25">
      <c r="F883" s="163"/>
    </row>
    <row r="884" spans="6:6" ht="15.75" customHeight="1" x14ac:dyDescent="0.25">
      <c r="F884" s="163"/>
    </row>
    <row r="885" spans="6:6" ht="15.75" customHeight="1" x14ac:dyDescent="0.25">
      <c r="F885" s="163"/>
    </row>
    <row r="886" spans="6:6" ht="15.75" customHeight="1" x14ac:dyDescent="0.25">
      <c r="F886" s="163"/>
    </row>
    <row r="887" spans="6:6" ht="15.75" customHeight="1" x14ac:dyDescent="0.25">
      <c r="F887" s="163"/>
    </row>
    <row r="888" spans="6:6" ht="15.75" customHeight="1" x14ac:dyDescent="0.25">
      <c r="F888" s="163"/>
    </row>
    <row r="889" spans="6:6" ht="15.75" customHeight="1" x14ac:dyDescent="0.25">
      <c r="F889" s="163"/>
    </row>
    <row r="890" spans="6:6" ht="15.75" customHeight="1" x14ac:dyDescent="0.25">
      <c r="F890" s="163"/>
    </row>
    <row r="891" spans="6:6" ht="15.75" customHeight="1" x14ac:dyDescent="0.25">
      <c r="F891" s="163"/>
    </row>
    <row r="892" spans="6:6" ht="15.75" customHeight="1" x14ac:dyDescent="0.25">
      <c r="F892" s="163"/>
    </row>
    <row r="893" spans="6:6" ht="15.75" customHeight="1" x14ac:dyDescent="0.25">
      <c r="F893" s="163"/>
    </row>
    <row r="894" spans="6:6" ht="15.75" customHeight="1" x14ac:dyDescent="0.25">
      <c r="F894" s="163"/>
    </row>
    <row r="895" spans="6:6" ht="15.75" customHeight="1" x14ac:dyDescent="0.25">
      <c r="F895" s="163"/>
    </row>
    <row r="896" spans="6:6" ht="15.75" customHeight="1" x14ac:dyDescent="0.25">
      <c r="F896" s="163"/>
    </row>
    <row r="897" spans="6:6" ht="15.75" customHeight="1" x14ac:dyDescent="0.25">
      <c r="F897" s="163"/>
    </row>
    <row r="898" spans="6:6" ht="15.75" customHeight="1" x14ac:dyDescent="0.25">
      <c r="F898" s="163"/>
    </row>
    <row r="899" spans="6:6" ht="15.75" customHeight="1" x14ac:dyDescent="0.25">
      <c r="F899" s="163"/>
    </row>
    <row r="900" spans="6:6" ht="15.75" customHeight="1" x14ac:dyDescent="0.25">
      <c r="F900" s="163"/>
    </row>
    <row r="901" spans="6:6" ht="15.75" customHeight="1" x14ac:dyDescent="0.25">
      <c r="F901" s="163"/>
    </row>
    <row r="902" spans="6:6" ht="15.75" customHeight="1" x14ac:dyDescent="0.25">
      <c r="F902" s="163"/>
    </row>
    <row r="903" spans="6:6" ht="15.75" customHeight="1" x14ac:dyDescent="0.25">
      <c r="F903" s="163"/>
    </row>
    <row r="904" spans="6:6" ht="15.75" customHeight="1" x14ac:dyDescent="0.25">
      <c r="F904" s="163"/>
    </row>
    <row r="905" spans="6:6" ht="15.75" customHeight="1" x14ac:dyDescent="0.25">
      <c r="F905" s="163"/>
    </row>
    <row r="906" spans="6:6" ht="15.75" customHeight="1" x14ac:dyDescent="0.25">
      <c r="F906" s="163"/>
    </row>
    <row r="907" spans="6:6" ht="15.75" customHeight="1" x14ac:dyDescent="0.25">
      <c r="F907" s="163"/>
    </row>
    <row r="908" spans="6:6" ht="15.75" customHeight="1" x14ac:dyDescent="0.25">
      <c r="F908" s="163"/>
    </row>
    <row r="909" spans="6:6" ht="15.75" customHeight="1" x14ac:dyDescent="0.25">
      <c r="F909" s="163"/>
    </row>
    <row r="910" spans="6:6" ht="15.75" customHeight="1" x14ac:dyDescent="0.25">
      <c r="F910" s="163"/>
    </row>
    <row r="911" spans="6:6" ht="15.75" customHeight="1" x14ac:dyDescent="0.25">
      <c r="F911" s="163"/>
    </row>
    <row r="912" spans="6:6" ht="15.75" customHeight="1" x14ac:dyDescent="0.25">
      <c r="F912" s="163"/>
    </row>
    <row r="913" spans="6:6" ht="15.75" customHeight="1" x14ac:dyDescent="0.25">
      <c r="F913" s="163"/>
    </row>
    <row r="914" spans="6:6" ht="15.75" customHeight="1" x14ac:dyDescent="0.25">
      <c r="F914" s="163"/>
    </row>
    <row r="915" spans="6:6" ht="15.75" customHeight="1" x14ac:dyDescent="0.25">
      <c r="F915" s="163"/>
    </row>
    <row r="916" spans="6:6" ht="15.75" customHeight="1" x14ac:dyDescent="0.25">
      <c r="F916" s="163"/>
    </row>
    <row r="917" spans="6:6" ht="15.75" customHeight="1" x14ac:dyDescent="0.25">
      <c r="F917" s="163"/>
    </row>
    <row r="918" spans="6:6" ht="15.75" customHeight="1" x14ac:dyDescent="0.25">
      <c r="F918" s="163"/>
    </row>
    <row r="919" spans="6:6" ht="15.75" customHeight="1" x14ac:dyDescent="0.25">
      <c r="F919" s="163"/>
    </row>
    <row r="920" spans="6:6" ht="15.75" customHeight="1" x14ac:dyDescent="0.25">
      <c r="F920" s="163"/>
    </row>
    <row r="921" spans="6:6" ht="15.75" customHeight="1" x14ac:dyDescent="0.25">
      <c r="F921" s="163"/>
    </row>
    <row r="922" spans="6:6" ht="15.75" customHeight="1" x14ac:dyDescent="0.25">
      <c r="F922" s="163"/>
    </row>
    <row r="923" spans="6:6" ht="15.75" customHeight="1" x14ac:dyDescent="0.25">
      <c r="F923" s="163"/>
    </row>
    <row r="924" spans="6:6" ht="15.75" customHeight="1" x14ac:dyDescent="0.25">
      <c r="F924" s="163"/>
    </row>
    <row r="925" spans="6:6" ht="15.75" customHeight="1" x14ac:dyDescent="0.25">
      <c r="F925" s="163"/>
    </row>
    <row r="926" spans="6:6" ht="15.75" customHeight="1" x14ac:dyDescent="0.25">
      <c r="F926" s="163"/>
    </row>
    <row r="927" spans="6:6" ht="15.75" customHeight="1" x14ac:dyDescent="0.25">
      <c r="F927" s="163"/>
    </row>
    <row r="928" spans="6:6" ht="15.75" customHeight="1" x14ac:dyDescent="0.25">
      <c r="F928" s="163"/>
    </row>
    <row r="929" spans="6:6" ht="15.75" customHeight="1" x14ac:dyDescent="0.25">
      <c r="F929" s="163"/>
    </row>
    <row r="930" spans="6:6" ht="15.75" customHeight="1" x14ac:dyDescent="0.25">
      <c r="F930" s="163"/>
    </row>
    <row r="931" spans="6:6" ht="15.75" customHeight="1" x14ac:dyDescent="0.25">
      <c r="F931" s="163"/>
    </row>
    <row r="932" spans="6:6" ht="15.75" customHeight="1" x14ac:dyDescent="0.25">
      <c r="F932" s="163"/>
    </row>
    <row r="933" spans="6:6" ht="15.75" customHeight="1" x14ac:dyDescent="0.25">
      <c r="F933" s="163"/>
    </row>
    <row r="934" spans="6:6" ht="15.75" customHeight="1" x14ac:dyDescent="0.25">
      <c r="F934" s="163"/>
    </row>
    <row r="935" spans="6:6" ht="15.75" customHeight="1" x14ac:dyDescent="0.25">
      <c r="F935" s="163"/>
    </row>
    <row r="936" spans="6:6" ht="15.75" customHeight="1" x14ac:dyDescent="0.25">
      <c r="F936" s="163"/>
    </row>
    <row r="937" spans="6:6" ht="15.75" customHeight="1" x14ac:dyDescent="0.25">
      <c r="F937" s="163"/>
    </row>
    <row r="938" spans="6:6" ht="15.75" customHeight="1" x14ac:dyDescent="0.25">
      <c r="F938" s="163"/>
    </row>
    <row r="939" spans="6:6" ht="15.75" customHeight="1" x14ac:dyDescent="0.25">
      <c r="F939" s="163"/>
    </row>
    <row r="940" spans="6:6" ht="15.75" customHeight="1" x14ac:dyDescent="0.25">
      <c r="F940" s="163"/>
    </row>
    <row r="941" spans="6:6" ht="15.75" customHeight="1" x14ac:dyDescent="0.25">
      <c r="F941" s="163"/>
    </row>
    <row r="942" spans="6:6" ht="15.75" customHeight="1" x14ac:dyDescent="0.25">
      <c r="F942" s="163"/>
    </row>
    <row r="943" spans="6:6" ht="15.75" customHeight="1" x14ac:dyDescent="0.25">
      <c r="F943" s="163"/>
    </row>
    <row r="944" spans="6:6" ht="15.75" customHeight="1" x14ac:dyDescent="0.25">
      <c r="F944" s="163"/>
    </row>
    <row r="945" spans="6:6" ht="15.75" customHeight="1" x14ac:dyDescent="0.25">
      <c r="F945" s="163"/>
    </row>
    <row r="946" spans="6:6" ht="15.75" customHeight="1" x14ac:dyDescent="0.25">
      <c r="F946" s="163"/>
    </row>
    <row r="947" spans="6:6" ht="15.75" customHeight="1" x14ac:dyDescent="0.25">
      <c r="F947" s="163"/>
    </row>
    <row r="948" spans="6:6" ht="15.75" customHeight="1" x14ac:dyDescent="0.25">
      <c r="F948" s="163"/>
    </row>
    <row r="949" spans="6:6" ht="15.75" customHeight="1" x14ac:dyDescent="0.25">
      <c r="F949" s="163"/>
    </row>
    <row r="950" spans="6:6" ht="15.75" customHeight="1" x14ac:dyDescent="0.25">
      <c r="F950" s="163"/>
    </row>
    <row r="951" spans="6:6" ht="15.75" customHeight="1" x14ac:dyDescent="0.25">
      <c r="F951" s="163"/>
    </row>
    <row r="952" spans="6:6" ht="15.75" customHeight="1" x14ac:dyDescent="0.25">
      <c r="F952" s="163"/>
    </row>
    <row r="953" spans="6:6" ht="15.75" customHeight="1" x14ac:dyDescent="0.25">
      <c r="F953" s="163"/>
    </row>
    <row r="954" spans="6:6" ht="15.75" customHeight="1" x14ac:dyDescent="0.25">
      <c r="F954" s="163"/>
    </row>
    <row r="955" spans="6:6" ht="15.75" customHeight="1" x14ac:dyDescent="0.25">
      <c r="F955" s="163"/>
    </row>
    <row r="956" spans="6:6" ht="15.75" customHeight="1" x14ac:dyDescent="0.25">
      <c r="F956" s="163"/>
    </row>
    <row r="957" spans="6:6" ht="15.75" customHeight="1" x14ac:dyDescent="0.25">
      <c r="F957" s="163"/>
    </row>
    <row r="958" spans="6:6" ht="15.75" customHeight="1" x14ac:dyDescent="0.25">
      <c r="F958" s="163"/>
    </row>
    <row r="959" spans="6:6" ht="15.75" customHeight="1" x14ac:dyDescent="0.25">
      <c r="F959" s="163"/>
    </row>
    <row r="960" spans="6:6" ht="15.75" customHeight="1" x14ac:dyDescent="0.25">
      <c r="F960" s="163"/>
    </row>
    <row r="961" spans="6:6" ht="15.75" customHeight="1" x14ac:dyDescent="0.25">
      <c r="F961" s="163"/>
    </row>
    <row r="962" spans="6:6" ht="15.75" customHeight="1" x14ac:dyDescent="0.25">
      <c r="F962" s="163"/>
    </row>
    <row r="963" spans="6:6" ht="15.75" customHeight="1" x14ac:dyDescent="0.25">
      <c r="F963" s="163"/>
    </row>
    <row r="964" spans="6:6" ht="15.75" customHeight="1" x14ac:dyDescent="0.25">
      <c r="F964" s="163"/>
    </row>
    <row r="965" spans="6:6" ht="15.75" customHeight="1" x14ac:dyDescent="0.25">
      <c r="F965" s="163"/>
    </row>
    <row r="966" spans="6:6" ht="15.75" customHeight="1" x14ac:dyDescent="0.25">
      <c r="F966" s="163"/>
    </row>
    <row r="967" spans="6:6" ht="15.75" customHeight="1" x14ac:dyDescent="0.25">
      <c r="F967" s="163"/>
    </row>
    <row r="968" spans="6:6" ht="15.75" customHeight="1" x14ac:dyDescent="0.25">
      <c r="F968" s="163"/>
    </row>
    <row r="969" spans="6:6" ht="15.75" customHeight="1" x14ac:dyDescent="0.25">
      <c r="F969" s="163"/>
    </row>
    <row r="970" spans="6:6" ht="15.75" customHeight="1" x14ac:dyDescent="0.25">
      <c r="F970" s="163"/>
    </row>
    <row r="971" spans="6:6" ht="15.75" customHeight="1" x14ac:dyDescent="0.25">
      <c r="F971" s="163"/>
    </row>
    <row r="972" spans="6:6" ht="15.75" customHeight="1" x14ac:dyDescent="0.25">
      <c r="F972" s="163"/>
    </row>
    <row r="973" spans="6:6" ht="15.75" customHeight="1" x14ac:dyDescent="0.25">
      <c r="F973" s="163"/>
    </row>
    <row r="974" spans="6:6" ht="15.75" customHeight="1" x14ac:dyDescent="0.25">
      <c r="F974" s="163"/>
    </row>
    <row r="975" spans="6:6" ht="15.75" customHeight="1" x14ac:dyDescent="0.25">
      <c r="F975" s="163"/>
    </row>
    <row r="976" spans="6:6" ht="15.75" customHeight="1" x14ac:dyDescent="0.25">
      <c r="F976" s="163"/>
    </row>
    <row r="977" spans="6:6" ht="15.75" customHeight="1" x14ac:dyDescent="0.25">
      <c r="F977" s="163"/>
    </row>
    <row r="978" spans="6:6" ht="15.75" customHeight="1" x14ac:dyDescent="0.25">
      <c r="F978" s="163"/>
    </row>
    <row r="979" spans="6:6" ht="15.75" customHeight="1" x14ac:dyDescent="0.25">
      <c r="F979" s="163"/>
    </row>
    <row r="980" spans="6:6" ht="15.75" customHeight="1" x14ac:dyDescent="0.25">
      <c r="F980" s="163"/>
    </row>
    <row r="981" spans="6:6" ht="15.75" customHeight="1" x14ac:dyDescent="0.25">
      <c r="F981" s="163"/>
    </row>
    <row r="982" spans="6:6" ht="15.75" customHeight="1" x14ac:dyDescent="0.25">
      <c r="F982" s="163"/>
    </row>
    <row r="983" spans="6:6" ht="15.75" customHeight="1" x14ac:dyDescent="0.25">
      <c r="F983" s="163"/>
    </row>
    <row r="984" spans="6:6" ht="15.75" customHeight="1" x14ac:dyDescent="0.25">
      <c r="F984" s="163"/>
    </row>
    <row r="985" spans="6:6" ht="15.75" customHeight="1" x14ac:dyDescent="0.25">
      <c r="F985" s="163"/>
    </row>
    <row r="986" spans="6:6" ht="15.75" customHeight="1" x14ac:dyDescent="0.25">
      <c r="F986" s="163"/>
    </row>
    <row r="987" spans="6:6" ht="15.75" customHeight="1" x14ac:dyDescent="0.25">
      <c r="F987" s="163"/>
    </row>
    <row r="988" spans="6:6" ht="15.75" customHeight="1" x14ac:dyDescent="0.25">
      <c r="F988" s="163"/>
    </row>
    <row r="989" spans="6:6" ht="15.75" customHeight="1" x14ac:dyDescent="0.25">
      <c r="F989" s="163"/>
    </row>
    <row r="990" spans="6:6" ht="15.75" customHeight="1" x14ac:dyDescent="0.25">
      <c r="F990" s="163"/>
    </row>
    <row r="991" spans="6:6" ht="15.75" customHeight="1" x14ac:dyDescent="0.25">
      <c r="F991" s="163"/>
    </row>
    <row r="992" spans="6:6" ht="15.75" customHeight="1" x14ac:dyDescent="0.25">
      <c r="F992" s="163"/>
    </row>
    <row r="993" spans="6:6" ht="15.75" customHeight="1" x14ac:dyDescent="0.25">
      <c r="F993" s="163"/>
    </row>
    <row r="994" spans="6:6" ht="15.75" customHeight="1" x14ac:dyDescent="0.25">
      <c r="F994" s="163"/>
    </row>
    <row r="995" spans="6:6" ht="15.75" customHeight="1" x14ac:dyDescent="0.25">
      <c r="F995" s="163"/>
    </row>
    <row r="996" spans="6:6" ht="15.75" customHeight="1" x14ac:dyDescent="0.25">
      <c r="F996" s="163"/>
    </row>
    <row r="997" spans="6:6" ht="15.75" customHeight="1" x14ac:dyDescent="0.25">
      <c r="F997" s="163"/>
    </row>
    <row r="998" spans="6:6" ht="15.75" customHeight="1" x14ac:dyDescent="0.25">
      <c r="F998" s="163"/>
    </row>
    <row r="999" spans="6:6" ht="15.75" customHeight="1" x14ac:dyDescent="0.25">
      <c r="F999" s="163"/>
    </row>
    <row r="1000" spans="6:6" ht="15.75" customHeight="1" x14ac:dyDescent="0.25">
      <c r="F1000" s="163"/>
    </row>
  </sheetData>
  <mergeCells count="37">
    <mergeCell ref="F6:H6"/>
    <mergeCell ref="A7:H7"/>
    <mergeCell ref="A8:H8"/>
    <mergeCell ref="A9:H9"/>
    <mergeCell ref="C10:H10"/>
    <mergeCell ref="C11:H11"/>
    <mergeCell ref="C12:H12"/>
    <mergeCell ref="C13:H13"/>
    <mergeCell ref="C14:H14"/>
    <mergeCell ref="A15:H15"/>
    <mergeCell ref="C16:H16"/>
    <mergeCell ref="C17:H17"/>
    <mergeCell ref="C18:H18"/>
    <mergeCell ref="C19:H19"/>
    <mergeCell ref="C20:H20"/>
    <mergeCell ref="A21:H21"/>
    <mergeCell ref="B36:F36"/>
    <mergeCell ref="B48:F48"/>
    <mergeCell ref="B60:F60"/>
    <mergeCell ref="B72:F72"/>
    <mergeCell ref="B84:F84"/>
    <mergeCell ref="B96:F96"/>
    <mergeCell ref="B108:F108"/>
    <mergeCell ref="B120:F120"/>
    <mergeCell ref="B132:F132"/>
    <mergeCell ref="B144:F144"/>
    <mergeCell ref="B156:F156"/>
    <mergeCell ref="B157:F157"/>
    <mergeCell ref="A173:H173"/>
    <mergeCell ref="E174:H174"/>
    <mergeCell ref="A159:H159"/>
    <mergeCell ref="A160:H160"/>
    <mergeCell ref="E162:H163"/>
    <mergeCell ref="E168:H168"/>
    <mergeCell ref="A170:H170"/>
    <mergeCell ref="A171:H171"/>
    <mergeCell ref="A172:H172"/>
  </mergeCells>
  <conditionalFormatting sqref="B28:B35">
    <cfRule type="expression" dxfId="81" priority="1">
      <formula>B28="kegiatan"</formula>
    </cfRule>
  </conditionalFormatting>
  <conditionalFormatting sqref="B38:B47 B52:B59 B62:B71 B74:B83">
    <cfRule type="expression" dxfId="80" priority="2">
      <formula>B38="kegiatan"</formula>
    </cfRule>
  </conditionalFormatting>
  <conditionalFormatting sqref="B86:B95">
    <cfRule type="expression" dxfId="79" priority="3">
      <formula>B86="kegiatan"</formula>
    </cfRule>
  </conditionalFormatting>
  <conditionalFormatting sqref="B98:B107">
    <cfRule type="expression" dxfId="78" priority="4">
      <formula>B98="kegiatan"</formula>
    </cfRule>
  </conditionalFormatting>
  <conditionalFormatting sqref="B110:B119">
    <cfRule type="expression" dxfId="77" priority="5">
      <formula>B110="nama penghargaan"</formula>
    </cfRule>
  </conditionalFormatting>
  <conditionalFormatting sqref="B122:B131">
    <cfRule type="expression" dxfId="76" priority="6">
      <formula>B122="judul buku"</formula>
    </cfRule>
  </conditionalFormatting>
  <conditionalFormatting sqref="B134:B143 B146:B155">
    <cfRule type="expression" dxfId="75" priority="7">
      <formula>B134="prestasi"</formula>
    </cfRule>
  </conditionalFormatting>
  <conditionalFormatting sqref="C10:D14">
    <cfRule type="expression" dxfId="74" priority="8">
      <formula>C10=""</formula>
    </cfRule>
  </conditionalFormatting>
  <conditionalFormatting sqref="C16:D20">
    <cfRule type="expression" dxfId="73" priority="9">
      <formula>C16=""</formula>
    </cfRule>
  </conditionalFormatting>
  <conditionalFormatting sqref="G26:G35">
    <cfRule type="expression" dxfId="72" priority="10">
      <formula>G26="rumus"</formula>
    </cfRule>
  </conditionalFormatting>
  <conditionalFormatting sqref="G38:G47 G50:G59 G62:G71 G74:G83 G110:G119 G122:G131 G134:G143 G146:G155">
    <cfRule type="expression" dxfId="71" priority="11">
      <formula>G38="rumus"</formula>
    </cfRule>
  </conditionalFormatting>
  <conditionalFormatting sqref="G86:G95">
    <cfRule type="expression" dxfId="70" priority="12">
      <formula>G86="rumus"</formula>
    </cfRule>
  </conditionalFormatting>
  <conditionalFormatting sqref="G98:G107">
    <cfRule type="expression" dxfId="69" priority="13">
      <formula>G98="rumus"</formula>
    </cfRule>
  </conditionalFormatting>
  <dataValidations count="11">
    <dataValidation type="list" allowBlank="1" showInputMessage="1" showErrorMessage="1" prompt="pilih dengan mengklik segitiga dipojok kotak" sqref="I74:I83" xr:uid="{00000000-0002-0000-0500-000000000000}">
      <formula1>"a. Sebagai ketua delegasi,b. Sebagai anggota"</formula1>
    </dataValidation>
    <dataValidation type="list" allowBlank="1" showInputMessage="1" showErrorMessage="1" prompt="pilih dengan mengklik segitiga dipojok kotak" sqref="I122:I131" xr:uid="{00000000-0002-0000-0500-000001000000}">
      <formula1>"a.Buku SMTA atau setingkat,b.Buku SMTP atau setingkat,c.Buku SD atau setingkat"</formula1>
    </dataValidation>
    <dataValidation type="list" allowBlank="1" showInputMessage="1" showErrorMessage="1" prompt="pilih dengan mengklik segitiga dipojok kotak" sqref="I28:I35" xr:uid="{00000000-0002-0000-0500-000002000000}">
      <formula1>"a.Sebagai Ketua/wakil ketua pertahun,b.Sebagai Anggota pertahun"</formula1>
    </dataValidation>
    <dataValidation type="list" allowBlank="1" showInputMessage="1" showErrorMessage="1" prompt="pilih dengan mengklik segitiga dipojok kotak" sqref="I62:I71" xr:uid="{00000000-0002-0000-0500-000003000000}">
      <formula1>"Tiap kepanitiaan"</formula1>
    </dataValidation>
    <dataValidation type="list" allowBlank="1" showInputMessage="1" showErrorMessage="1" prompt="pilih dengan mengklik segitiga dipojok kotak" sqref="I146:I155" xr:uid="{00000000-0002-0000-0500-000004000000}">
      <formula1>"Menjadi anggota tim penilai jabatan akademik dosen"</formula1>
    </dataValidation>
    <dataValidation type="list" allowBlank="1" showInputMessage="1" showErrorMessage="1" prompt="pilih dengan mengklik segitiga dipojok kotak" sqref="I38:I47" xr:uid="{00000000-0002-0000-0500-000005000000}">
      <formula1>"a.1).Panitia pusat sebagai Ketua/Wakil ketua,a.2).Panitia pusat sebagai Anggota,b.1).Panitia Daerah sebagai Ketua/Wakil Ketua,b.2).Panitia Daerah sebagai Anggota"</formula1>
    </dataValidation>
    <dataValidation type="list" allowBlank="1" showInputMessage="1" showErrorMessage="1" prompt="pilih dengan mengklik segitiga dipojok kotak" sqref="I98:I107" xr:uid="{00000000-0002-0000-0500-000006000000}">
      <formula1>$V$1:$V$4</formula1>
    </dataValidation>
    <dataValidation type="list" allowBlank="1" showInputMessage="1" showErrorMessage="1" prompt="pilih dengan mengklik segitiga dipojok kotak" sqref="I134:I143" xr:uid="{00000000-0002-0000-0500-000007000000}">
      <formula1>"a.Tingkat Internasional tiap piagam/medali,b.Tingkat Nasional tiap piagam/medali,c.Tingkat Daerah/Lokal tiap piagam/medali"</formula1>
    </dataValidation>
    <dataValidation type="list" allowBlank="1" showInputMessage="1" showErrorMessage="1" prompt="pilih dengan mengklik segitiga dipojok kotak" sqref="I52:I59" xr:uid="{00000000-0002-0000-0500-000008000000}">
      <formula1>$U$1:$U$6</formula1>
    </dataValidation>
    <dataValidation type="list" allowBlank="1" showInputMessage="1" showErrorMessage="1" prompt="pilih dengan mengklik segitiga dipojok kotak" sqref="I110:I119" xr:uid="{00000000-0002-0000-0500-000009000000}">
      <formula1>"a.Satya Lancana Karya Satya 30 thn,b.Satya Lancana Karya Satya 20 thn,c.Satya Lancana Karya Satya 10 thn,d.Penghargaan lainnya Tingkat Internasional,e.Penghargaan lainnya Tingkat Nasional,f.Penghargaan lainnyaTingkat Daerah/Lokal"</formula1>
    </dataValidation>
    <dataValidation type="list" allowBlank="1" showInputMessage="1" showErrorMessage="1" prompt="pilih dengan mengklik segitiga dipojok kotak" sqref="I86:I95" xr:uid="{00000000-0002-0000-0500-00000A000000}">
      <formula1>"Editor/dewan penyunting/dewan redaksi jurnal ilmiah internasional,Editor/dewan penyunting/dewan redaksi jurnal ilmiah nasional"</formula1>
    </dataValidation>
  </dataValidations>
  <pageMargins left="0.25" right="0.25" top="0.75" bottom="0.75" header="0" footer="0"/>
  <pageSetup paperSize="9" scale="8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V1000"/>
  <sheetViews>
    <sheetView workbookViewId="0"/>
  </sheetViews>
  <sheetFormatPr defaultColWidth="12.625" defaultRowHeight="15" customHeight="1" x14ac:dyDescent="0.2"/>
  <cols>
    <col min="1" max="2" width="8" customWidth="1"/>
    <col min="3" max="3" width="28.5" customWidth="1"/>
    <col min="4" max="4" width="12.125" customWidth="1"/>
    <col min="5" max="11" width="11.625" customWidth="1"/>
    <col min="12" max="26" width="7.625" customWidth="1"/>
  </cols>
  <sheetData>
    <row r="1" spans="1:22" x14ac:dyDescent="0.25">
      <c r="A1" s="164"/>
      <c r="B1" s="4"/>
      <c r="C1" s="4"/>
    </row>
    <row r="2" spans="1:22" x14ac:dyDescent="0.25">
      <c r="A2" s="164"/>
      <c r="B2" s="4"/>
      <c r="C2" s="4"/>
    </row>
    <row r="3" spans="1:22" ht="15.75" customHeight="1" x14ac:dyDescent="0.2">
      <c r="A3" s="628" t="s">
        <v>1169</v>
      </c>
      <c r="B3" s="613"/>
      <c r="C3" s="613"/>
      <c r="D3" s="613"/>
      <c r="E3" s="613"/>
      <c r="F3" s="613"/>
      <c r="G3" s="613"/>
      <c r="H3" s="613"/>
      <c r="I3" s="613"/>
      <c r="J3" s="613"/>
      <c r="K3" s="613"/>
    </row>
    <row r="4" spans="1:22" ht="15.75" customHeight="1" x14ac:dyDescent="0.2">
      <c r="A4" s="628" t="s">
        <v>1170</v>
      </c>
      <c r="B4" s="613"/>
      <c r="C4" s="613"/>
      <c r="D4" s="613"/>
      <c r="E4" s="613"/>
      <c r="F4" s="613"/>
      <c r="G4" s="613"/>
      <c r="H4" s="613"/>
      <c r="I4" s="613"/>
      <c r="J4" s="613"/>
      <c r="K4" s="613"/>
    </row>
    <row r="5" spans="1:22" ht="15" customHeight="1" x14ac:dyDescent="0.25">
      <c r="A5" s="134">
        <v>1</v>
      </c>
      <c r="B5" s="678" t="s">
        <v>845</v>
      </c>
      <c r="C5" s="616"/>
      <c r="D5" s="705" t="s">
        <v>1171</v>
      </c>
      <c r="E5" s="615"/>
      <c r="F5" s="615"/>
      <c r="G5" s="615"/>
      <c r="H5" s="615"/>
      <c r="I5" s="615"/>
      <c r="J5" s="615"/>
      <c r="K5" s="616"/>
      <c r="M5" s="2" t="s">
        <v>13</v>
      </c>
      <c r="O5" s="4"/>
      <c r="P5" s="4"/>
      <c r="Q5" s="4"/>
      <c r="R5" s="4"/>
      <c r="S5" s="4"/>
      <c r="T5" s="4"/>
    </row>
    <row r="6" spans="1:22" x14ac:dyDescent="0.25">
      <c r="A6" s="134">
        <v>2</v>
      </c>
      <c r="B6" s="678" t="s">
        <v>847</v>
      </c>
      <c r="C6" s="616"/>
      <c r="D6" s="723" t="s">
        <v>1172</v>
      </c>
      <c r="E6" s="615"/>
      <c r="F6" s="615"/>
      <c r="G6" s="615"/>
      <c r="H6" s="615"/>
      <c r="I6" s="615"/>
      <c r="J6" s="615"/>
      <c r="K6" s="616"/>
      <c r="M6" s="315"/>
      <c r="N6" s="315" t="s">
        <v>289</v>
      </c>
      <c r="O6" s="390"/>
      <c r="P6" s="390"/>
      <c r="Q6" s="390"/>
      <c r="R6" s="390"/>
      <c r="S6" s="390"/>
      <c r="T6" s="390"/>
      <c r="U6" s="315"/>
      <c r="V6" s="315"/>
    </row>
    <row r="7" spans="1:22" x14ac:dyDescent="0.25">
      <c r="A7" s="134">
        <v>3</v>
      </c>
      <c r="B7" s="678" t="s">
        <v>849</v>
      </c>
      <c r="C7" s="616"/>
      <c r="D7" s="705" t="s">
        <v>1173</v>
      </c>
      <c r="E7" s="615"/>
      <c r="F7" s="615"/>
      <c r="G7" s="615"/>
      <c r="H7" s="615"/>
      <c r="I7" s="615"/>
      <c r="J7" s="615"/>
      <c r="K7" s="616"/>
      <c r="M7" s="319"/>
      <c r="N7" s="320" t="s">
        <v>1174</v>
      </c>
      <c r="O7" s="319"/>
      <c r="P7" s="319"/>
      <c r="Q7" s="319"/>
      <c r="R7" s="319"/>
      <c r="S7" s="319"/>
      <c r="T7" s="319"/>
      <c r="U7" s="320"/>
      <c r="V7" s="320"/>
    </row>
    <row r="8" spans="1:22" ht="15" customHeight="1" x14ac:dyDescent="0.25">
      <c r="A8" s="134">
        <v>4</v>
      </c>
      <c r="B8" s="678" t="s">
        <v>850</v>
      </c>
      <c r="C8" s="616"/>
      <c r="D8" s="705" t="s">
        <v>1175</v>
      </c>
      <c r="E8" s="615"/>
      <c r="F8" s="615"/>
      <c r="G8" s="615"/>
      <c r="H8" s="615"/>
      <c r="I8" s="615"/>
      <c r="J8" s="615"/>
      <c r="K8" s="616"/>
      <c r="M8" s="4"/>
      <c r="N8" s="623" t="s">
        <v>1176</v>
      </c>
      <c r="O8" s="613"/>
      <c r="P8" s="613"/>
      <c r="Q8" s="613"/>
      <c r="R8" s="613"/>
      <c r="S8" s="613"/>
      <c r="T8" s="613"/>
    </row>
    <row r="9" spans="1:22" ht="15" customHeight="1" x14ac:dyDescent="0.2">
      <c r="A9" s="614" t="s">
        <v>1177</v>
      </c>
      <c r="B9" s="615"/>
      <c r="C9" s="615"/>
      <c r="D9" s="615"/>
      <c r="E9" s="615"/>
      <c r="F9" s="615"/>
      <c r="G9" s="615"/>
      <c r="H9" s="615"/>
      <c r="I9" s="615"/>
      <c r="J9" s="615"/>
      <c r="K9" s="616"/>
      <c r="N9" s="613"/>
      <c r="O9" s="613"/>
      <c r="P9" s="613"/>
      <c r="Q9" s="613"/>
      <c r="R9" s="613"/>
      <c r="S9" s="613"/>
      <c r="T9" s="613"/>
    </row>
    <row r="10" spans="1:22" ht="48" x14ac:dyDescent="0.2">
      <c r="A10" s="450" t="s">
        <v>45</v>
      </c>
      <c r="B10" s="614" t="s">
        <v>1178</v>
      </c>
      <c r="C10" s="616"/>
      <c r="D10" s="165" t="s">
        <v>1179</v>
      </c>
      <c r="E10" s="165" t="s">
        <v>1180</v>
      </c>
      <c r="F10" s="100" t="s">
        <v>1181</v>
      </c>
      <c r="G10" s="100" t="s">
        <v>1182</v>
      </c>
      <c r="H10" s="100" t="s">
        <v>1183</v>
      </c>
      <c r="I10" s="100" t="s">
        <v>1184</v>
      </c>
      <c r="J10" s="100" t="s">
        <v>1185</v>
      </c>
      <c r="K10" s="100" t="s">
        <v>1186</v>
      </c>
      <c r="N10" s="613"/>
      <c r="O10" s="613"/>
      <c r="P10" s="613"/>
      <c r="Q10" s="613"/>
      <c r="R10" s="613"/>
      <c r="S10" s="613"/>
      <c r="T10" s="613"/>
    </row>
    <row r="11" spans="1:22" ht="21.75" customHeight="1" x14ac:dyDescent="0.2">
      <c r="A11" s="715" t="s">
        <v>1187</v>
      </c>
      <c r="B11" s="615"/>
      <c r="C11" s="615"/>
      <c r="D11" s="451"/>
      <c r="E11" s="452"/>
      <c r="F11" s="453"/>
      <c r="G11" s="454"/>
      <c r="H11" s="453"/>
      <c r="I11" s="454"/>
      <c r="J11" s="453"/>
      <c r="K11" s="166"/>
    </row>
    <row r="12" spans="1:22" ht="33" customHeight="1" x14ac:dyDescent="0.2">
      <c r="A12" s="713">
        <v>1</v>
      </c>
      <c r="B12" s="712" t="str">
        <f>IF('LAMPIRAN III DONE'!C29=0,"",'LAMPIRAN III DONE'!C29)</f>
        <v>aaa</v>
      </c>
      <c r="C12" s="616"/>
      <c r="D12" s="713">
        <f>'LAMPIRAN III DONE'!O29</f>
        <v>0</v>
      </c>
      <c r="E12" s="693" t="str">
        <f>'LAMPIRAN III DONE'!E29</f>
        <v>Jurnal International Bereputasi</v>
      </c>
      <c r="F12" s="684"/>
      <c r="G12" s="711">
        <f>F12/100*D12</f>
        <v>0</v>
      </c>
      <c r="H12" s="684"/>
      <c r="I12" s="711">
        <f>H12/100*D12</f>
        <v>0</v>
      </c>
      <c r="J12" s="684">
        <f>(F12+H12)/2</f>
        <v>0</v>
      </c>
      <c r="K12" s="711">
        <f>(J12/100)*D12</f>
        <v>0</v>
      </c>
    </row>
    <row r="13" spans="1:22" ht="62.25" customHeight="1" x14ac:dyDescent="0.2">
      <c r="A13" s="631"/>
      <c r="B13" s="712" t="str">
        <f>IF('LAMPIRAN III DONE'!C30=0,"",'LAMPIRAN III DONE'!C30)</f>
        <v>aaa</v>
      </c>
      <c r="C13" s="616"/>
      <c r="D13" s="631"/>
      <c r="E13" s="631"/>
      <c r="F13" s="631"/>
      <c r="G13" s="631"/>
      <c r="H13" s="631"/>
      <c r="I13" s="631"/>
      <c r="J13" s="631"/>
      <c r="K13" s="631"/>
    </row>
    <row r="14" spans="1:22" ht="29.25" customHeight="1" x14ac:dyDescent="0.2">
      <c r="A14" s="713">
        <v>2</v>
      </c>
      <c r="B14" s="712" t="str">
        <f>IF('LAMPIRAN III DONE'!C31=0,"",'LAMPIRAN III DONE'!C31)</f>
        <v>aaa</v>
      </c>
      <c r="C14" s="616"/>
      <c r="D14" s="713">
        <f>'LAMPIRAN III DONE'!O31</f>
        <v>0</v>
      </c>
      <c r="E14" s="693">
        <f>'LAMPIRAN III DONE'!E31</f>
        <v>0</v>
      </c>
      <c r="F14" s="684"/>
      <c r="G14" s="711">
        <f>F14/100*D14</f>
        <v>0</v>
      </c>
      <c r="H14" s="684"/>
      <c r="I14" s="711">
        <f>H14/100*D14</f>
        <v>0</v>
      </c>
      <c r="J14" s="684">
        <f>(F14+H14)/2</f>
        <v>0</v>
      </c>
      <c r="K14" s="711">
        <f>(J14/100)*D14</f>
        <v>0</v>
      </c>
    </row>
    <row r="15" spans="1:22" ht="57.75" customHeight="1" x14ac:dyDescent="0.2">
      <c r="A15" s="631"/>
      <c r="B15" s="712" t="str">
        <f>IF('LAMPIRAN III DONE'!C32=0,"",'LAMPIRAN III DONE'!C32)</f>
        <v>aaa</v>
      </c>
      <c r="C15" s="616"/>
      <c r="D15" s="631"/>
      <c r="E15" s="631"/>
      <c r="F15" s="631"/>
      <c r="G15" s="631"/>
      <c r="H15" s="631"/>
      <c r="I15" s="631"/>
      <c r="J15" s="631"/>
      <c r="K15" s="631"/>
    </row>
    <row r="16" spans="1:22" ht="30" customHeight="1" x14ac:dyDescent="0.2">
      <c r="A16" s="713">
        <v>3</v>
      </c>
      <c r="B16" s="712" t="str">
        <f>IF('LAMPIRAN III DONE'!C33=0,"",'LAMPIRAN III DONE'!C33)</f>
        <v/>
      </c>
      <c r="C16" s="616"/>
      <c r="D16" s="713">
        <f>'LAMPIRAN III DONE'!O33</f>
        <v>0</v>
      </c>
      <c r="E16" s="693">
        <f>'LAMPIRAN III DONE'!E33</f>
        <v>0</v>
      </c>
      <c r="F16" s="684"/>
      <c r="G16" s="711">
        <f>F16/100*D16</f>
        <v>0</v>
      </c>
      <c r="H16" s="684"/>
      <c r="I16" s="711">
        <f>H16/100*D16</f>
        <v>0</v>
      </c>
      <c r="J16" s="684">
        <f>(F16+H16)/2</f>
        <v>0</v>
      </c>
      <c r="K16" s="711">
        <f>(J16/100)*D16</f>
        <v>0</v>
      </c>
    </row>
    <row r="17" spans="1:11" ht="70.5" customHeight="1" x14ac:dyDescent="0.2">
      <c r="A17" s="631"/>
      <c r="B17" s="712" t="str">
        <f>IF('LAMPIRAN III DONE'!C34=0,"",'LAMPIRAN III DONE'!C34)</f>
        <v/>
      </c>
      <c r="C17" s="616"/>
      <c r="D17" s="631"/>
      <c r="E17" s="631"/>
      <c r="F17" s="631"/>
      <c r="G17" s="631"/>
      <c r="H17" s="631"/>
      <c r="I17" s="631"/>
      <c r="J17" s="631"/>
      <c r="K17" s="631"/>
    </row>
    <row r="18" spans="1:11" ht="22.5" customHeight="1" x14ac:dyDescent="0.2">
      <c r="A18" s="713">
        <v>4</v>
      </c>
      <c r="B18" s="712" t="str">
        <f>IF('LAMPIRAN III DONE'!C35=0,"",'LAMPIRAN III DONE'!C35)</f>
        <v/>
      </c>
      <c r="C18" s="616"/>
      <c r="D18" s="713">
        <f>'LAMPIRAN III DONE'!O35</f>
        <v>0</v>
      </c>
      <c r="E18" s="693">
        <f>'LAMPIRAN III DONE'!E35</f>
        <v>0</v>
      </c>
      <c r="F18" s="684"/>
      <c r="G18" s="711">
        <f>F18/100*D18</f>
        <v>0</v>
      </c>
      <c r="H18" s="684"/>
      <c r="I18" s="711">
        <f>H18/100*D18</f>
        <v>0</v>
      </c>
      <c r="J18" s="684">
        <f>(F18+H18)/2</f>
        <v>0</v>
      </c>
      <c r="K18" s="711">
        <f>(J18/100)*D18</f>
        <v>0</v>
      </c>
    </row>
    <row r="19" spans="1:11" ht="57.75" customHeight="1" x14ac:dyDescent="0.2">
      <c r="A19" s="631"/>
      <c r="B19" s="712" t="str">
        <f>IF('LAMPIRAN III DONE'!C36=0,"",'LAMPIRAN III DONE'!C36)</f>
        <v/>
      </c>
      <c r="C19" s="616"/>
      <c r="D19" s="631"/>
      <c r="E19" s="631"/>
      <c r="F19" s="631"/>
      <c r="G19" s="631"/>
      <c r="H19" s="631"/>
      <c r="I19" s="631"/>
      <c r="J19" s="631"/>
      <c r="K19" s="631"/>
    </row>
    <row r="20" spans="1:11" ht="23.25" customHeight="1" x14ac:dyDescent="0.2">
      <c r="A20" s="713">
        <v>5</v>
      </c>
      <c r="B20" s="712" t="str">
        <f>IF('LAMPIRAN III DONE'!C37=0,"",'LAMPIRAN III DONE'!C37)</f>
        <v/>
      </c>
      <c r="C20" s="616"/>
      <c r="D20" s="713">
        <f>'LAMPIRAN III DONE'!O37</f>
        <v>0</v>
      </c>
      <c r="E20" s="693">
        <f>'LAMPIRAN III DONE'!E37</f>
        <v>0</v>
      </c>
      <c r="F20" s="684"/>
      <c r="G20" s="711">
        <f>F20/100*D20</f>
        <v>0</v>
      </c>
      <c r="H20" s="684"/>
      <c r="I20" s="711">
        <f>H20/100*D20</f>
        <v>0</v>
      </c>
      <c r="J20" s="684">
        <f>(F20+H20)/2</f>
        <v>0</v>
      </c>
      <c r="K20" s="711">
        <f>(J20/100)*D20</f>
        <v>0</v>
      </c>
    </row>
    <row r="21" spans="1:11" ht="67.5" customHeight="1" x14ac:dyDescent="0.2">
      <c r="A21" s="631"/>
      <c r="B21" s="712" t="str">
        <f>IF('LAMPIRAN III DONE'!C38=0,"",'LAMPIRAN III DONE'!C38)</f>
        <v/>
      </c>
      <c r="C21" s="616"/>
      <c r="D21" s="631"/>
      <c r="E21" s="631"/>
      <c r="F21" s="631"/>
      <c r="G21" s="631"/>
      <c r="H21" s="631"/>
      <c r="I21" s="631"/>
      <c r="J21" s="631"/>
      <c r="K21" s="631"/>
    </row>
    <row r="22" spans="1:11" ht="27.75" customHeight="1" x14ac:dyDescent="0.2">
      <c r="A22" s="713">
        <v>6</v>
      </c>
      <c r="B22" s="712" t="str">
        <f>IF('LAMPIRAN III DONE'!C39=0,"",'LAMPIRAN III DONE'!C39)</f>
        <v/>
      </c>
      <c r="C22" s="616"/>
      <c r="D22" s="713">
        <f>'LAMPIRAN III DONE'!O39</f>
        <v>0</v>
      </c>
      <c r="E22" s="693">
        <f>'LAMPIRAN III DONE'!E39</f>
        <v>0</v>
      </c>
      <c r="F22" s="684"/>
      <c r="G22" s="711">
        <f>F22/100*D22</f>
        <v>0</v>
      </c>
      <c r="H22" s="684"/>
      <c r="I22" s="711">
        <f>H22/100*D22</f>
        <v>0</v>
      </c>
      <c r="J22" s="684">
        <f>(F22+H22)/2</f>
        <v>0</v>
      </c>
      <c r="K22" s="711">
        <f>(J22/100)*D22</f>
        <v>0</v>
      </c>
    </row>
    <row r="23" spans="1:11" ht="74.25" customHeight="1" x14ac:dyDescent="0.2">
      <c r="A23" s="631"/>
      <c r="B23" s="712" t="str">
        <f>IF('LAMPIRAN III DONE'!C40=0,"",'LAMPIRAN III DONE'!C40)</f>
        <v/>
      </c>
      <c r="C23" s="616"/>
      <c r="D23" s="631"/>
      <c r="E23" s="631"/>
      <c r="F23" s="631"/>
      <c r="G23" s="631"/>
      <c r="H23" s="631"/>
      <c r="I23" s="631"/>
      <c r="J23" s="631"/>
      <c r="K23" s="631"/>
    </row>
    <row r="24" spans="1:11" ht="15" customHeight="1" x14ac:dyDescent="0.2">
      <c r="A24" s="713">
        <v>7</v>
      </c>
      <c r="B24" s="712" t="str">
        <f>IF('LAMPIRAN III DONE'!C41=0,"",'LAMPIRAN III DONE'!C41)</f>
        <v/>
      </c>
      <c r="C24" s="616"/>
      <c r="D24" s="713">
        <f>'LAMPIRAN III DONE'!O41</f>
        <v>0</v>
      </c>
      <c r="E24" s="693">
        <f>'LAMPIRAN III DONE'!E41</f>
        <v>0</v>
      </c>
      <c r="F24" s="684"/>
      <c r="G24" s="711">
        <f>F24/100*D24</f>
        <v>0</v>
      </c>
      <c r="H24" s="684"/>
      <c r="I24" s="711">
        <f>H24/100*D24</f>
        <v>0</v>
      </c>
      <c r="J24" s="684">
        <f>(F24+H24)/2</f>
        <v>0</v>
      </c>
      <c r="K24" s="711">
        <f>(J24/100)*D24</f>
        <v>0</v>
      </c>
    </row>
    <row r="25" spans="1:11" ht="71.25" customHeight="1" x14ac:dyDescent="0.2">
      <c r="A25" s="631"/>
      <c r="B25" s="712" t="str">
        <f>IF('LAMPIRAN III DONE'!C42=0,"",'LAMPIRAN III DONE'!C42)</f>
        <v/>
      </c>
      <c r="C25" s="616"/>
      <c r="D25" s="631"/>
      <c r="E25" s="631"/>
      <c r="F25" s="631"/>
      <c r="G25" s="631"/>
      <c r="H25" s="631"/>
      <c r="I25" s="631"/>
      <c r="J25" s="631"/>
      <c r="K25" s="631"/>
    </row>
    <row r="26" spans="1:11" ht="15" customHeight="1" x14ac:dyDescent="0.2">
      <c r="A26" s="713">
        <v>8</v>
      </c>
      <c r="B26" s="712" t="str">
        <f>IF('LAMPIRAN III DONE'!C43=0,"",'LAMPIRAN III DONE'!C43)</f>
        <v/>
      </c>
      <c r="C26" s="616"/>
      <c r="D26" s="713">
        <f>'LAMPIRAN III DONE'!O43</f>
        <v>0</v>
      </c>
      <c r="E26" s="693">
        <f>'LAMPIRAN III DONE'!E43</f>
        <v>0</v>
      </c>
      <c r="F26" s="684"/>
      <c r="G26" s="711">
        <f>F26/100*D26</f>
        <v>0</v>
      </c>
      <c r="H26" s="684"/>
      <c r="I26" s="711">
        <f>H26/100*D26</f>
        <v>0</v>
      </c>
      <c r="J26" s="684">
        <f>(F26+H26)/2</f>
        <v>0</v>
      </c>
      <c r="K26" s="711">
        <f>(J26/100)*D26</f>
        <v>0</v>
      </c>
    </row>
    <row r="27" spans="1:11" ht="55.5" customHeight="1" x14ac:dyDescent="0.2">
      <c r="A27" s="631"/>
      <c r="B27" s="712" t="str">
        <f>IF('LAMPIRAN III DONE'!C44=0,"",'LAMPIRAN III DONE'!C44)</f>
        <v/>
      </c>
      <c r="C27" s="616"/>
      <c r="D27" s="631"/>
      <c r="E27" s="631"/>
      <c r="F27" s="631"/>
      <c r="G27" s="631"/>
      <c r="H27" s="631"/>
      <c r="I27" s="631"/>
      <c r="J27" s="631"/>
      <c r="K27" s="631"/>
    </row>
    <row r="28" spans="1:11" ht="15" customHeight="1" x14ac:dyDescent="0.2">
      <c r="A28" s="713">
        <v>9</v>
      </c>
      <c r="B28" s="712" t="str">
        <f>IF('LAMPIRAN III DONE'!C45=0,"",'LAMPIRAN III DONE'!C45)</f>
        <v/>
      </c>
      <c r="C28" s="616"/>
      <c r="D28" s="713">
        <f>'LAMPIRAN III DONE'!O45</f>
        <v>0</v>
      </c>
      <c r="E28" s="693">
        <f>'LAMPIRAN III DONE'!E45</f>
        <v>0</v>
      </c>
      <c r="F28" s="684"/>
      <c r="G28" s="711">
        <f>F28/100*D28</f>
        <v>0</v>
      </c>
      <c r="H28" s="684"/>
      <c r="I28" s="711">
        <f>H28/100*D28</f>
        <v>0</v>
      </c>
      <c r="J28" s="684">
        <f>(F28+H28)/2</f>
        <v>0</v>
      </c>
      <c r="K28" s="711">
        <f>(J28/100)*D28</f>
        <v>0</v>
      </c>
    </row>
    <row r="29" spans="1:11" ht="66.75" customHeight="1" x14ac:dyDescent="0.2">
      <c r="A29" s="631"/>
      <c r="B29" s="712" t="str">
        <f>IF('LAMPIRAN III DONE'!C46=0,"",'LAMPIRAN III DONE'!C46)</f>
        <v/>
      </c>
      <c r="C29" s="616"/>
      <c r="D29" s="631"/>
      <c r="E29" s="631"/>
      <c r="F29" s="631"/>
      <c r="G29" s="631"/>
      <c r="H29" s="631"/>
      <c r="I29" s="631"/>
      <c r="J29" s="631"/>
      <c r="K29" s="631"/>
    </row>
    <row r="30" spans="1:11" ht="15" customHeight="1" x14ac:dyDescent="0.2">
      <c r="A30" s="713">
        <v>10</v>
      </c>
      <c r="B30" s="712" t="str">
        <f>IF('LAMPIRAN III DONE'!C47=0,"",'LAMPIRAN III DONE'!C47)</f>
        <v/>
      </c>
      <c r="C30" s="616"/>
      <c r="D30" s="713">
        <f>'LAMPIRAN III DONE'!O47</f>
        <v>0</v>
      </c>
      <c r="E30" s="693">
        <f>'LAMPIRAN III DONE'!E47</f>
        <v>0</v>
      </c>
      <c r="F30" s="684"/>
      <c r="G30" s="711">
        <f>F30/100*D30</f>
        <v>0</v>
      </c>
      <c r="H30" s="684"/>
      <c r="I30" s="711">
        <f>H30/100*D30</f>
        <v>0</v>
      </c>
      <c r="J30" s="684">
        <f>(F30+H30)/2</f>
        <v>0</v>
      </c>
      <c r="K30" s="711">
        <f>(J30/100)*D30</f>
        <v>0</v>
      </c>
    </row>
    <row r="31" spans="1:11" ht="84.75" customHeight="1" x14ac:dyDescent="0.2">
      <c r="A31" s="631"/>
      <c r="B31" s="712" t="str">
        <f>IF('LAMPIRAN III DONE'!C48=0,"",'LAMPIRAN III DONE'!C48)</f>
        <v/>
      </c>
      <c r="C31" s="616"/>
      <c r="D31" s="631"/>
      <c r="E31" s="630"/>
      <c r="F31" s="631"/>
      <c r="G31" s="630"/>
      <c r="H31" s="631"/>
      <c r="I31" s="630"/>
      <c r="J31" s="630"/>
      <c r="K31" s="630"/>
    </row>
    <row r="32" spans="1:11" ht="21.75" customHeight="1" x14ac:dyDescent="0.2">
      <c r="A32" s="715" t="s">
        <v>1188</v>
      </c>
      <c r="B32" s="615"/>
      <c r="C32" s="615"/>
      <c r="D32" s="451"/>
      <c r="E32" s="452"/>
      <c r="F32" s="453"/>
      <c r="G32" s="454"/>
      <c r="H32" s="453"/>
      <c r="I32" s="454"/>
      <c r="J32" s="453"/>
      <c r="K32" s="166"/>
    </row>
    <row r="33" spans="1:11" ht="15" customHeight="1" x14ac:dyDescent="0.2">
      <c r="A33" s="714">
        <v>11</v>
      </c>
      <c r="B33" s="712" t="str">
        <f>IF('LAMPIRAN III DONE'!C50=0,"",'LAMPIRAN III DONE'!C50)</f>
        <v>Jurnal Infotel</v>
      </c>
      <c r="C33" s="616"/>
      <c r="D33" s="714">
        <f>'LAMPIRAN III DONE'!O50</f>
        <v>5</v>
      </c>
      <c r="E33" s="722">
        <f>'LAMPIRAN III DONE'!E50</f>
        <v>0</v>
      </c>
      <c r="F33" s="684"/>
      <c r="G33" s="716">
        <f>F33/100*D33</f>
        <v>0</v>
      </c>
      <c r="H33" s="684"/>
      <c r="I33" s="716">
        <f>H33/100*D33</f>
        <v>0</v>
      </c>
      <c r="J33" s="717">
        <f>(F33+H33)/2</f>
        <v>0</v>
      </c>
      <c r="K33" s="716">
        <f>(J33/100)*D33</f>
        <v>0</v>
      </c>
    </row>
    <row r="34" spans="1:11" ht="66" customHeight="1" x14ac:dyDescent="0.2">
      <c r="A34" s="631"/>
      <c r="B34" s="712" t="str">
        <f>IF('LAMPIRAN III DONE'!C51=0,"",'LAMPIRAN III DONE'!C51)</f>
        <v>Teknik Migrasi Data Lintas DBMS dengan Menggunakan Metadata
Nama Jurnal:  Jurnal Infotel
Penerbit: Institut Teknologi Telkom Purwokerto
Volume: 7
Nomor: 2
Tahun : 2015
Halaman: 137-142
ISSN: p-ISSN 2085-3688, e-ISSN : 2460-0997
Akreditasi :  Sinta 2
Link akreditasi : https://ejournal.st3telkom.ac.id/public/site/certificates/Sertfikat_INFOTEL_S2.pdf</v>
      </c>
      <c r="C34" s="616"/>
      <c r="D34" s="631"/>
      <c r="E34" s="631"/>
      <c r="F34" s="631"/>
      <c r="G34" s="631"/>
      <c r="H34" s="631"/>
      <c r="I34" s="631"/>
      <c r="J34" s="631"/>
      <c r="K34" s="631"/>
    </row>
    <row r="35" spans="1:11" ht="15" customHeight="1" x14ac:dyDescent="0.2">
      <c r="A35" s="713">
        <v>12</v>
      </c>
      <c r="B35" s="712" t="str">
        <f>IF('LAMPIRAN III DONE'!C52=0,"",'LAMPIRAN III DONE'!C52)</f>
        <v/>
      </c>
      <c r="C35" s="616"/>
      <c r="D35" s="714">
        <f>'LAMPIRAN III DONE'!O52</f>
        <v>3</v>
      </c>
      <c r="E35" s="693">
        <f>'LAMPIRAN III DONE'!E52</f>
        <v>0</v>
      </c>
      <c r="F35" s="684"/>
      <c r="G35" s="711">
        <f>F35/100*D35</f>
        <v>0</v>
      </c>
      <c r="H35" s="684"/>
      <c r="I35" s="711">
        <f>H35/100*D35</f>
        <v>0</v>
      </c>
      <c r="J35" s="684">
        <f>(F35+H35)/2</f>
        <v>0</v>
      </c>
      <c r="K35" s="711">
        <f>(J35/100)*D35</f>
        <v>0</v>
      </c>
    </row>
    <row r="36" spans="1:11" ht="63.75" customHeight="1" x14ac:dyDescent="0.2">
      <c r="A36" s="631"/>
      <c r="B36" s="712" t="str">
        <f>IF('LAMPIRAN III DONE'!C53=0,"",'LAMPIRAN III DONE'!C53)</f>
        <v/>
      </c>
      <c r="C36" s="616"/>
      <c r="D36" s="631"/>
      <c r="E36" s="631"/>
      <c r="F36" s="631"/>
      <c r="G36" s="631"/>
      <c r="H36" s="631"/>
      <c r="I36" s="631"/>
      <c r="J36" s="631"/>
      <c r="K36" s="631"/>
    </row>
    <row r="37" spans="1:11" ht="15" customHeight="1" x14ac:dyDescent="0.2">
      <c r="A37" s="713">
        <v>13</v>
      </c>
      <c r="B37" s="712" t="str">
        <f>IF('LAMPIRAN III DONE'!C54=0,"",'LAMPIRAN III DONE'!C54)</f>
        <v/>
      </c>
      <c r="C37" s="616"/>
      <c r="D37" s="714">
        <f>'LAMPIRAN III DONE'!O54</f>
        <v>0</v>
      </c>
      <c r="E37" s="693">
        <f>'LAMPIRAN III DONE'!E54</f>
        <v>0</v>
      </c>
      <c r="F37" s="684"/>
      <c r="G37" s="711">
        <f>F37/100*D37</f>
        <v>0</v>
      </c>
      <c r="H37" s="684"/>
      <c r="I37" s="711">
        <f>H37/100*D37</f>
        <v>0</v>
      </c>
      <c r="J37" s="684">
        <f>(F37+H37)/2</f>
        <v>0</v>
      </c>
      <c r="K37" s="711">
        <f>(J37/100)*D37</f>
        <v>0</v>
      </c>
    </row>
    <row r="38" spans="1:11" ht="51" customHeight="1" x14ac:dyDescent="0.2">
      <c r="A38" s="631"/>
      <c r="B38" s="712" t="str">
        <f>IF('LAMPIRAN III DONE'!C55=0,"",'LAMPIRAN III DONE'!C55)</f>
        <v/>
      </c>
      <c r="C38" s="616"/>
      <c r="D38" s="631"/>
      <c r="E38" s="631"/>
      <c r="F38" s="631"/>
      <c r="G38" s="631"/>
      <c r="H38" s="631"/>
      <c r="I38" s="631"/>
      <c r="J38" s="631"/>
      <c r="K38" s="631"/>
    </row>
    <row r="39" spans="1:11" ht="15" customHeight="1" x14ac:dyDescent="0.2">
      <c r="A39" s="713">
        <v>14</v>
      </c>
      <c r="B39" s="712" t="str">
        <f>IF('LAMPIRAN III DONE'!C56=0,"",'LAMPIRAN III DONE'!C56)</f>
        <v/>
      </c>
      <c r="C39" s="616"/>
      <c r="D39" s="714">
        <f>'LAMPIRAN III DONE'!O56</f>
        <v>0</v>
      </c>
      <c r="E39" s="693">
        <f>'LAMPIRAN III DONE'!E56</f>
        <v>0</v>
      </c>
      <c r="F39" s="684"/>
      <c r="G39" s="711">
        <f>F39/100*D39</f>
        <v>0</v>
      </c>
      <c r="H39" s="684"/>
      <c r="I39" s="711">
        <f>H39/100*D39</f>
        <v>0</v>
      </c>
      <c r="J39" s="684">
        <f>(F39+H39)/2</f>
        <v>0</v>
      </c>
      <c r="K39" s="711">
        <f>(J39/100)*D39</f>
        <v>0</v>
      </c>
    </row>
    <row r="40" spans="1:11" ht="60" customHeight="1" x14ac:dyDescent="0.2">
      <c r="A40" s="631"/>
      <c r="B40" s="712" t="str">
        <f>IF('LAMPIRAN III DONE'!C57=0,"",'LAMPIRAN III DONE'!C57)</f>
        <v/>
      </c>
      <c r="C40" s="616"/>
      <c r="D40" s="631"/>
      <c r="E40" s="631"/>
      <c r="F40" s="631"/>
      <c r="G40" s="631"/>
      <c r="H40" s="631"/>
      <c r="I40" s="631"/>
      <c r="J40" s="631"/>
      <c r="K40" s="631"/>
    </row>
    <row r="41" spans="1:11" ht="15" customHeight="1" x14ac:dyDescent="0.2">
      <c r="A41" s="713">
        <v>15</v>
      </c>
      <c r="B41" s="712" t="str">
        <f>IF('LAMPIRAN III DONE'!C58=0,"",'LAMPIRAN III DONE'!C58)</f>
        <v/>
      </c>
      <c r="C41" s="616"/>
      <c r="D41" s="714">
        <f>'LAMPIRAN III DONE'!O58</f>
        <v>0</v>
      </c>
      <c r="E41" s="693">
        <f>'LAMPIRAN III DONE'!E58</f>
        <v>0</v>
      </c>
      <c r="F41" s="684"/>
      <c r="G41" s="711">
        <f>F41/100*D41</f>
        <v>0</v>
      </c>
      <c r="H41" s="684"/>
      <c r="I41" s="711">
        <f>H41/100*D41</f>
        <v>0</v>
      </c>
      <c r="J41" s="684">
        <f>(F41+H41)/2</f>
        <v>0</v>
      </c>
      <c r="K41" s="711">
        <f>(J41/100)*D41</f>
        <v>0</v>
      </c>
    </row>
    <row r="42" spans="1:11" ht="75.75" customHeight="1" x14ac:dyDescent="0.2">
      <c r="A42" s="631"/>
      <c r="B42" s="712" t="str">
        <f>IF('LAMPIRAN III DONE'!C59=0,"",'LAMPIRAN III DONE'!C59)</f>
        <v/>
      </c>
      <c r="C42" s="616"/>
      <c r="D42" s="631"/>
      <c r="E42" s="631"/>
      <c r="F42" s="631"/>
      <c r="G42" s="631"/>
      <c r="H42" s="631"/>
      <c r="I42" s="631"/>
      <c r="J42" s="631"/>
      <c r="K42" s="631"/>
    </row>
    <row r="43" spans="1:11" ht="24.75" customHeight="1" x14ac:dyDescent="0.2">
      <c r="A43" s="713">
        <v>16</v>
      </c>
      <c r="B43" s="712" t="str">
        <f>IF('LAMPIRAN III DONE'!C60=0,"",'LAMPIRAN III DONE'!C60)</f>
        <v/>
      </c>
      <c r="C43" s="616"/>
      <c r="D43" s="714">
        <f>'LAMPIRAN III DONE'!O60</f>
        <v>0</v>
      </c>
      <c r="E43" s="693">
        <f>'LAMPIRAN III DONE'!E60</f>
        <v>0</v>
      </c>
      <c r="F43" s="684"/>
      <c r="G43" s="711">
        <f>F43/100*D43</f>
        <v>0</v>
      </c>
      <c r="H43" s="684"/>
      <c r="I43" s="711">
        <f>H43/100*D43</f>
        <v>0</v>
      </c>
      <c r="J43" s="684">
        <f>(F43+H43)/2</f>
        <v>0</v>
      </c>
      <c r="K43" s="711">
        <f>(J43/100)*D43</f>
        <v>0</v>
      </c>
    </row>
    <row r="44" spans="1:11" ht="57" customHeight="1" x14ac:dyDescent="0.2">
      <c r="A44" s="631"/>
      <c r="B44" s="712" t="str">
        <f>IF('LAMPIRAN III DONE'!C61=0,"",'LAMPIRAN III DONE'!C61)</f>
        <v/>
      </c>
      <c r="C44" s="616"/>
      <c r="D44" s="631"/>
      <c r="E44" s="631"/>
      <c r="F44" s="631"/>
      <c r="G44" s="631"/>
      <c r="H44" s="631"/>
      <c r="I44" s="631"/>
      <c r="J44" s="631"/>
      <c r="K44" s="631"/>
    </row>
    <row r="45" spans="1:11" ht="29.25" customHeight="1" x14ac:dyDescent="0.2">
      <c r="A45" s="713">
        <v>17</v>
      </c>
      <c r="B45" s="712" t="str">
        <f>IF('LAMPIRAN III DONE'!C62=0,"",'LAMPIRAN III DONE'!C62)</f>
        <v/>
      </c>
      <c r="C45" s="616"/>
      <c r="D45" s="714">
        <f>'LAMPIRAN III DONE'!O62</f>
        <v>0</v>
      </c>
      <c r="E45" s="693">
        <f>'LAMPIRAN III DONE'!E62</f>
        <v>0</v>
      </c>
      <c r="F45" s="684"/>
      <c r="G45" s="711">
        <f>F45/100*D45</f>
        <v>0</v>
      </c>
      <c r="H45" s="684"/>
      <c r="I45" s="711">
        <f>H45/100*D45</f>
        <v>0</v>
      </c>
      <c r="J45" s="684">
        <f>(F45+H45)/2</f>
        <v>0</v>
      </c>
      <c r="K45" s="711">
        <f>(J45/100)*D45</f>
        <v>0</v>
      </c>
    </row>
    <row r="46" spans="1:11" ht="57.75" customHeight="1" x14ac:dyDescent="0.2">
      <c r="A46" s="631"/>
      <c r="B46" s="712" t="str">
        <f>IF('LAMPIRAN III DONE'!C63=0,"",'LAMPIRAN III DONE'!C63)</f>
        <v/>
      </c>
      <c r="C46" s="616"/>
      <c r="D46" s="631"/>
      <c r="E46" s="631"/>
      <c r="F46" s="631"/>
      <c r="G46" s="631"/>
      <c r="H46" s="631"/>
      <c r="I46" s="631"/>
      <c r="J46" s="631"/>
      <c r="K46" s="631"/>
    </row>
    <row r="47" spans="1:11" ht="15" customHeight="1" x14ac:dyDescent="0.2">
      <c r="A47" s="713">
        <v>18</v>
      </c>
      <c r="B47" s="712" t="str">
        <f>IF('LAMPIRAN III DONE'!C64=0,"",'LAMPIRAN III DONE'!C64)</f>
        <v/>
      </c>
      <c r="C47" s="616"/>
      <c r="D47" s="714">
        <f>'LAMPIRAN III DONE'!O64</f>
        <v>0</v>
      </c>
      <c r="E47" s="693">
        <f>'LAMPIRAN III DONE'!E64</f>
        <v>0</v>
      </c>
      <c r="F47" s="684"/>
      <c r="G47" s="711">
        <f>F47/100*D47</f>
        <v>0</v>
      </c>
      <c r="H47" s="684"/>
      <c r="I47" s="711">
        <f>H47/100*D47</f>
        <v>0</v>
      </c>
      <c r="J47" s="684">
        <f>(F47+H47)/2</f>
        <v>0</v>
      </c>
      <c r="K47" s="711">
        <f>(J47/100)*D47</f>
        <v>0</v>
      </c>
    </row>
    <row r="48" spans="1:11" ht="104.25" customHeight="1" x14ac:dyDescent="0.2">
      <c r="A48" s="631"/>
      <c r="B48" s="712" t="str">
        <f>IF('LAMPIRAN III DONE'!C65=0,"",'LAMPIRAN III DONE'!C65)</f>
        <v/>
      </c>
      <c r="C48" s="616"/>
      <c r="D48" s="631"/>
      <c r="E48" s="631"/>
      <c r="F48" s="631"/>
      <c r="G48" s="631"/>
      <c r="H48" s="631"/>
      <c r="I48" s="631"/>
      <c r="J48" s="631"/>
      <c r="K48" s="631"/>
    </row>
    <row r="49" spans="1:11" ht="15" customHeight="1" x14ac:dyDescent="0.2">
      <c r="A49" s="713">
        <v>19</v>
      </c>
      <c r="B49" s="712" t="str">
        <f>IF('LAMPIRAN III DONE'!C66=0,"",'LAMPIRAN III DONE'!C66)</f>
        <v/>
      </c>
      <c r="C49" s="616"/>
      <c r="D49" s="714">
        <f>'LAMPIRAN III DONE'!O66</f>
        <v>0</v>
      </c>
      <c r="E49" s="693">
        <f>'LAMPIRAN III DONE'!E66</f>
        <v>0</v>
      </c>
      <c r="F49" s="684"/>
      <c r="G49" s="711">
        <f>F49/100*D49</f>
        <v>0</v>
      </c>
      <c r="H49" s="684"/>
      <c r="I49" s="711">
        <f>H49/100*D49</f>
        <v>0</v>
      </c>
      <c r="J49" s="684">
        <f>(F49+H49)/2</f>
        <v>0</v>
      </c>
      <c r="K49" s="711">
        <f>(J49/100)*D49</f>
        <v>0</v>
      </c>
    </row>
    <row r="50" spans="1:11" ht="87" customHeight="1" x14ac:dyDescent="0.2">
      <c r="A50" s="631"/>
      <c r="B50" s="712" t="str">
        <f>IF('LAMPIRAN III DONE'!C67=0,"",'LAMPIRAN III DONE'!C67)</f>
        <v/>
      </c>
      <c r="C50" s="616"/>
      <c r="D50" s="631"/>
      <c r="E50" s="631"/>
      <c r="F50" s="631"/>
      <c r="G50" s="631"/>
      <c r="H50" s="631"/>
      <c r="I50" s="631"/>
      <c r="J50" s="631"/>
      <c r="K50" s="631"/>
    </row>
    <row r="51" spans="1:11" ht="15" customHeight="1" x14ac:dyDescent="0.2">
      <c r="A51" s="713">
        <v>20</v>
      </c>
      <c r="B51" s="712" t="str">
        <f>IF('LAMPIRAN III DONE'!C68=0,"",'LAMPIRAN III DONE'!C68)</f>
        <v/>
      </c>
      <c r="C51" s="616"/>
      <c r="D51" s="714">
        <f>'LAMPIRAN III DONE'!O68</f>
        <v>0</v>
      </c>
      <c r="E51" s="693">
        <f>'LAMPIRAN III DONE'!E68</f>
        <v>0</v>
      </c>
      <c r="F51" s="684"/>
      <c r="G51" s="711">
        <f>F51/100*D51</f>
        <v>0</v>
      </c>
      <c r="H51" s="684"/>
      <c r="I51" s="711">
        <f>H51/100*D51</f>
        <v>0</v>
      </c>
      <c r="J51" s="684">
        <f>(F51+H51)/2</f>
        <v>0</v>
      </c>
      <c r="K51" s="711">
        <f>(J51/100)*D51</f>
        <v>0</v>
      </c>
    </row>
    <row r="52" spans="1:11" ht="81" customHeight="1" x14ac:dyDescent="0.2">
      <c r="A52" s="631"/>
      <c r="B52" s="712" t="str">
        <f>IF('LAMPIRAN III DONE'!C69=0,"",'LAMPIRAN III DONE'!C69)</f>
        <v/>
      </c>
      <c r="C52" s="616"/>
      <c r="D52" s="631"/>
      <c r="E52" s="631"/>
      <c r="F52" s="631"/>
      <c r="G52" s="631"/>
      <c r="H52" s="631"/>
      <c r="I52" s="631"/>
      <c r="J52" s="631"/>
      <c r="K52" s="631"/>
    </row>
    <row r="53" spans="1:11" ht="21.75" customHeight="1" x14ac:dyDescent="0.2">
      <c r="A53" s="715" t="s">
        <v>1189</v>
      </c>
      <c r="B53" s="615"/>
      <c r="C53" s="615"/>
      <c r="D53" s="451"/>
      <c r="E53" s="452"/>
      <c r="F53" s="453"/>
      <c r="G53" s="454"/>
      <c r="H53" s="453"/>
      <c r="I53" s="454"/>
      <c r="J53" s="453"/>
      <c r="K53" s="166"/>
    </row>
    <row r="54" spans="1:11" ht="15" customHeight="1" x14ac:dyDescent="0.2">
      <c r="A54" s="713">
        <v>21</v>
      </c>
      <c r="B54" s="712" t="str">
        <f>IF('LAMPIRAN III DONE'!C71=0,"",'LAMPIRAN III DONE'!C71)</f>
        <v/>
      </c>
      <c r="C54" s="616"/>
      <c r="D54" s="713">
        <f>'LAMPIRAN III DONE'!O71</f>
        <v>0</v>
      </c>
      <c r="E54" s="693">
        <f>'LAMPIRAN III DONE'!E71</f>
        <v>0</v>
      </c>
      <c r="F54" s="684"/>
      <c r="G54" s="711">
        <f>F54/100*D54</f>
        <v>0</v>
      </c>
      <c r="H54" s="684"/>
      <c r="I54" s="711">
        <f>H54/100*D54</f>
        <v>0</v>
      </c>
      <c r="J54" s="684">
        <f>(F54+H54)/2</f>
        <v>0</v>
      </c>
      <c r="K54" s="711">
        <f>(J54/100)*D54</f>
        <v>0</v>
      </c>
    </row>
    <row r="55" spans="1:11" ht="90" customHeight="1" x14ac:dyDescent="0.2">
      <c r="A55" s="631"/>
      <c r="B55" s="712" t="str">
        <f>IF('LAMPIRAN III DONE'!C72=0,"",'LAMPIRAN III DONE'!C72)</f>
        <v/>
      </c>
      <c r="C55" s="616"/>
      <c r="D55" s="631"/>
      <c r="E55" s="631"/>
      <c r="F55" s="631"/>
      <c r="G55" s="631"/>
      <c r="H55" s="631"/>
      <c r="I55" s="631"/>
      <c r="J55" s="631"/>
      <c r="K55" s="631"/>
    </row>
    <row r="56" spans="1:11" ht="15" customHeight="1" x14ac:dyDescent="0.2">
      <c r="A56" s="713">
        <v>22</v>
      </c>
      <c r="B56" s="712" t="str">
        <f>IF('LAMPIRAN III DONE'!C73=0,"",'LAMPIRAN III DONE'!C73)</f>
        <v/>
      </c>
      <c r="C56" s="616"/>
      <c r="D56" s="713">
        <f>'LAMPIRAN III DONE'!O73</f>
        <v>0</v>
      </c>
      <c r="E56" s="693">
        <f>'LAMPIRAN III DONE'!E73</f>
        <v>0</v>
      </c>
      <c r="F56" s="684"/>
      <c r="G56" s="711">
        <f>F56/100*D56</f>
        <v>0</v>
      </c>
      <c r="H56" s="684"/>
      <c r="I56" s="711">
        <f>H56/100*D56</f>
        <v>0</v>
      </c>
      <c r="J56" s="684">
        <f>(F56+H56)/2</f>
        <v>0</v>
      </c>
      <c r="K56" s="711">
        <f>(J56/100)*D56</f>
        <v>0</v>
      </c>
    </row>
    <row r="57" spans="1:11" ht="98.25" customHeight="1" x14ac:dyDescent="0.2">
      <c r="A57" s="631"/>
      <c r="B57" s="712" t="str">
        <f>IF('LAMPIRAN III DONE'!C74=0,"",'LAMPIRAN III DONE'!C74)</f>
        <v/>
      </c>
      <c r="C57" s="616"/>
      <c r="D57" s="631"/>
      <c r="E57" s="631"/>
      <c r="F57" s="631"/>
      <c r="G57" s="631"/>
      <c r="H57" s="631"/>
      <c r="I57" s="631"/>
      <c r="J57" s="631"/>
      <c r="K57" s="631"/>
    </row>
    <row r="58" spans="1:11" ht="15" customHeight="1" x14ac:dyDescent="0.2">
      <c r="A58" s="713">
        <v>23</v>
      </c>
      <c r="B58" s="712" t="str">
        <f>IF('LAMPIRAN III DONE'!C75=0,"",'LAMPIRAN III DONE'!C75)</f>
        <v/>
      </c>
      <c r="C58" s="616"/>
      <c r="D58" s="713">
        <f>'LAMPIRAN III DONE'!O75</f>
        <v>0</v>
      </c>
      <c r="E58" s="693">
        <f>'LAMPIRAN III DONE'!E75</f>
        <v>0</v>
      </c>
      <c r="F58" s="684"/>
      <c r="G58" s="711">
        <f>F58/100*D58</f>
        <v>0</v>
      </c>
      <c r="H58" s="684"/>
      <c r="I58" s="711">
        <f>H58/100*D58</f>
        <v>0</v>
      </c>
      <c r="J58" s="684">
        <f>(F58+H58)/2</f>
        <v>0</v>
      </c>
      <c r="K58" s="711">
        <f>(J58/100)*D58</f>
        <v>0</v>
      </c>
    </row>
    <row r="59" spans="1:11" ht="71.25" customHeight="1" x14ac:dyDescent="0.2">
      <c r="A59" s="631"/>
      <c r="B59" s="712" t="str">
        <f>IF('LAMPIRAN III DONE'!C76=0,"",'LAMPIRAN III DONE'!C76)</f>
        <v/>
      </c>
      <c r="C59" s="616"/>
      <c r="D59" s="631"/>
      <c r="E59" s="631"/>
      <c r="F59" s="631"/>
      <c r="G59" s="631"/>
      <c r="H59" s="631"/>
      <c r="I59" s="631"/>
      <c r="J59" s="631"/>
      <c r="K59" s="631"/>
    </row>
    <row r="60" spans="1:11" ht="15" customHeight="1" x14ac:dyDescent="0.2">
      <c r="A60" s="713">
        <v>24</v>
      </c>
      <c r="B60" s="712" t="str">
        <f>IF('LAMPIRAN III DONE'!C77=0,"",'LAMPIRAN III DONE'!C77)</f>
        <v/>
      </c>
      <c r="C60" s="616"/>
      <c r="D60" s="713">
        <f>'LAMPIRAN III DONE'!O77</f>
        <v>0</v>
      </c>
      <c r="E60" s="693">
        <f>'LAMPIRAN III DONE'!E77</f>
        <v>0</v>
      </c>
      <c r="F60" s="684"/>
      <c r="G60" s="711">
        <f>F60/100*D60</f>
        <v>0</v>
      </c>
      <c r="H60" s="684"/>
      <c r="I60" s="711">
        <f>H60/100*D60</f>
        <v>0</v>
      </c>
      <c r="J60" s="684">
        <f>(F60+H60)/2</f>
        <v>0</v>
      </c>
      <c r="K60" s="711">
        <f>(J60/100)*D60</f>
        <v>0</v>
      </c>
    </row>
    <row r="61" spans="1:11" ht="89.25" customHeight="1" x14ac:dyDescent="0.2">
      <c r="A61" s="631"/>
      <c r="B61" s="712" t="str">
        <f>IF('LAMPIRAN III DONE'!C78=0,"",'LAMPIRAN III DONE'!C78)</f>
        <v/>
      </c>
      <c r="C61" s="616"/>
      <c r="D61" s="631"/>
      <c r="E61" s="631"/>
      <c r="F61" s="631"/>
      <c r="G61" s="631"/>
      <c r="H61" s="631"/>
      <c r="I61" s="631"/>
      <c r="J61" s="631"/>
      <c r="K61" s="631"/>
    </row>
    <row r="62" spans="1:11" ht="30" customHeight="1" x14ac:dyDescent="0.2">
      <c r="A62" s="713">
        <v>25</v>
      </c>
      <c r="B62" s="712" t="str">
        <f>IF('LAMPIRAN III DONE'!C79=0,"",'LAMPIRAN III DONE'!C79)</f>
        <v/>
      </c>
      <c r="C62" s="616"/>
      <c r="D62" s="713">
        <f>'LAMPIRAN III DONE'!O79</f>
        <v>0</v>
      </c>
      <c r="E62" s="693">
        <f>'LAMPIRAN III DONE'!E79</f>
        <v>0</v>
      </c>
      <c r="F62" s="684"/>
      <c r="G62" s="711">
        <f>F62/100*D62</f>
        <v>0</v>
      </c>
      <c r="H62" s="684"/>
      <c r="I62" s="711">
        <f>H62/100*D62</f>
        <v>0</v>
      </c>
      <c r="J62" s="684">
        <f>(F62+H62)/2</f>
        <v>0</v>
      </c>
      <c r="K62" s="711">
        <f>(J62/100)*D62</f>
        <v>0</v>
      </c>
    </row>
    <row r="63" spans="1:11" ht="60" customHeight="1" x14ac:dyDescent="0.2">
      <c r="A63" s="631"/>
      <c r="B63" s="712" t="str">
        <f>IF('LAMPIRAN III DONE'!C80=0,"",'LAMPIRAN III DONE'!C80)</f>
        <v/>
      </c>
      <c r="C63" s="616"/>
      <c r="D63" s="631"/>
      <c r="E63" s="631"/>
      <c r="F63" s="631"/>
      <c r="G63" s="631"/>
      <c r="H63" s="631"/>
      <c r="I63" s="631"/>
      <c r="J63" s="631"/>
      <c r="K63" s="631"/>
    </row>
    <row r="64" spans="1:11" ht="25.5" customHeight="1" x14ac:dyDescent="0.2">
      <c r="A64" s="713">
        <v>26</v>
      </c>
      <c r="B64" s="712" t="str">
        <f>IF('LAMPIRAN III DONE'!C81=0,"",'LAMPIRAN III DONE'!C81)</f>
        <v/>
      </c>
      <c r="C64" s="616"/>
      <c r="D64" s="713">
        <f>'LAMPIRAN III DONE'!O81</f>
        <v>0</v>
      </c>
      <c r="E64" s="693">
        <f>'LAMPIRAN III DONE'!E81</f>
        <v>0</v>
      </c>
      <c r="F64" s="684"/>
      <c r="G64" s="711">
        <f>F64/100*D64</f>
        <v>0</v>
      </c>
      <c r="H64" s="684"/>
      <c r="I64" s="711">
        <f>H64/100*D64</f>
        <v>0</v>
      </c>
      <c r="J64" s="684">
        <f>(F64+H64)/2</f>
        <v>0</v>
      </c>
      <c r="K64" s="711">
        <f>(J64/100)*D64</f>
        <v>0</v>
      </c>
    </row>
    <row r="65" spans="1:11" ht="87" customHeight="1" x14ac:dyDescent="0.2">
      <c r="A65" s="631"/>
      <c r="B65" s="712" t="str">
        <f>IF('LAMPIRAN III DONE'!C82=0,"",'LAMPIRAN III DONE'!C82)</f>
        <v/>
      </c>
      <c r="C65" s="616"/>
      <c r="D65" s="631"/>
      <c r="E65" s="631"/>
      <c r="F65" s="631"/>
      <c r="G65" s="631"/>
      <c r="H65" s="631"/>
      <c r="I65" s="631"/>
      <c r="J65" s="631"/>
      <c r="K65" s="631"/>
    </row>
    <row r="66" spans="1:11" ht="15" customHeight="1" x14ac:dyDescent="0.2">
      <c r="A66" s="713">
        <v>27</v>
      </c>
      <c r="B66" s="712" t="str">
        <f>IF('LAMPIRAN III DONE'!C83=0,"",'LAMPIRAN III DONE'!C83)</f>
        <v/>
      </c>
      <c r="C66" s="616"/>
      <c r="D66" s="713">
        <f>'LAMPIRAN III DONE'!O83</f>
        <v>0</v>
      </c>
      <c r="E66" s="693">
        <f>'LAMPIRAN III DONE'!E83</f>
        <v>0</v>
      </c>
      <c r="F66" s="684"/>
      <c r="G66" s="711">
        <f>F66/100*D66</f>
        <v>0</v>
      </c>
      <c r="H66" s="684"/>
      <c r="I66" s="711">
        <f>H66/100*D66</f>
        <v>0</v>
      </c>
      <c r="J66" s="684">
        <f>(F66+H66)/2</f>
        <v>0</v>
      </c>
      <c r="K66" s="711">
        <f>(J66/100)*D66</f>
        <v>0</v>
      </c>
    </row>
    <row r="67" spans="1:11" ht="72.75" customHeight="1" x14ac:dyDescent="0.2">
      <c r="A67" s="631"/>
      <c r="B67" s="712" t="str">
        <f>IF('LAMPIRAN III DONE'!C84=0,"",'LAMPIRAN III DONE'!C84)</f>
        <v/>
      </c>
      <c r="C67" s="616"/>
      <c r="D67" s="631"/>
      <c r="E67" s="631"/>
      <c r="F67" s="631"/>
      <c r="G67" s="631"/>
      <c r="H67" s="631"/>
      <c r="I67" s="631"/>
      <c r="J67" s="631"/>
      <c r="K67" s="631"/>
    </row>
    <row r="68" spans="1:11" ht="34.5" customHeight="1" x14ac:dyDescent="0.2">
      <c r="A68" s="713">
        <v>28</v>
      </c>
      <c r="B68" s="712" t="str">
        <f>IF('LAMPIRAN III DONE'!C85=0,"",'LAMPIRAN III DONE'!C85)</f>
        <v/>
      </c>
      <c r="C68" s="616"/>
      <c r="D68" s="713">
        <f>'LAMPIRAN III DONE'!O85</f>
        <v>0</v>
      </c>
      <c r="E68" s="693">
        <f>'LAMPIRAN III DONE'!E85</f>
        <v>0</v>
      </c>
      <c r="F68" s="684"/>
      <c r="G68" s="711">
        <f>F68/100*D68</f>
        <v>0</v>
      </c>
      <c r="H68" s="684"/>
      <c r="I68" s="711">
        <f>H68/100*D68</f>
        <v>0</v>
      </c>
      <c r="J68" s="684">
        <f>(F68+H68)/2</f>
        <v>0</v>
      </c>
      <c r="K68" s="711">
        <f>(J68/100)*D68</f>
        <v>0</v>
      </c>
    </row>
    <row r="69" spans="1:11" ht="72.75" customHeight="1" x14ac:dyDescent="0.2">
      <c r="A69" s="631"/>
      <c r="B69" s="712" t="str">
        <f>IF('LAMPIRAN III DONE'!C86=0,"",'LAMPIRAN III DONE'!C86)</f>
        <v/>
      </c>
      <c r="C69" s="616"/>
      <c r="D69" s="631"/>
      <c r="E69" s="631"/>
      <c r="F69" s="631"/>
      <c r="G69" s="631"/>
      <c r="H69" s="631"/>
      <c r="I69" s="631"/>
      <c r="J69" s="631"/>
      <c r="K69" s="631"/>
    </row>
    <row r="70" spans="1:11" ht="28.5" customHeight="1" x14ac:dyDescent="0.2">
      <c r="A70" s="713">
        <v>29</v>
      </c>
      <c r="B70" s="712" t="str">
        <f>IF('LAMPIRAN III DONE'!C87=0,"",'LAMPIRAN III DONE'!C87)</f>
        <v/>
      </c>
      <c r="C70" s="616"/>
      <c r="D70" s="713">
        <f>'LAMPIRAN III DONE'!O87</f>
        <v>0</v>
      </c>
      <c r="E70" s="693">
        <f>'LAMPIRAN III DONE'!E87</f>
        <v>0</v>
      </c>
      <c r="F70" s="684"/>
      <c r="G70" s="711">
        <f>F70/100*D70</f>
        <v>0</v>
      </c>
      <c r="H70" s="684"/>
      <c r="I70" s="711">
        <f>H70/100*D70</f>
        <v>0</v>
      </c>
      <c r="J70" s="684">
        <f>(F70+H70)/2</f>
        <v>0</v>
      </c>
      <c r="K70" s="711">
        <f>(J70/100)*D70</f>
        <v>0</v>
      </c>
    </row>
    <row r="71" spans="1:11" ht="66" customHeight="1" x14ac:dyDescent="0.2">
      <c r="A71" s="631"/>
      <c r="B71" s="712" t="str">
        <f>IF('LAMPIRAN III DONE'!C88=0,"",'LAMPIRAN III DONE'!C88)</f>
        <v/>
      </c>
      <c r="C71" s="616"/>
      <c r="D71" s="631"/>
      <c r="E71" s="631"/>
      <c r="F71" s="631"/>
      <c r="G71" s="631"/>
      <c r="H71" s="631"/>
      <c r="I71" s="631"/>
      <c r="J71" s="631"/>
      <c r="K71" s="631"/>
    </row>
    <row r="72" spans="1:11" ht="28.5" customHeight="1" x14ac:dyDescent="0.2">
      <c r="A72" s="713">
        <v>30</v>
      </c>
      <c r="B72" s="712" t="str">
        <f>IF('LAMPIRAN III DONE'!C89=0,"",'LAMPIRAN III DONE'!C89)</f>
        <v/>
      </c>
      <c r="C72" s="616"/>
      <c r="D72" s="713">
        <f>'LAMPIRAN III DONE'!O89</f>
        <v>0</v>
      </c>
      <c r="E72" s="693">
        <f>'LAMPIRAN III DONE'!E89</f>
        <v>0</v>
      </c>
      <c r="F72" s="684"/>
      <c r="G72" s="711">
        <f>F72/100*D72</f>
        <v>0</v>
      </c>
      <c r="H72" s="684"/>
      <c r="I72" s="711">
        <f>H72/100*D72</f>
        <v>0</v>
      </c>
      <c r="J72" s="684">
        <f>(F72+H72)/2</f>
        <v>0</v>
      </c>
      <c r="K72" s="711">
        <f>(J72/100)*D72</f>
        <v>0</v>
      </c>
    </row>
    <row r="73" spans="1:11" ht="78.75" customHeight="1" x14ac:dyDescent="0.2">
      <c r="A73" s="631"/>
      <c r="B73" s="712" t="str">
        <f>IF('LAMPIRAN III DONE'!C90=0,"",'LAMPIRAN III DONE'!C90)</f>
        <v/>
      </c>
      <c r="C73" s="616"/>
      <c r="D73" s="631"/>
      <c r="E73" s="631"/>
      <c r="F73" s="631"/>
      <c r="G73" s="631"/>
      <c r="H73" s="631"/>
      <c r="I73" s="631"/>
      <c r="J73" s="631"/>
      <c r="K73" s="631"/>
    </row>
    <row r="74" spans="1:11" ht="21.75" customHeight="1" x14ac:dyDescent="0.2">
      <c r="A74" s="715" t="s">
        <v>1190</v>
      </c>
      <c r="B74" s="615"/>
      <c r="C74" s="615"/>
      <c r="D74" s="451"/>
      <c r="E74" s="452"/>
      <c r="F74" s="453"/>
      <c r="G74" s="454"/>
      <c r="H74" s="453"/>
      <c r="I74" s="454"/>
      <c r="J74" s="453"/>
      <c r="K74" s="166"/>
    </row>
    <row r="75" spans="1:11" ht="28.5" customHeight="1" x14ac:dyDescent="0.2">
      <c r="A75" s="713">
        <v>31</v>
      </c>
      <c r="B75" s="712" t="str">
        <f>IF('LAMPIRAN III DONE'!C92=0,"",'LAMPIRAN III DONE'!C92)</f>
        <v>SEMNASTEKNOMEDIA 2016</v>
      </c>
      <c r="C75" s="616"/>
      <c r="D75" s="713">
        <f>'LAMPIRAN III DONE'!O92</f>
        <v>10</v>
      </c>
      <c r="E75" s="693">
        <f>'LAMPIRAN III DONE'!E154</f>
        <v>0</v>
      </c>
      <c r="F75" s="684"/>
      <c r="G75" s="711">
        <f>F75/100*D75</f>
        <v>0</v>
      </c>
      <c r="H75" s="684"/>
      <c r="I75" s="711">
        <f>H75/100*D75</f>
        <v>0</v>
      </c>
      <c r="J75" s="684">
        <f>(F75+H75)/2</f>
        <v>0</v>
      </c>
      <c r="K75" s="711">
        <f>(J75/100)*D75</f>
        <v>0</v>
      </c>
    </row>
    <row r="76" spans="1:11" ht="69.75" customHeight="1" x14ac:dyDescent="0.2">
      <c r="A76" s="631"/>
      <c r="B76" s="712" t="str">
        <f>IF('LAMPIRAN III DONE'!C93=0,"",'LAMPIRAN III DONE'!C93)</f>
        <v>Pemodelan Sistem Informasi Layanan Karir dan Alumni Politeknik XYZ
Nama Prosiding:  SEMNASTEKNOMEDIA 2016
Penerbit: Universitas Amikom Yogyakarta
Volume: 4
Nomor: 1
Tahun : 2016
Halaman: 4.11-43
ISSN: 2302-3805</v>
      </c>
      <c r="C76" s="616"/>
      <c r="D76" s="631"/>
      <c r="E76" s="631"/>
      <c r="F76" s="631"/>
      <c r="G76" s="631"/>
      <c r="H76" s="631"/>
      <c r="I76" s="631"/>
      <c r="J76" s="631"/>
      <c r="K76" s="631"/>
    </row>
    <row r="77" spans="1:11" ht="28.5" customHeight="1" x14ac:dyDescent="0.2">
      <c r="A77" s="713">
        <v>32</v>
      </c>
      <c r="B77" s="712" t="str">
        <f>IF('LAMPIRAN III DONE'!C94=0,"",'LAMPIRAN III DONE'!C94)</f>
        <v> </v>
      </c>
      <c r="C77" s="616"/>
      <c r="D77" s="713">
        <f>'LAMPIRAN III DONE'!O94</f>
        <v>1</v>
      </c>
      <c r="E77" s="693" t="e">
        <f>'LAMPIRAN III DONE'!#REF!</f>
        <v>#REF!</v>
      </c>
      <c r="F77" s="684"/>
      <c r="G77" s="711">
        <f>F77/100*D77</f>
        <v>0</v>
      </c>
      <c r="H77" s="684"/>
      <c r="I77" s="711">
        <f>H77/100*D77</f>
        <v>0</v>
      </c>
      <c r="J77" s="684">
        <f>(F77+H77)/2</f>
        <v>0</v>
      </c>
      <c r="K77" s="711">
        <f>(J77/100)*D77</f>
        <v>0</v>
      </c>
    </row>
    <row r="78" spans="1:11" ht="81" customHeight="1" x14ac:dyDescent="0.2">
      <c r="A78" s="631"/>
      <c r="B78" s="712" t="str">
        <f>IF('LAMPIRAN III DONE'!C95=0,"",'LAMPIRAN III DONE'!C95)</f>
        <v>Sistem Monitoring Dan Kontrol Penimbangan Bahan Baku Berbasis Desktop Di Unit Penimbangan Dan Produksi Pt Hanz Cba Indonesia
Nama Prosiding:  eProceedings of Applied Science
Penerbit: Telkom University
Volume: 1
Nomor: 3
Tahun : 2015
Halaman:
ISSN: 2442-5826</v>
      </c>
      <c r="C78" s="616"/>
      <c r="D78" s="631"/>
      <c r="E78" s="631"/>
      <c r="F78" s="631"/>
      <c r="G78" s="631"/>
      <c r="H78" s="631"/>
      <c r="I78" s="631"/>
      <c r="J78" s="631"/>
      <c r="K78" s="631"/>
    </row>
    <row r="79" spans="1:11" ht="28.5" customHeight="1" x14ac:dyDescent="0.2">
      <c r="A79" s="713">
        <v>33</v>
      </c>
      <c r="B79" s="712" t="str">
        <f>IF('LAMPIRAN III DONE'!C96=0,"",'LAMPIRAN III DONE'!C96)</f>
        <v> </v>
      </c>
      <c r="C79" s="616"/>
      <c r="D79" s="713">
        <f>'LAMPIRAN III DONE'!O96</f>
        <v>1</v>
      </c>
      <c r="E79" s="693" t="e">
        <f>'LAMPIRAN III DONE'!#REF!</f>
        <v>#REF!</v>
      </c>
      <c r="F79" s="684"/>
      <c r="G79" s="711">
        <f>F79/100*D79</f>
        <v>0</v>
      </c>
      <c r="H79" s="684"/>
      <c r="I79" s="711">
        <f>H79/100*D79</f>
        <v>0</v>
      </c>
      <c r="J79" s="684">
        <f>(F79+H79)/2</f>
        <v>0</v>
      </c>
      <c r="K79" s="711">
        <f>(J79/100)*D79</f>
        <v>0</v>
      </c>
    </row>
    <row r="80" spans="1:11" ht="81" customHeight="1" x14ac:dyDescent="0.2">
      <c r="A80" s="631"/>
      <c r="B80" s="712" t="str">
        <f>IF('LAMPIRAN III DONE'!C97=0,"",'LAMPIRAN III DONE'!C97)</f>
        <v>Deteksi Plagiarisme pada mata kuliah pemrograman berorientasi objek
Nama Jurnal:  e-Proceeding of Applied Science
Penerbit: Telkom University
Volume: 3
Nomor: 2
Tahun : Agustus 2017
Halaman:
ISSN: 2442-5826</v>
      </c>
      <c r="C80" s="616"/>
      <c r="D80" s="631"/>
      <c r="E80" s="631"/>
      <c r="F80" s="631"/>
      <c r="G80" s="631"/>
      <c r="H80" s="631"/>
      <c r="I80" s="631"/>
      <c r="J80" s="631"/>
      <c r="K80" s="631"/>
    </row>
    <row r="81" spans="1:11" ht="28.5" customHeight="1" x14ac:dyDescent="0.2">
      <c r="A81" s="713">
        <v>34</v>
      </c>
      <c r="B81" s="712" t="str">
        <f>IF('LAMPIRAN III DONE'!C98=0,"",'LAMPIRAN III DONE'!C98)</f>
        <v/>
      </c>
      <c r="C81" s="616"/>
      <c r="D81" s="713">
        <f>'LAMPIRAN III DONE'!O98</f>
        <v>0</v>
      </c>
      <c r="E81" s="693" t="e">
        <f>'LAMPIRAN III DONE'!#REF!</f>
        <v>#REF!</v>
      </c>
      <c r="F81" s="684"/>
      <c r="G81" s="711">
        <f>F81/100*D81</f>
        <v>0</v>
      </c>
      <c r="H81" s="684"/>
      <c r="I81" s="711">
        <f>H81/100*D81</f>
        <v>0</v>
      </c>
      <c r="J81" s="684">
        <f>(F81+H81)/2</f>
        <v>0</v>
      </c>
      <c r="K81" s="711">
        <f>(J81/100)*D81</f>
        <v>0</v>
      </c>
    </row>
    <row r="82" spans="1:11" ht="51.75" customHeight="1" x14ac:dyDescent="0.2">
      <c r="A82" s="631"/>
      <c r="B82" s="712" t="str">
        <f>IF('LAMPIRAN III DONE'!C99=0,"",'LAMPIRAN III DONE'!C99)</f>
        <v/>
      </c>
      <c r="C82" s="616"/>
      <c r="D82" s="631"/>
      <c r="E82" s="631"/>
      <c r="F82" s="631"/>
      <c r="G82" s="631"/>
      <c r="H82" s="631"/>
      <c r="I82" s="631"/>
      <c r="J82" s="631"/>
      <c r="K82" s="631"/>
    </row>
    <row r="83" spans="1:11" ht="37.5" customHeight="1" x14ac:dyDescent="0.2">
      <c r="A83" s="713">
        <v>35</v>
      </c>
      <c r="B83" s="712" t="str">
        <f>IF('LAMPIRAN III DONE'!C100=0,"",'LAMPIRAN III DONE'!C100)</f>
        <v/>
      </c>
      <c r="C83" s="616"/>
      <c r="D83" s="713">
        <f>'LAMPIRAN III DONE'!O100</f>
        <v>0</v>
      </c>
      <c r="E83" s="693">
        <f>'LAMPIRAN III DONE'!E156</f>
        <v>0</v>
      </c>
      <c r="F83" s="684"/>
      <c r="G83" s="711">
        <f>F83/100*D83</f>
        <v>0</v>
      </c>
      <c r="H83" s="684"/>
      <c r="I83" s="711">
        <f>H83/100*D83</f>
        <v>0</v>
      </c>
      <c r="J83" s="684">
        <f>(F83+H83)/2</f>
        <v>0</v>
      </c>
      <c r="K83" s="711">
        <f>(J83/100)*D83</f>
        <v>0</v>
      </c>
    </row>
    <row r="84" spans="1:11" ht="72" customHeight="1" x14ac:dyDescent="0.2">
      <c r="A84" s="631"/>
      <c r="B84" s="712" t="str">
        <f>IF('LAMPIRAN III DONE'!C101=0,"",'LAMPIRAN III DONE'!C101)</f>
        <v/>
      </c>
      <c r="C84" s="616"/>
      <c r="D84" s="631"/>
      <c r="E84" s="631"/>
      <c r="F84" s="631"/>
      <c r="G84" s="631"/>
      <c r="H84" s="631"/>
      <c r="I84" s="631"/>
      <c r="J84" s="631"/>
      <c r="K84" s="631"/>
    </row>
    <row r="85" spans="1:11" ht="33" customHeight="1" x14ac:dyDescent="0.2">
      <c r="A85" s="713">
        <v>36</v>
      </c>
      <c r="B85" s="712" t="str">
        <f>IF('LAMPIRAN III DONE'!C102=0,"",'LAMPIRAN III DONE'!C102)</f>
        <v/>
      </c>
      <c r="C85" s="616"/>
      <c r="D85" s="713">
        <f>'LAMPIRAN III DONE'!O102</f>
        <v>0</v>
      </c>
      <c r="E85" s="693" t="str">
        <f>'LAMPIRAN III DONE'!E158</f>
        <v>-</v>
      </c>
      <c r="F85" s="684"/>
      <c r="G85" s="711">
        <f>F85/100*D85</f>
        <v>0</v>
      </c>
      <c r="H85" s="684"/>
      <c r="I85" s="711">
        <f>H85/100*D85</f>
        <v>0</v>
      </c>
      <c r="J85" s="684">
        <f>(F85+H85)/2</f>
        <v>0</v>
      </c>
      <c r="K85" s="711">
        <f>(J85/100)*D85</f>
        <v>0</v>
      </c>
    </row>
    <row r="86" spans="1:11" ht="66.75" customHeight="1" x14ac:dyDescent="0.2">
      <c r="A86" s="631"/>
      <c r="B86" s="712" t="str">
        <f>IF('LAMPIRAN III DONE'!C103=0,"",'LAMPIRAN III DONE'!C103)</f>
        <v/>
      </c>
      <c r="C86" s="616"/>
      <c r="D86" s="631"/>
      <c r="E86" s="631"/>
      <c r="F86" s="631"/>
      <c r="G86" s="631"/>
      <c r="H86" s="631"/>
      <c r="I86" s="631"/>
      <c r="J86" s="631"/>
      <c r="K86" s="631"/>
    </row>
    <row r="87" spans="1:11" ht="32.25" customHeight="1" x14ac:dyDescent="0.2">
      <c r="A87" s="713">
        <v>37</v>
      </c>
      <c r="B87" s="712" t="str">
        <f>IF('LAMPIRAN III DONE'!C104=0,"",'LAMPIRAN III DONE'!C104)</f>
        <v/>
      </c>
      <c r="C87" s="616"/>
      <c r="D87" s="713">
        <f>'LAMPIRAN III DONE'!O104</f>
        <v>0</v>
      </c>
      <c r="E87" s="693" t="str">
        <f>'LAMPIRAN III DONE'!E160</f>
        <v>-</v>
      </c>
      <c r="F87" s="684"/>
      <c r="G87" s="711">
        <f>F87/100*D87</f>
        <v>0</v>
      </c>
      <c r="H87" s="684"/>
      <c r="I87" s="711">
        <f>H87/100*D87</f>
        <v>0</v>
      </c>
      <c r="J87" s="684">
        <f>(F87+H87)/2</f>
        <v>0</v>
      </c>
      <c r="K87" s="711">
        <f>(J87/100)*D87</f>
        <v>0</v>
      </c>
    </row>
    <row r="88" spans="1:11" ht="75.75" customHeight="1" x14ac:dyDescent="0.2">
      <c r="A88" s="631"/>
      <c r="B88" s="712" t="str">
        <f>IF('LAMPIRAN III DONE'!C105=0,"",'LAMPIRAN III DONE'!C105)</f>
        <v/>
      </c>
      <c r="C88" s="616"/>
      <c r="D88" s="631"/>
      <c r="E88" s="631"/>
      <c r="F88" s="631"/>
      <c r="G88" s="631"/>
      <c r="H88" s="631"/>
      <c r="I88" s="631"/>
      <c r="J88" s="631"/>
      <c r="K88" s="631"/>
    </row>
    <row r="89" spans="1:11" ht="15" customHeight="1" x14ac:dyDescent="0.2">
      <c r="A89" s="713">
        <v>38</v>
      </c>
      <c r="B89" s="712" t="str">
        <f>IF('LAMPIRAN III DONE'!C106=0,"",'LAMPIRAN III DONE'!C106)</f>
        <v/>
      </c>
      <c r="C89" s="616"/>
      <c r="D89" s="713">
        <f>'LAMPIRAN III DONE'!O106</f>
        <v>0</v>
      </c>
      <c r="E89" s="693">
        <f>'LAMPIRAN III DONE'!E162</f>
        <v>0</v>
      </c>
      <c r="F89" s="684"/>
      <c r="G89" s="711">
        <f>F89/100*D89</f>
        <v>0</v>
      </c>
      <c r="H89" s="684"/>
      <c r="I89" s="711">
        <f>H89/100*D89</f>
        <v>0</v>
      </c>
      <c r="J89" s="684">
        <f>(F89+H89)/2</f>
        <v>0</v>
      </c>
      <c r="K89" s="711">
        <f>(J89/100)*D89</f>
        <v>0</v>
      </c>
    </row>
    <row r="90" spans="1:11" ht="66" customHeight="1" x14ac:dyDescent="0.2">
      <c r="A90" s="631"/>
      <c r="B90" s="712" t="str">
        <f>IF('LAMPIRAN III DONE'!C107=0,"",'LAMPIRAN III DONE'!C107)</f>
        <v/>
      </c>
      <c r="C90" s="616"/>
      <c r="D90" s="631"/>
      <c r="E90" s="631"/>
      <c r="F90" s="631"/>
      <c r="G90" s="631"/>
      <c r="H90" s="631"/>
      <c r="I90" s="631"/>
      <c r="J90" s="631"/>
      <c r="K90" s="631"/>
    </row>
    <row r="91" spans="1:11" ht="27" customHeight="1" x14ac:dyDescent="0.2">
      <c r="A91" s="713">
        <v>39</v>
      </c>
      <c r="B91" s="712" t="str">
        <f>IF('LAMPIRAN III DONE'!C108=0,"",'LAMPIRAN III DONE'!C108)</f>
        <v/>
      </c>
      <c r="C91" s="616"/>
      <c r="D91" s="713">
        <f>'LAMPIRAN III DONE'!O108</f>
        <v>0</v>
      </c>
      <c r="E91" s="693" t="str">
        <f>'LAMPIRAN III DONE'!E164</f>
        <v>-</v>
      </c>
      <c r="F91" s="684"/>
      <c r="G91" s="711">
        <f>F91/100*D91</f>
        <v>0</v>
      </c>
      <c r="H91" s="684"/>
      <c r="I91" s="711">
        <f>H91/100*D91</f>
        <v>0</v>
      </c>
      <c r="J91" s="684">
        <f>(F91+H91)/2</f>
        <v>0</v>
      </c>
      <c r="K91" s="711">
        <f>(J91/100)*D91</f>
        <v>0</v>
      </c>
    </row>
    <row r="92" spans="1:11" ht="58.5" customHeight="1" x14ac:dyDescent="0.2">
      <c r="A92" s="631"/>
      <c r="B92" s="712" t="str">
        <f>IF('LAMPIRAN III DONE'!C109=0,"",'LAMPIRAN III DONE'!C109)</f>
        <v/>
      </c>
      <c r="C92" s="616"/>
      <c r="D92" s="631"/>
      <c r="E92" s="631"/>
      <c r="F92" s="631"/>
      <c r="G92" s="631"/>
      <c r="H92" s="631"/>
      <c r="I92" s="631"/>
      <c r="J92" s="631"/>
      <c r="K92" s="631"/>
    </row>
    <row r="93" spans="1:11" ht="27.75" customHeight="1" x14ac:dyDescent="0.2">
      <c r="A93" s="713">
        <v>40</v>
      </c>
      <c r="B93" s="712" t="str">
        <f>IF('LAMPIRAN III DONE'!C110=0,"",'LAMPIRAN III DONE'!C110)</f>
        <v/>
      </c>
      <c r="C93" s="616"/>
      <c r="D93" s="713">
        <f>'LAMPIRAN III DONE'!O110</f>
        <v>0</v>
      </c>
      <c r="E93" s="693" t="str">
        <f>'LAMPIRAN III DONE'!E166</f>
        <v>-</v>
      </c>
      <c r="F93" s="684"/>
      <c r="G93" s="711">
        <f>F93/100*D93</f>
        <v>0</v>
      </c>
      <c r="H93" s="684"/>
      <c r="I93" s="711">
        <f>H93/100*D93</f>
        <v>0</v>
      </c>
      <c r="J93" s="684">
        <f>(F93+H93)/2</f>
        <v>0</v>
      </c>
      <c r="K93" s="711">
        <f>(J93/100)*D93</f>
        <v>0</v>
      </c>
    </row>
    <row r="94" spans="1:11" ht="49.5" customHeight="1" x14ac:dyDescent="0.2">
      <c r="A94" s="631"/>
      <c r="B94" s="712" t="str">
        <f>IF('LAMPIRAN III DONE'!C111=0,"",'LAMPIRAN III DONE'!C111)</f>
        <v/>
      </c>
      <c r="C94" s="616"/>
      <c r="D94" s="631"/>
      <c r="E94" s="631"/>
      <c r="F94" s="631"/>
      <c r="G94" s="631"/>
      <c r="H94" s="631"/>
      <c r="I94" s="631"/>
      <c r="J94" s="631"/>
      <c r="K94" s="631"/>
    </row>
    <row r="95" spans="1:11" ht="21.75" customHeight="1" x14ac:dyDescent="0.2">
      <c r="A95" s="715" t="s">
        <v>1191</v>
      </c>
      <c r="B95" s="615"/>
      <c r="C95" s="615"/>
      <c r="D95" s="451"/>
      <c r="E95" s="452"/>
      <c r="F95" s="453"/>
      <c r="G95" s="454"/>
      <c r="H95" s="453"/>
      <c r="I95" s="454"/>
      <c r="J95" s="453"/>
      <c r="K95" s="166"/>
    </row>
    <row r="96" spans="1:11" ht="23.25" customHeight="1" x14ac:dyDescent="0.2">
      <c r="A96" s="713">
        <v>41</v>
      </c>
      <c r="B96" s="712" t="str">
        <f>IF('LAMPIRAN III DONE'!C113=0,"",'LAMPIRAN III DONE'!C113)</f>
        <v/>
      </c>
      <c r="C96" s="616"/>
      <c r="D96" s="713">
        <f>'LAMPIRAN III DONE'!O113</f>
        <v>0</v>
      </c>
      <c r="E96" s="693">
        <f>'LAMPIRAN III DONE'!E168</f>
        <v>0</v>
      </c>
      <c r="F96" s="684"/>
      <c r="G96" s="711">
        <f>F96/100*D96</f>
        <v>0</v>
      </c>
      <c r="H96" s="684"/>
      <c r="I96" s="711">
        <f>H96/100*D96</f>
        <v>0</v>
      </c>
      <c r="J96" s="684">
        <f>(F96+H96)/2</f>
        <v>0</v>
      </c>
      <c r="K96" s="711">
        <f>(J96/100)*D96</f>
        <v>0</v>
      </c>
    </row>
    <row r="97" spans="1:11" ht="76.5" customHeight="1" x14ac:dyDescent="0.2">
      <c r="A97" s="631"/>
      <c r="B97" s="712" t="str">
        <f>IF('LAMPIRAN III DONE'!C114=0,"",'LAMPIRAN III DONE'!C114)</f>
        <v/>
      </c>
      <c r="C97" s="616"/>
      <c r="D97" s="631"/>
      <c r="E97" s="631"/>
      <c r="F97" s="631"/>
      <c r="G97" s="631"/>
      <c r="H97" s="631"/>
      <c r="I97" s="631"/>
      <c r="J97" s="631"/>
      <c r="K97" s="631"/>
    </row>
    <row r="98" spans="1:11" ht="15" customHeight="1" x14ac:dyDescent="0.2">
      <c r="A98" s="713">
        <v>42</v>
      </c>
      <c r="B98" s="712" t="str">
        <f>IF('LAMPIRAN III DONE'!C115=0,"",'LAMPIRAN III DONE'!C115)</f>
        <v/>
      </c>
      <c r="C98" s="616"/>
      <c r="D98" s="713">
        <f>'LAMPIRAN III DONE'!O115</f>
        <v>0</v>
      </c>
      <c r="E98" s="693" t="str">
        <f>'LAMPIRAN III DONE'!E170</f>
        <v>-</v>
      </c>
      <c r="F98" s="684"/>
      <c r="G98" s="711">
        <f>F98/100*D98</f>
        <v>0</v>
      </c>
      <c r="H98" s="684"/>
      <c r="I98" s="711">
        <f>H98/100*D98</f>
        <v>0</v>
      </c>
      <c r="J98" s="684">
        <f>(F98+H98)/2</f>
        <v>0</v>
      </c>
      <c r="K98" s="711">
        <f>(J98/100)*D98</f>
        <v>0</v>
      </c>
    </row>
    <row r="99" spans="1:11" ht="75.75" customHeight="1" x14ac:dyDescent="0.2">
      <c r="A99" s="631"/>
      <c r="B99" s="712" t="str">
        <f>IF('LAMPIRAN III DONE'!C116=0,"",'LAMPIRAN III DONE'!C116)</f>
        <v/>
      </c>
      <c r="C99" s="616"/>
      <c r="D99" s="631"/>
      <c r="E99" s="631"/>
      <c r="F99" s="631"/>
      <c r="G99" s="631"/>
      <c r="H99" s="631"/>
      <c r="I99" s="631"/>
      <c r="J99" s="631"/>
      <c r="K99" s="631"/>
    </row>
    <row r="100" spans="1:11" ht="15" customHeight="1" x14ac:dyDescent="0.2">
      <c r="A100" s="713">
        <v>43</v>
      </c>
      <c r="B100" s="712" t="str">
        <f>IF('LAMPIRAN III DONE'!C117=0,"",'LAMPIRAN III DONE'!C117)</f>
        <v/>
      </c>
      <c r="C100" s="616"/>
      <c r="D100" s="713">
        <f>'LAMPIRAN III DONE'!O117</f>
        <v>0</v>
      </c>
      <c r="E100" s="693" t="str">
        <f>'LAMPIRAN III DONE'!E190</f>
        <v>-</v>
      </c>
      <c r="F100" s="684"/>
      <c r="G100" s="711">
        <f>F100/100*D100</f>
        <v>0</v>
      </c>
      <c r="H100" s="684"/>
      <c r="I100" s="711">
        <f>H100/100*D100</f>
        <v>0</v>
      </c>
      <c r="J100" s="684">
        <f>(F100+H100)/2</f>
        <v>0</v>
      </c>
      <c r="K100" s="711">
        <f>(J100/100)*D100</f>
        <v>0</v>
      </c>
    </row>
    <row r="101" spans="1:11" ht="66" customHeight="1" x14ac:dyDescent="0.2">
      <c r="A101" s="631"/>
      <c r="B101" s="712" t="str">
        <f>IF('LAMPIRAN III DONE'!C118=0,"",'LAMPIRAN III DONE'!C118)</f>
        <v/>
      </c>
      <c r="C101" s="616"/>
      <c r="D101" s="631"/>
      <c r="E101" s="631"/>
      <c r="F101" s="631"/>
      <c r="G101" s="631"/>
      <c r="H101" s="631"/>
      <c r="I101" s="631"/>
      <c r="J101" s="631"/>
      <c r="K101" s="631"/>
    </row>
    <row r="102" spans="1:11" ht="31.5" customHeight="1" x14ac:dyDescent="0.2">
      <c r="A102" s="713">
        <v>44</v>
      </c>
      <c r="B102" s="712" t="str">
        <f>IF('LAMPIRAN III DONE'!C119=0,"",'LAMPIRAN III DONE'!C119)</f>
        <v/>
      </c>
      <c r="C102" s="616"/>
      <c r="D102" s="713">
        <f>'LAMPIRAN III DONE'!O119</f>
        <v>0</v>
      </c>
      <c r="E102" s="693">
        <f>'LAMPIRAN III DONE'!E192</f>
        <v>0</v>
      </c>
      <c r="F102" s="684"/>
      <c r="G102" s="711">
        <f>F102/100*D102</f>
        <v>0</v>
      </c>
      <c r="H102" s="684"/>
      <c r="I102" s="711">
        <f>H102/100*D102</f>
        <v>0</v>
      </c>
      <c r="J102" s="684">
        <f>(F102+H102)/2</f>
        <v>0</v>
      </c>
      <c r="K102" s="711">
        <f>(J102/100)*D102</f>
        <v>0</v>
      </c>
    </row>
    <row r="103" spans="1:11" ht="64.5" customHeight="1" x14ac:dyDescent="0.2">
      <c r="A103" s="631"/>
      <c r="B103" s="712" t="str">
        <f>IF('LAMPIRAN III DONE'!C120=0,"",'LAMPIRAN III DONE'!C120)</f>
        <v/>
      </c>
      <c r="C103" s="616"/>
      <c r="D103" s="631"/>
      <c r="E103" s="631"/>
      <c r="F103" s="631"/>
      <c r="G103" s="631"/>
      <c r="H103" s="631"/>
      <c r="I103" s="631"/>
      <c r="J103" s="631"/>
      <c r="K103" s="631"/>
    </row>
    <row r="104" spans="1:11" ht="15" customHeight="1" x14ac:dyDescent="0.2">
      <c r="A104" s="713">
        <v>45</v>
      </c>
      <c r="B104" s="712" t="str">
        <f>IF('LAMPIRAN III DONE'!C121=0,"",'LAMPIRAN III DONE'!C121)</f>
        <v/>
      </c>
      <c r="C104" s="616"/>
      <c r="D104" s="713">
        <f>'LAMPIRAN III DONE'!O121</f>
        <v>0</v>
      </c>
      <c r="E104" s="693" t="str">
        <f>'LAMPIRAN III DONE'!E202</f>
        <v>-</v>
      </c>
      <c r="F104" s="684"/>
      <c r="G104" s="711">
        <f>F104/100*D104</f>
        <v>0</v>
      </c>
      <c r="H104" s="684"/>
      <c r="I104" s="711">
        <f>H104/100*D104</f>
        <v>0</v>
      </c>
      <c r="J104" s="684">
        <f>(F104+H104)/2</f>
        <v>0</v>
      </c>
      <c r="K104" s="711">
        <f>(J104/100)*D104</f>
        <v>0</v>
      </c>
    </row>
    <row r="105" spans="1:11" ht="60.75" customHeight="1" x14ac:dyDescent="0.2">
      <c r="A105" s="631"/>
      <c r="B105" s="712" t="str">
        <f>IF('LAMPIRAN III DONE'!C122=0,"",'LAMPIRAN III DONE'!C122)</f>
        <v/>
      </c>
      <c r="C105" s="616"/>
      <c r="D105" s="631"/>
      <c r="E105" s="631"/>
      <c r="F105" s="631"/>
      <c r="G105" s="631"/>
      <c r="H105" s="631"/>
      <c r="I105" s="631"/>
      <c r="J105" s="631"/>
      <c r="K105" s="631"/>
    </row>
    <row r="106" spans="1:11" ht="21.75" customHeight="1" x14ac:dyDescent="0.2">
      <c r="A106" s="715" t="s">
        <v>886</v>
      </c>
      <c r="B106" s="615"/>
      <c r="C106" s="615"/>
      <c r="D106" s="451"/>
      <c r="E106" s="452"/>
      <c r="F106" s="453"/>
      <c r="G106" s="454"/>
      <c r="H106" s="453"/>
      <c r="I106" s="454"/>
      <c r="J106" s="453"/>
      <c r="K106" s="166"/>
    </row>
    <row r="107" spans="1:11" ht="15" customHeight="1" x14ac:dyDescent="0.2">
      <c r="A107" s="713">
        <v>46</v>
      </c>
      <c r="B107" s="712" t="str">
        <f>IF('LAMPIRAN III DONE'!C124=0,"",'LAMPIRAN III DONE'!C124)</f>
        <v/>
      </c>
      <c r="C107" s="616"/>
      <c r="D107" s="713">
        <f>'LAMPIRAN III DONE'!O124</f>
        <v>0</v>
      </c>
      <c r="E107" s="693" t="str">
        <f>'LAMPIRAN III DONE'!E204</f>
        <v>-</v>
      </c>
      <c r="F107" s="684"/>
      <c r="G107" s="711">
        <f>F107/100*D107</f>
        <v>0</v>
      </c>
      <c r="H107" s="684"/>
      <c r="I107" s="711">
        <f>H107/100*D107</f>
        <v>0</v>
      </c>
      <c r="J107" s="684">
        <f>(F107+H107)/2</f>
        <v>0</v>
      </c>
      <c r="K107" s="711">
        <f>(J107/100)*D107</f>
        <v>0</v>
      </c>
    </row>
    <row r="108" spans="1:11" ht="63" customHeight="1" x14ac:dyDescent="0.2">
      <c r="A108" s="631"/>
      <c r="B108" s="712" t="str">
        <f>IF('LAMPIRAN III DONE'!C125=0,"",'LAMPIRAN III DONE'!C125)</f>
        <v/>
      </c>
      <c r="C108" s="616"/>
      <c r="D108" s="631"/>
      <c r="E108" s="631"/>
      <c r="F108" s="631"/>
      <c r="G108" s="631"/>
      <c r="H108" s="631"/>
      <c r="I108" s="631"/>
      <c r="J108" s="631"/>
      <c r="K108" s="631"/>
    </row>
    <row r="109" spans="1:11" ht="15" customHeight="1" x14ac:dyDescent="0.2">
      <c r="A109" s="713">
        <v>47</v>
      </c>
      <c r="B109" s="712" t="str">
        <f>IF('LAMPIRAN III DONE'!C126=0,"",'LAMPIRAN III DONE'!C126)</f>
        <v/>
      </c>
      <c r="C109" s="616"/>
      <c r="D109" s="713">
        <f>'LAMPIRAN III DONE'!O126</f>
        <v>0</v>
      </c>
      <c r="E109" s="693" t="str">
        <f>'LAMPIRAN III DONE'!E206</f>
        <v>-</v>
      </c>
      <c r="F109" s="684"/>
      <c r="G109" s="711">
        <f>F109/100*D109</f>
        <v>0</v>
      </c>
      <c r="H109" s="684"/>
      <c r="I109" s="711">
        <f>H109/100*D109</f>
        <v>0</v>
      </c>
      <c r="J109" s="684">
        <f>(F109+H109)/2</f>
        <v>0</v>
      </c>
      <c r="K109" s="711">
        <f>(J109/100)*D109</f>
        <v>0</v>
      </c>
    </row>
    <row r="110" spans="1:11" ht="64.5" customHeight="1" x14ac:dyDescent="0.2">
      <c r="A110" s="631"/>
      <c r="B110" s="712" t="str">
        <f>IF('LAMPIRAN III DONE'!C127=0,"",'LAMPIRAN III DONE'!C127)</f>
        <v/>
      </c>
      <c r="C110" s="616"/>
      <c r="D110" s="631"/>
      <c r="E110" s="631"/>
      <c r="F110" s="631"/>
      <c r="G110" s="631"/>
      <c r="H110" s="631"/>
      <c r="I110" s="631"/>
      <c r="J110" s="631"/>
      <c r="K110" s="631"/>
    </row>
    <row r="111" spans="1:11" ht="15" customHeight="1" x14ac:dyDescent="0.2">
      <c r="A111" s="713">
        <v>48</v>
      </c>
      <c r="B111" s="712" t="str">
        <f>IF('LAMPIRAN III DONE'!C128=0,"",'LAMPIRAN III DONE'!C128)</f>
        <v/>
      </c>
      <c r="C111" s="616"/>
      <c r="D111" s="713">
        <f>'LAMPIRAN III DONE'!O128</f>
        <v>0</v>
      </c>
      <c r="E111" s="693" t="str">
        <f>'LAMPIRAN III DONE'!E204</f>
        <v>-</v>
      </c>
      <c r="F111" s="684"/>
      <c r="G111" s="711">
        <f>F111/100*D111</f>
        <v>0</v>
      </c>
      <c r="H111" s="684"/>
      <c r="I111" s="711">
        <f>H111/100*D111</f>
        <v>0</v>
      </c>
      <c r="J111" s="684">
        <f>(F111+H111)/2</f>
        <v>0</v>
      </c>
      <c r="K111" s="711">
        <f>(J111/100)*D111</f>
        <v>0</v>
      </c>
    </row>
    <row r="112" spans="1:11" ht="75.75" customHeight="1" x14ac:dyDescent="0.2">
      <c r="A112" s="631"/>
      <c r="B112" s="712" t="str">
        <f>IF('LAMPIRAN III DONE'!C129=0,"",'LAMPIRAN III DONE'!C129)</f>
        <v/>
      </c>
      <c r="C112" s="616"/>
      <c r="D112" s="631"/>
      <c r="E112" s="631"/>
      <c r="F112" s="631"/>
      <c r="G112" s="631"/>
      <c r="H112" s="631"/>
      <c r="I112" s="631"/>
      <c r="J112" s="631"/>
      <c r="K112" s="631"/>
    </row>
    <row r="113" spans="1:11" ht="30" customHeight="1" x14ac:dyDescent="0.2">
      <c r="A113" s="713">
        <v>49</v>
      </c>
      <c r="B113" s="712" t="str">
        <f>IF('LAMPIRAN III DONE'!C130=0,"",'LAMPIRAN III DONE'!C130)</f>
        <v/>
      </c>
      <c r="C113" s="616"/>
      <c r="D113" s="713">
        <f>'LAMPIRAN III DONE'!O130</f>
        <v>0</v>
      </c>
      <c r="E113" s="693" t="str">
        <f>'LAMPIRAN III DONE'!E204</f>
        <v>-</v>
      </c>
      <c r="F113" s="684"/>
      <c r="G113" s="711">
        <f>F113/100*D113</f>
        <v>0</v>
      </c>
      <c r="H113" s="684"/>
      <c r="I113" s="711">
        <f>H113/100*D113</f>
        <v>0</v>
      </c>
      <c r="J113" s="684">
        <f>(F113+H113)/2</f>
        <v>0</v>
      </c>
      <c r="K113" s="711">
        <f>(J113/100)*D113</f>
        <v>0</v>
      </c>
    </row>
    <row r="114" spans="1:11" ht="73.5" customHeight="1" x14ac:dyDescent="0.2">
      <c r="A114" s="631"/>
      <c r="B114" s="712" t="str">
        <f>IF('LAMPIRAN III DONE'!C131=0,"",'LAMPIRAN III DONE'!C131)</f>
        <v/>
      </c>
      <c r="C114" s="616"/>
      <c r="D114" s="631"/>
      <c r="E114" s="631"/>
      <c r="F114" s="631"/>
      <c r="G114" s="631"/>
      <c r="H114" s="631"/>
      <c r="I114" s="631"/>
      <c r="J114" s="631"/>
      <c r="K114" s="631"/>
    </row>
    <row r="115" spans="1:11" ht="15" customHeight="1" x14ac:dyDescent="0.2">
      <c r="A115" s="713">
        <v>50</v>
      </c>
      <c r="B115" s="712" t="str">
        <f>IF('LAMPIRAN III DONE'!C132=0,"",'LAMPIRAN III DONE'!C132)</f>
        <v/>
      </c>
      <c r="C115" s="616"/>
      <c r="D115" s="713">
        <f>'LAMPIRAN III DONE'!O132</f>
        <v>0</v>
      </c>
      <c r="E115" s="693">
        <f>'LAMPIRAN III DONE'!E208</f>
        <v>0</v>
      </c>
      <c r="F115" s="684"/>
      <c r="G115" s="711">
        <f>F115/100*D115</f>
        <v>0</v>
      </c>
      <c r="H115" s="684"/>
      <c r="I115" s="711">
        <f>H115/100*D115</f>
        <v>0</v>
      </c>
      <c r="J115" s="684">
        <f>(F115+H115)/2</f>
        <v>0</v>
      </c>
      <c r="K115" s="711">
        <f>(J115/100)*D115</f>
        <v>0</v>
      </c>
    </row>
    <row r="116" spans="1:11" ht="75.75" customHeight="1" x14ac:dyDescent="0.2">
      <c r="A116" s="631"/>
      <c r="B116" s="712" t="str">
        <f>IF('LAMPIRAN III DONE'!C133=0,"",'LAMPIRAN III DONE'!C133)</f>
        <v/>
      </c>
      <c r="C116" s="616"/>
      <c r="D116" s="631"/>
      <c r="E116" s="631"/>
      <c r="F116" s="631"/>
      <c r="G116" s="631"/>
      <c r="H116" s="631"/>
      <c r="I116" s="631"/>
      <c r="J116" s="631"/>
      <c r="K116" s="631"/>
    </row>
    <row r="117" spans="1:11" ht="21.75" customHeight="1" x14ac:dyDescent="0.2">
      <c r="A117" s="715" t="s">
        <v>888</v>
      </c>
      <c r="B117" s="615"/>
      <c r="C117" s="615"/>
      <c r="D117" s="451"/>
      <c r="E117" s="452"/>
      <c r="F117" s="453"/>
      <c r="G117" s="454"/>
      <c r="H117" s="453"/>
      <c r="I117" s="454"/>
      <c r="J117" s="453"/>
      <c r="K117" s="166"/>
    </row>
    <row r="118" spans="1:11" ht="30" customHeight="1" x14ac:dyDescent="0.2">
      <c r="A118" s="713">
        <v>51</v>
      </c>
      <c r="B118" s="712" t="str">
        <f>IF('LAMPIRAN III DONE'!C135=0,"",'LAMPIRAN III DONE'!C135)</f>
        <v/>
      </c>
      <c r="C118" s="616"/>
      <c r="D118" s="713">
        <f>'LAMPIRAN III DONE'!O135</f>
        <v>0</v>
      </c>
      <c r="E118" s="693">
        <f>'LAMPIRAN III DONE'!E208</f>
        <v>0</v>
      </c>
      <c r="F118" s="684"/>
      <c r="G118" s="711">
        <f>F118/100*D118</f>
        <v>0</v>
      </c>
      <c r="H118" s="684"/>
      <c r="I118" s="711">
        <f>H118/100*D118</f>
        <v>0</v>
      </c>
      <c r="J118" s="684">
        <f>(F118+H118)/2</f>
        <v>0</v>
      </c>
      <c r="K118" s="711">
        <f>(J118/100)*D118</f>
        <v>0</v>
      </c>
    </row>
    <row r="119" spans="1:11" ht="73.5" customHeight="1" x14ac:dyDescent="0.2">
      <c r="A119" s="631"/>
      <c r="B119" s="712" t="str">
        <f>IF('LAMPIRAN III DONE'!C136=0,"",'LAMPIRAN III DONE'!C136)</f>
        <v/>
      </c>
      <c r="C119" s="616"/>
      <c r="D119" s="631"/>
      <c r="E119" s="631"/>
      <c r="F119" s="631"/>
      <c r="G119" s="631"/>
      <c r="H119" s="631"/>
      <c r="I119" s="631"/>
      <c r="J119" s="631"/>
      <c r="K119" s="631"/>
    </row>
    <row r="120" spans="1:11" ht="15" customHeight="1" x14ac:dyDescent="0.2">
      <c r="A120" s="713">
        <v>52</v>
      </c>
      <c r="B120" s="712" t="str">
        <f>IF('LAMPIRAN III DONE'!C137=0,"",'LAMPIRAN III DONE'!C137)</f>
        <v/>
      </c>
      <c r="C120" s="616"/>
      <c r="D120" s="713">
        <f>'LAMPIRAN III DONE'!O137</f>
        <v>0</v>
      </c>
      <c r="E120" s="693">
        <f>'LAMPIRAN III DONE'!E212</f>
        <v>0</v>
      </c>
      <c r="F120" s="684"/>
      <c r="G120" s="711">
        <f>F120/100*D120</f>
        <v>0</v>
      </c>
      <c r="H120" s="684"/>
      <c r="I120" s="711">
        <f>H120/100*D120</f>
        <v>0</v>
      </c>
      <c r="J120" s="684">
        <f>(F120+H120)/2</f>
        <v>0</v>
      </c>
      <c r="K120" s="711">
        <f>(J120/100)*D120</f>
        <v>0</v>
      </c>
    </row>
    <row r="121" spans="1:11" ht="75.75" customHeight="1" x14ac:dyDescent="0.2">
      <c r="A121" s="631"/>
      <c r="B121" s="712" t="str">
        <f>IF('LAMPIRAN III DONE'!C138=0,"",'LAMPIRAN III DONE'!C138)</f>
        <v/>
      </c>
      <c r="C121" s="616"/>
      <c r="D121" s="631"/>
      <c r="E121" s="631"/>
      <c r="F121" s="631"/>
      <c r="G121" s="631"/>
      <c r="H121" s="631"/>
      <c r="I121" s="631"/>
      <c r="J121" s="631"/>
      <c r="K121" s="631"/>
    </row>
    <row r="122" spans="1:11" ht="30" customHeight="1" x14ac:dyDescent="0.2">
      <c r="A122" s="713">
        <v>53</v>
      </c>
      <c r="B122" s="712" t="str">
        <f>IF('LAMPIRAN III DONE'!C139=0,"",'LAMPIRAN III DONE'!C139)</f>
        <v/>
      </c>
      <c r="C122" s="616"/>
      <c r="D122" s="713">
        <f>'LAMPIRAN III DONE'!O139</f>
        <v>0</v>
      </c>
      <c r="E122" s="693" t="str">
        <f>'LAMPIRAN III DONE'!E166</f>
        <v>-</v>
      </c>
      <c r="F122" s="684"/>
      <c r="G122" s="711">
        <f>F122/100*D122</f>
        <v>0</v>
      </c>
      <c r="H122" s="684"/>
      <c r="I122" s="711">
        <f>H122/100*D122</f>
        <v>0</v>
      </c>
      <c r="J122" s="684">
        <f>(F122+H122)/2</f>
        <v>0</v>
      </c>
      <c r="K122" s="711">
        <f>(J122/100)*D122</f>
        <v>0</v>
      </c>
    </row>
    <row r="123" spans="1:11" ht="73.5" customHeight="1" x14ac:dyDescent="0.2">
      <c r="A123" s="631"/>
      <c r="B123" s="712" t="str">
        <f>IF('LAMPIRAN III DONE'!C140=0,"",'LAMPIRAN III DONE'!C140)</f>
        <v/>
      </c>
      <c r="C123" s="616"/>
      <c r="D123" s="631"/>
      <c r="E123" s="631"/>
      <c r="F123" s="631"/>
      <c r="G123" s="631"/>
      <c r="H123" s="631"/>
      <c r="I123" s="631"/>
      <c r="J123" s="631"/>
      <c r="K123" s="631"/>
    </row>
    <row r="124" spans="1:11" ht="15" customHeight="1" x14ac:dyDescent="0.2">
      <c r="A124" s="713">
        <v>54</v>
      </c>
      <c r="B124" s="712" t="str">
        <f>IF('LAMPIRAN III DONE'!C141=0,"",'LAMPIRAN III DONE'!C141)</f>
        <v/>
      </c>
      <c r="C124" s="616"/>
      <c r="D124" s="713">
        <f>'LAMPIRAN III DONE'!O141</f>
        <v>0</v>
      </c>
      <c r="E124" s="693" t="str">
        <f>'LAMPIRAN III DONE'!E170</f>
        <v>-</v>
      </c>
      <c r="F124" s="684"/>
      <c r="G124" s="711">
        <f>F124/100*D124</f>
        <v>0</v>
      </c>
      <c r="H124" s="684"/>
      <c r="I124" s="711">
        <f>H124/100*D124</f>
        <v>0</v>
      </c>
      <c r="J124" s="684">
        <f>(F124+H124)/2</f>
        <v>0</v>
      </c>
      <c r="K124" s="711">
        <f>(J124/100)*D124</f>
        <v>0</v>
      </c>
    </row>
    <row r="125" spans="1:11" ht="75.75" customHeight="1" x14ac:dyDescent="0.2">
      <c r="A125" s="631"/>
      <c r="B125" s="712" t="str">
        <f>IF('LAMPIRAN III DONE'!C142=0,"",'LAMPIRAN III DONE'!C142)</f>
        <v/>
      </c>
      <c r="C125" s="616"/>
      <c r="D125" s="631"/>
      <c r="E125" s="631"/>
      <c r="F125" s="631"/>
      <c r="G125" s="631"/>
      <c r="H125" s="631"/>
      <c r="I125" s="631"/>
      <c r="J125" s="631"/>
      <c r="K125" s="631"/>
    </row>
    <row r="126" spans="1:11" ht="30" customHeight="1" x14ac:dyDescent="0.2">
      <c r="A126" s="713">
        <v>55</v>
      </c>
      <c r="B126" s="712" t="str">
        <f>IF('LAMPIRAN III DONE'!C143=0,"",'LAMPIRAN III DONE'!C143)</f>
        <v/>
      </c>
      <c r="C126" s="616"/>
      <c r="D126" s="713">
        <f>'LAMPIRAN III DONE'!O143</f>
        <v>0</v>
      </c>
      <c r="E126" s="693" t="str">
        <f>'LAMPIRAN III DONE'!E170</f>
        <v>-</v>
      </c>
      <c r="F126" s="684"/>
      <c r="G126" s="711">
        <f>F126/100*D126</f>
        <v>0</v>
      </c>
      <c r="H126" s="684"/>
      <c r="I126" s="711">
        <f>H126/100*D126</f>
        <v>0</v>
      </c>
      <c r="J126" s="684">
        <f>(F126+H126)/2</f>
        <v>0</v>
      </c>
      <c r="K126" s="711">
        <f>(J126/100)*D126</f>
        <v>0</v>
      </c>
    </row>
    <row r="127" spans="1:11" ht="73.5" customHeight="1" x14ac:dyDescent="0.2">
      <c r="A127" s="631"/>
      <c r="B127" s="712" t="str">
        <f>IF('LAMPIRAN III DONE'!C144=0,"",'LAMPIRAN III DONE'!C144)</f>
        <v/>
      </c>
      <c r="C127" s="616"/>
      <c r="D127" s="631"/>
      <c r="E127" s="631"/>
      <c r="F127" s="631"/>
      <c r="G127" s="631"/>
      <c r="H127" s="631"/>
      <c r="I127" s="631"/>
      <c r="J127" s="631"/>
      <c r="K127" s="631"/>
    </row>
    <row r="128" spans="1:11" ht="21.75" customHeight="1" x14ac:dyDescent="0.2">
      <c r="A128" s="715" t="s">
        <v>890</v>
      </c>
      <c r="B128" s="615"/>
      <c r="C128" s="615"/>
      <c r="D128" s="451"/>
      <c r="E128" s="452"/>
      <c r="F128" s="453"/>
      <c r="G128" s="454"/>
      <c r="H128" s="453"/>
      <c r="I128" s="454"/>
      <c r="J128" s="453"/>
      <c r="K128" s="166"/>
    </row>
    <row r="129" spans="1:11" ht="15" customHeight="1" x14ac:dyDescent="0.2">
      <c r="A129" s="713">
        <v>56</v>
      </c>
      <c r="B129" s="712" t="str">
        <f>IF('LAMPIRAN III DONE'!C146=0,"",'LAMPIRAN III DONE'!C146)</f>
        <v/>
      </c>
      <c r="C129" s="616"/>
      <c r="D129" s="713">
        <f>'LAMPIRAN III DONE'!O146</f>
        <v>0</v>
      </c>
      <c r="E129" s="693">
        <f>'LAMPIRAN III DONE'!E192</f>
        <v>0</v>
      </c>
      <c r="F129" s="684"/>
      <c r="G129" s="711">
        <f>F129/100*D129</f>
        <v>0</v>
      </c>
      <c r="H129" s="684"/>
      <c r="I129" s="711">
        <f>H129/100*D129</f>
        <v>0</v>
      </c>
      <c r="J129" s="684">
        <f>(F129+H129)/2</f>
        <v>0</v>
      </c>
      <c r="K129" s="711">
        <f>(J129/100)*D129</f>
        <v>0</v>
      </c>
    </row>
    <row r="130" spans="1:11" ht="75.75" customHeight="1" x14ac:dyDescent="0.2">
      <c r="A130" s="631"/>
      <c r="B130" s="712" t="str">
        <f>IF('LAMPIRAN III DONE'!C147=0,"",'LAMPIRAN III DONE'!C147)</f>
        <v/>
      </c>
      <c r="C130" s="616"/>
      <c r="D130" s="631"/>
      <c r="E130" s="631"/>
      <c r="F130" s="631"/>
      <c r="G130" s="631"/>
      <c r="H130" s="631"/>
      <c r="I130" s="631"/>
      <c r="J130" s="631"/>
      <c r="K130" s="631"/>
    </row>
    <row r="131" spans="1:11" ht="30" customHeight="1" x14ac:dyDescent="0.2">
      <c r="A131" s="713">
        <v>57</v>
      </c>
      <c r="B131" s="712" t="str">
        <f>IF('LAMPIRAN III DONE'!C148=0,"",'LAMPIRAN III DONE'!C148)</f>
        <v/>
      </c>
      <c r="C131" s="616"/>
      <c r="D131" s="713">
        <f>'LAMPIRAN III DONE'!O148</f>
        <v>0</v>
      </c>
      <c r="E131" s="693">
        <f>'LAMPIRAN III DONE'!E192</f>
        <v>0</v>
      </c>
      <c r="F131" s="684"/>
      <c r="G131" s="711">
        <f>F131/100*D131</f>
        <v>0</v>
      </c>
      <c r="H131" s="684"/>
      <c r="I131" s="711">
        <f>H131/100*D131</f>
        <v>0</v>
      </c>
      <c r="J131" s="684">
        <f>(F131+H131)/2</f>
        <v>0</v>
      </c>
      <c r="K131" s="711">
        <f>(J131/100)*D131</f>
        <v>0</v>
      </c>
    </row>
    <row r="132" spans="1:11" ht="73.5" customHeight="1" x14ac:dyDescent="0.2">
      <c r="A132" s="631"/>
      <c r="B132" s="712" t="str">
        <f>IF('LAMPIRAN III DONE'!C149=0,"",'LAMPIRAN III DONE'!C149)</f>
        <v/>
      </c>
      <c r="C132" s="616"/>
      <c r="D132" s="631"/>
      <c r="E132" s="631"/>
      <c r="F132" s="631"/>
      <c r="G132" s="631"/>
      <c r="H132" s="631"/>
      <c r="I132" s="631"/>
      <c r="J132" s="631"/>
      <c r="K132" s="631"/>
    </row>
    <row r="133" spans="1:11" ht="15" customHeight="1" x14ac:dyDescent="0.2">
      <c r="A133" s="713">
        <v>58</v>
      </c>
      <c r="B133" s="712" t="str">
        <f>IF('LAMPIRAN III DONE'!C150=0,"",'LAMPIRAN III DONE'!C150)</f>
        <v/>
      </c>
      <c r="C133" s="616"/>
      <c r="D133" s="713">
        <f>'LAMPIRAN III DONE'!O150</f>
        <v>0</v>
      </c>
      <c r="E133" s="693" t="str">
        <f>'LAMPIRAN III DONE'!E204</f>
        <v>-</v>
      </c>
      <c r="F133" s="684"/>
      <c r="G133" s="711">
        <f>F133/100*D133</f>
        <v>0</v>
      </c>
      <c r="H133" s="684"/>
      <c r="I133" s="711">
        <f>H133/100*D133</f>
        <v>0</v>
      </c>
      <c r="J133" s="684">
        <f>(F133+H133)/2</f>
        <v>0</v>
      </c>
      <c r="K133" s="711">
        <f>(J133/100)*D133</f>
        <v>0</v>
      </c>
    </row>
    <row r="134" spans="1:11" ht="75.75" customHeight="1" x14ac:dyDescent="0.2">
      <c r="A134" s="631"/>
      <c r="B134" s="712" t="str">
        <f>IF('LAMPIRAN III DONE'!C151=0,"",'LAMPIRAN III DONE'!C151)</f>
        <v/>
      </c>
      <c r="C134" s="616"/>
      <c r="D134" s="631"/>
      <c r="E134" s="631"/>
      <c r="F134" s="631"/>
      <c r="G134" s="631"/>
      <c r="H134" s="631"/>
      <c r="I134" s="631"/>
      <c r="J134" s="631"/>
      <c r="K134" s="631"/>
    </row>
    <row r="135" spans="1:11" ht="30" customHeight="1" x14ac:dyDescent="0.2">
      <c r="A135" s="713">
        <v>59</v>
      </c>
      <c r="B135" s="712" t="str">
        <f>IF('LAMPIRAN III DONE'!C152=0,"",'LAMPIRAN III DONE'!C152)</f>
        <v/>
      </c>
      <c r="C135" s="616"/>
      <c r="D135" s="713">
        <f>'LAMPIRAN III DONE'!O152</f>
        <v>0</v>
      </c>
      <c r="E135" s="693" t="str">
        <f>'LAMPIRAN III DONE'!E204</f>
        <v>-</v>
      </c>
      <c r="F135" s="684"/>
      <c r="G135" s="711">
        <f>F135/100*D135</f>
        <v>0</v>
      </c>
      <c r="H135" s="684"/>
      <c r="I135" s="711">
        <f>H135/100*D135</f>
        <v>0</v>
      </c>
      <c r="J135" s="684">
        <f>(F135+H135)/2</f>
        <v>0</v>
      </c>
      <c r="K135" s="711">
        <f>(J135/100)*D135</f>
        <v>0</v>
      </c>
    </row>
    <row r="136" spans="1:11" ht="73.5" customHeight="1" x14ac:dyDescent="0.2">
      <c r="A136" s="631"/>
      <c r="B136" s="712" t="str">
        <f>IF('LAMPIRAN III DONE'!C153=0,"",'LAMPIRAN III DONE'!C153)</f>
        <v/>
      </c>
      <c r="C136" s="616"/>
      <c r="D136" s="631"/>
      <c r="E136" s="631"/>
      <c r="F136" s="631"/>
      <c r="G136" s="631"/>
      <c r="H136" s="631"/>
      <c r="I136" s="631"/>
      <c r="J136" s="631"/>
      <c r="K136" s="631"/>
    </row>
    <row r="137" spans="1:11" ht="15" customHeight="1" x14ac:dyDescent="0.2">
      <c r="A137" s="713">
        <v>60</v>
      </c>
      <c r="B137" s="712" t="str">
        <f>IF('LAMPIRAN III DONE'!C154=0,"",'LAMPIRAN III DONE'!C154)</f>
        <v/>
      </c>
      <c r="C137" s="616"/>
      <c r="D137" s="713">
        <f>'LAMPIRAN III DONE'!O154</f>
        <v>0</v>
      </c>
      <c r="E137" s="693">
        <f>'LAMPIRAN III DONE'!E208</f>
        <v>0</v>
      </c>
      <c r="F137" s="684"/>
      <c r="G137" s="711">
        <f>F137/100*D137</f>
        <v>0</v>
      </c>
      <c r="H137" s="684"/>
      <c r="I137" s="711">
        <f>H137/100*D137</f>
        <v>0</v>
      </c>
      <c r="J137" s="684">
        <f>(F137+H137)/2</f>
        <v>0</v>
      </c>
      <c r="K137" s="711">
        <f>(J137/100)*D137</f>
        <v>0</v>
      </c>
    </row>
    <row r="138" spans="1:11" ht="75.75" customHeight="1" x14ac:dyDescent="0.2">
      <c r="A138" s="631"/>
      <c r="B138" s="712" t="str">
        <f>IF('LAMPIRAN III DONE'!C155=0,"",'LAMPIRAN III DONE'!C155)</f>
        <v/>
      </c>
      <c r="C138" s="616"/>
      <c r="D138" s="631"/>
      <c r="E138" s="631"/>
      <c r="F138" s="631"/>
      <c r="G138" s="631"/>
      <c r="H138" s="631"/>
      <c r="I138" s="631"/>
      <c r="J138" s="631"/>
      <c r="K138" s="631"/>
    </row>
    <row r="139" spans="1:11" ht="15.75" customHeight="1" x14ac:dyDescent="0.25">
      <c r="A139" s="455"/>
      <c r="B139" s="456"/>
      <c r="C139" s="721" t="s">
        <v>53</v>
      </c>
      <c r="D139" s="721">
        <f>SUM(D12:D138)</f>
        <v>20</v>
      </c>
      <c r="E139" s="430"/>
      <c r="F139" s="457"/>
      <c r="G139" s="430"/>
      <c r="H139" s="430"/>
      <c r="I139" s="430"/>
      <c r="J139" s="430"/>
      <c r="K139" s="720">
        <f>SUM(K12:K138)</f>
        <v>0</v>
      </c>
    </row>
    <row r="140" spans="1:11" ht="15" customHeight="1" x14ac:dyDescent="0.25">
      <c r="A140" s="458"/>
      <c r="B140" s="459"/>
      <c r="C140" s="638"/>
      <c r="D140" s="638"/>
      <c r="E140" s="167"/>
      <c r="F140" s="460"/>
      <c r="G140" s="167"/>
      <c r="H140" s="167"/>
      <c r="I140" s="167"/>
      <c r="J140" s="167"/>
      <c r="K140" s="631"/>
    </row>
    <row r="141" spans="1:11" ht="15.75" customHeight="1" x14ac:dyDescent="0.25">
      <c r="A141" s="164"/>
      <c r="B141" s="4"/>
      <c r="C141" s="4"/>
      <c r="E141" s="4"/>
      <c r="F141" s="4"/>
      <c r="G141" s="4"/>
      <c r="H141" s="4"/>
      <c r="I141" s="4"/>
      <c r="J141" s="4"/>
      <c r="K141" s="4"/>
    </row>
    <row r="142" spans="1:11" ht="15.75" customHeight="1" x14ac:dyDescent="0.25">
      <c r="A142" s="164"/>
      <c r="B142" s="4"/>
      <c r="C142" s="4"/>
      <c r="E142" s="718" t="s">
        <v>1192</v>
      </c>
      <c r="F142" s="613"/>
      <c r="G142" s="613"/>
      <c r="H142" s="613"/>
      <c r="I142" s="613"/>
      <c r="J142" s="613"/>
      <c r="K142" s="613"/>
    </row>
    <row r="143" spans="1:11" ht="15.75" customHeight="1" x14ac:dyDescent="0.25">
      <c r="A143" s="164"/>
      <c r="B143" s="4"/>
      <c r="C143" s="4"/>
      <c r="E143" s="719" t="s">
        <v>1193</v>
      </c>
      <c r="F143" s="613"/>
      <c r="G143" s="613"/>
      <c r="H143" s="613"/>
      <c r="I143" s="613"/>
      <c r="J143" s="613"/>
      <c r="K143" s="613"/>
    </row>
    <row r="144" spans="1:11" ht="15.75" customHeight="1" x14ac:dyDescent="0.25">
      <c r="A144" s="164"/>
      <c r="B144" s="4"/>
      <c r="C144" s="4"/>
      <c r="E144" s="619" t="s">
        <v>1194</v>
      </c>
      <c r="F144" s="613"/>
      <c r="G144" s="613"/>
      <c r="H144" s="613"/>
      <c r="I144" s="613"/>
      <c r="J144" s="613"/>
      <c r="K144" s="613"/>
    </row>
    <row r="145" spans="1:11" ht="15.75" customHeight="1" x14ac:dyDescent="0.25">
      <c r="A145" s="164"/>
      <c r="B145" s="4"/>
      <c r="C145" s="4"/>
      <c r="E145" s="111"/>
      <c r="F145" s="111"/>
      <c r="G145" s="111"/>
      <c r="H145" s="111"/>
      <c r="I145" s="111"/>
      <c r="J145" s="111"/>
      <c r="K145" s="111"/>
    </row>
    <row r="146" spans="1:11" ht="15.75" customHeight="1" x14ac:dyDescent="0.25">
      <c r="A146" s="164"/>
      <c r="B146" s="4"/>
      <c r="C146" s="4"/>
    </row>
    <row r="147" spans="1:11" ht="8.25" customHeight="1" x14ac:dyDescent="0.25">
      <c r="A147" s="164"/>
      <c r="B147" s="4"/>
      <c r="C147" s="4"/>
    </row>
    <row r="148" spans="1:11" ht="15.75" customHeight="1" x14ac:dyDescent="0.25">
      <c r="A148" s="164"/>
      <c r="B148" s="4"/>
      <c r="C148" s="4"/>
    </row>
    <row r="149" spans="1:11" ht="15.75" customHeight="1" x14ac:dyDescent="0.25">
      <c r="A149" s="164"/>
      <c r="B149" s="4"/>
      <c r="C149" s="4"/>
      <c r="E149" s="619" t="s">
        <v>1195</v>
      </c>
      <c r="F149" s="613"/>
      <c r="G149" s="613"/>
      <c r="H149" s="613"/>
      <c r="I149" s="613"/>
      <c r="J149" s="613"/>
      <c r="K149" s="613"/>
    </row>
    <row r="150" spans="1:11" ht="15.75" customHeight="1" x14ac:dyDescent="0.25">
      <c r="A150" s="164"/>
      <c r="B150" s="4"/>
      <c r="C150" s="4"/>
      <c r="E150" s="2"/>
      <c r="F150" s="2"/>
      <c r="G150" s="2"/>
      <c r="H150" s="2"/>
      <c r="I150" s="2"/>
      <c r="J150" s="2"/>
      <c r="K150" s="2"/>
    </row>
    <row r="151" spans="1:11" ht="15.75" customHeight="1" x14ac:dyDescent="0.25">
      <c r="A151" s="164"/>
      <c r="B151" s="4"/>
      <c r="C151" s="4"/>
      <c r="E151" s="2"/>
      <c r="F151" s="2"/>
      <c r="G151" s="2"/>
      <c r="H151" s="2"/>
      <c r="I151" s="2"/>
      <c r="J151" s="2"/>
      <c r="K151" s="2"/>
    </row>
    <row r="152" spans="1:11" ht="15.75" customHeight="1" x14ac:dyDescent="0.25">
      <c r="A152" s="164"/>
      <c r="B152" s="4"/>
      <c r="C152" s="4"/>
    </row>
    <row r="153" spans="1:11" ht="15.75" customHeight="1" x14ac:dyDescent="0.25">
      <c r="A153" s="164"/>
      <c r="B153" s="4"/>
      <c r="C153" s="4"/>
    </row>
    <row r="154" spans="1:11" ht="15.75" customHeight="1" x14ac:dyDescent="0.25">
      <c r="A154" s="164"/>
      <c r="B154" s="4"/>
      <c r="C154" s="4"/>
    </row>
    <row r="155" spans="1:11" ht="15.75" customHeight="1" x14ac:dyDescent="0.25">
      <c r="A155" s="164"/>
      <c r="B155" s="4"/>
      <c r="C155" s="4"/>
    </row>
    <row r="156" spans="1:11" ht="15.75" customHeight="1" x14ac:dyDescent="0.25">
      <c r="A156" s="164"/>
      <c r="B156" s="4"/>
      <c r="C156" s="4"/>
      <c r="E156" s="2"/>
      <c r="F156" s="2"/>
      <c r="G156" s="2"/>
      <c r="H156" s="2"/>
      <c r="I156" s="2"/>
      <c r="J156" s="2"/>
      <c r="K156" s="2"/>
    </row>
    <row r="157" spans="1:11" ht="15.75" customHeight="1" x14ac:dyDescent="0.25">
      <c r="A157" s="164"/>
      <c r="B157" s="4"/>
      <c r="C157" s="4"/>
      <c r="E157" s="2"/>
      <c r="F157" s="2"/>
      <c r="G157" s="2"/>
      <c r="H157" s="2"/>
      <c r="I157" s="2"/>
      <c r="J157" s="2"/>
      <c r="K157" s="2"/>
    </row>
    <row r="158" spans="1:11" ht="15.75" customHeight="1" x14ac:dyDescent="0.25">
      <c r="A158" s="164"/>
      <c r="B158" s="4"/>
      <c r="C158" s="4"/>
      <c r="E158" s="2"/>
      <c r="F158" s="2"/>
      <c r="G158" s="2"/>
      <c r="H158" s="2"/>
      <c r="I158" s="2"/>
      <c r="J158" s="2"/>
      <c r="K158" s="2"/>
    </row>
    <row r="159" spans="1:11" ht="15.75" customHeight="1" x14ac:dyDescent="0.25">
      <c r="A159" s="164"/>
      <c r="B159" s="4"/>
      <c r="C159" s="4"/>
      <c r="E159" s="2"/>
      <c r="F159" s="2"/>
      <c r="G159" s="2"/>
      <c r="H159" s="2"/>
      <c r="I159" s="2"/>
      <c r="J159" s="2"/>
      <c r="K159" s="2"/>
    </row>
    <row r="160" spans="1:11" ht="15.75" customHeight="1" x14ac:dyDescent="0.25">
      <c r="A160" s="164"/>
      <c r="B160" s="4"/>
      <c r="C160" s="4"/>
      <c r="E160" s="2"/>
      <c r="F160" s="2"/>
      <c r="G160" s="2"/>
      <c r="H160" s="2"/>
      <c r="I160" s="2"/>
      <c r="J160" s="2"/>
      <c r="K160" s="2"/>
    </row>
    <row r="161" spans="1:11" ht="15.75" customHeight="1" x14ac:dyDescent="0.25">
      <c r="A161" s="164"/>
      <c r="B161" s="4"/>
      <c r="C161" s="4"/>
      <c r="E161" s="2"/>
      <c r="F161" s="2"/>
      <c r="G161" s="2"/>
      <c r="H161" s="2"/>
      <c r="I161" s="2"/>
      <c r="J161" s="2"/>
      <c r="K161" s="2"/>
    </row>
    <row r="162" spans="1:11" ht="15.75" customHeight="1" x14ac:dyDescent="0.25">
      <c r="A162" s="164"/>
      <c r="B162" s="4"/>
      <c r="C162" s="4"/>
      <c r="E162" s="2"/>
      <c r="F162" s="2"/>
      <c r="G162" s="2"/>
      <c r="H162" s="2"/>
      <c r="I162" s="2"/>
      <c r="J162" s="2"/>
      <c r="K162" s="2"/>
    </row>
    <row r="163" spans="1:11" ht="15.75" customHeight="1" x14ac:dyDescent="0.25">
      <c r="A163" s="164"/>
      <c r="B163" s="4"/>
      <c r="C163" s="4"/>
      <c r="E163" s="2"/>
      <c r="F163" s="2"/>
      <c r="G163" s="2"/>
      <c r="H163" s="2"/>
      <c r="I163" s="2"/>
      <c r="J163" s="2"/>
      <c r="K163" s="2"/>
    </row>
    <row r="164" spans="1:11" ht="15.75" customHeight="1" x14ac:dyDescent="0.25">
      <c r="A164" s="164"/>
      <c r="B164" s="4"/>
      <c r="C164" s="4"/>
      <c r="E164" s="2"/>
      <c r="F164" s="2"/>
      <c r="G164" s="2"/>
      <c r="H164" s="2"/>
      <c r="I164" s="2"/>
      <c r="J164" s="2"/>
      <c r="K164" s="2"/>
    </row>
    <row r="165" spans="1:11" ht="15.75" customHeight="1" x14ac:dyDescent="0.25">
      <c r="A165" s="164"/>
      <c r="B165" s="4"/>
      <c r="C165" s="4"/>
      <c r="E165" s="2"/>
      <c r="F165" s="2"/>
      <c r="G165" s="2"/>
      <c r="H165" s="2"/>
      <c r="I165" s="2"/>
      <c r="J165" s="2"/>
      <c r="K165" s="2"/>
    </row>
    <row r="166" spans="1:11" ht="15.75" customHeight="1" x14ac:dyDescent="0.25">
      <c r="A166" s="164"/>
      <c r="B166" s="4"/>
      <c r="C166" s="4"/>
      <c r="E166" s="2"/>
      <c r="F166" s="2"/>
      <c r="G166" s="2"/>
      <c r="H166" s="2"/>
      <c r="I166" s="2"/>
      <c r="J166" s="2"/>
      <c r="K166" s="2"/>
    </row>
    <row r="167" spans="1:11" ht="15.75" customHeight="1" x14ac:dyDescent="0.25">
      <c r="A167" s="164"/>
      <c r="B167" s="4"/>
      <c r="C167" s="4"/>
      <c r="E167" s="2"/>
      <c r="F167" s="2"/>
      <c r="G167" s="2"/>
      <c r="H167" s="2"/>
      <c r="I167" s="2"/>
      <c r="J167" s="2"/>
      <c r="K167" s="2"/>
    </row>
    <row r="168" spans="1:11" ht="15.75" customHeight="1" x14ac:dyDescent="0.25">
      <c r="A168" s="164"/>
      <c r="B168" s="4"/>
      <c r="C168" s="4"/>
      <c r="E168" s="2"/>
      <c r="F168" s="2"/>
      <c r="G168" s="2"/>
      <c r="H168" s="2"/>
      <c r="I168" s="2"/>
      <c r="J168" s="2"/>
      <c r="K168" s="2"/>
    </row>
    <row r="169" spans="1:11" ht="15.75" customHeight="1" x14ac:dyDescent="0.25">
      <c r="A169" s="164"/>
      <c r="B169" s="4"/>
      <c r="C169" s="4"/>
      <c r="E169" s="2"/>
      <c r="F169" s="2"/>
      <c r="G169" s="2"/>
      <c r="H169" s="2"/>
      <c r="I169" s="2"/>
      <c r="J169" s="2"/>
      <c r="K169" s="2"/>
    </row>
    <row r="170" spans="1:11" ht="15.75" customHeight="1" x14ac:dyDescent="0.25">
      <c r="A170" s="164"/>
      <c r="B170" s="4"/>
      <c r="C170" s="4"/>
      <c r="E170" s="2"/>
      <c r="F170" s="2"/>
      <c r="G170" s="2"/>
      <c r="H170" s="2"/>
      <c r="I170" s="2"/>
      <c r="J170" s="2"/>
      <c r="K170" s="2"/>
    </row>
    <row r="171" spans="1:11" ht="15.75" customHeight="1" x14ac:dyDescent="0.25">
      <c r="A171" s="164"/>
      <c r="B171" s="4"/>
      <c r="C171" s="4"/>
      <c r="E171" s="2"/>
      <c r="F171" s="2"/>
      <c r="G171" s="2"/>
      <c r="H171" s="2"/>
      <c r="I171" s="2"/>
      <c r="J171" s="2"/>
      <c r="K171" s="2"/>
    </row>
    <row r="172" spans="1:11" ht="15.75" customHeight="1" x14ac:dyDescent="0.25">
      <c r="A172" s="164"/>
      <c r="B172" s="4"/>
      <c r="C172" s="4"/>
      <c r="E172" s="2"/>
      <c r="F172" s="2"/>
      <c r="G172" s="2"/>
      <c r="H172" s="2"/>
      <c r="I172" s="2"/>
      <c r="J172" s="2"/>
      <c r="K172" s="2"/>
    </row>
    <row r="173" spans="1:11" ht="15.75" customHeight="1" x14ac:dyDescent="0.25">
      <c r="A173" s="164"/>
      <c r="B173" s="4"/>
      <c r="C173" s="4"/>
      <c r="E173" s="2"/>
      <c r="F173" s="2"/>
      <c r="G173" s="2"/>
      <c r="H173" s="2"/>
      <c r="I173" s="2"/>
      <c r="J173" s="2"/>
      <c r="K173" s="2"/>
    </row>
    <row r="174" spans="1:11" ht="15.75" customHeight="1" x14ac:dyDescent="0.25">
      <c r="A174" s="164"/>
      <c r="B174" s="4"/>
      <c r="C174" s="4"/>
      <c r="E174" s="2"/>
      <c r="F174" s="2"/>
      <c r="G174" s="2"/>
      <c r="H174" s="2"/>
      <c r="I174" s="2"/>
      <c r="J174" s="2"/>
      <c r="K174" s="2"/>
    </row>
    <row r="175" spans="1:11" ht="15.75" customHeight="1" x14ac:dyDescent="0.25">
      <c r="A175" s="164"/>
      <c r="B175" s="4"/>
      <c r="C175" s="4"/>
      <c r="E175" s="2"/>
      <c r="F175" s="2"/>
      <c r="G175" s="2"/>
      <c r="H175" s="2"/>
      <c r="I175" s="2"/>
      <c r="J175" s="2"/>
      <c r="K175" s="2"/>
    </row>
    <row r="176" spans="1:11" ht="15.75" customHeight="1" x14ac:dyDescent="0.25">
      <c r="A176" s="164"/>
      <c r="B176" s="4"/>
      <c r="C176" s="4"/>
      <c r="E176" s="2"/>
      <c r="F176" s="2"/>
      <c r="G176" s="2"/>
      <c r="H176" s="2"/>
      <c r="I176" s="2"/>
      <c r="J176" s="2"/>
      <c r="K176" s="2"/>
    </row>
    <row r="177" spans="1:11" ht="15.75" customHeight="1" x14ac:dyDescent="0.25">
      <c r="A177" s="164"/>
      <c r="B177" s="4"/>
      <c r="C177" s="4"/>
      <c r="E177" s="2"/>
      <c r="F177" s="2"/>
      <c r="G177" s="2"/>
      <c r="H177" s="2"/>
      <c r="I177" s="2"/>
      <c r="J177" s="2"/>
      <c r="K177" s="2"/>
    </row>
    <row r="178" spans="1:11" ht="15.75" customHeight="1" x14ac:dyDescent="0.25">
      <c r="A178" s="164"/>
      <c r="B178" s="4"/>
      <c r="C178" s="4"/>
      <c r="E178" s="2"/>
      <c r="F178" s="2"/>
      <c r="G178" s="2"/>
      <c r="H178" s="2"/>
      <c r="I178" s="2"/>
      <c r="J178" s="2"/>
      <c r="K178" s="2"/>
    </row>
    <row r="179" spans="1:11" ht="15.75" customHeight="1" x14ac:dyDescent="0.25">
      <c r="A179" s="164"/>
      <c r="B179" s="4"/>
      <c r="C179" s="4"/>
      <c r="E179" s="2"/>
      <c r="F179" s="2"/>
      <c r="G179" s="2"/>
      <c r="H179" s="2"/>
      <c r="I179" s="2"/>
      <c r="J179" s="2"/>
      <c r="K179" s="2"/>
    </row>
    <row r="180" spans="1:11" ht="15.75" customHeight="1" x14ac:dyDescent="0.25">
      <c r="A180" s="164"/>
      <c r="B180" s="4"/>
      <c r="C180" s="4"/>
      <c r="E180" s="2"/>
      <c r="F180" s="2"/>
      <c r="G180" s="2"/>
      <c r="H180" s="2"/>
      <c r="I180" s="2"/>
      <c r="J180" s="2"/>
      <c r="K180" s="2"/>
    </row>
    <row r="181" spans="1:11" ht="15.75" customHeight="1" x14ac:dyDescent="0.25">
      <c r="A181" s="164"/>
      <c r="B181" s="4"/>
      <c r="C181" s="4"/>
      <c r="E181" s="2"/>
      <c r="F181" s="2"/>
      <c r="G181" s="2"/>
      <c r="H181" s="2"/>
      <c r="I181" s="2"/>
      <c r="J181" s="2"/>
      <c r="K181" s="2"/>
    </row>
    <row r="182" spans="1:11" ht="15.75" customHeight="1" x14ac:dyDescent="0.25">
      <c r="A182" s="164"/>
      <c r="B182" s="4"/>
      <c r="C182" s="4"/>
      <c r="E182" s="2"/>
      <c r="F182" s="2"/>
      <c r="G182" s="2"/>
      <c r="H182" s="2"/>
      <c r="I182" s="2"/>
      <c r="J182" s="2"/>
      <c r="K182" s="2"/>
    </row>
    <row r="183" spans="1:11" ht="15.75" customHeight="1" x14ac:dyDescent="0.25">
      <c r="A183" s="164"/>
      <c r="B183" s="4"/>
      <c r="C183" s="4"/>
      <c r="E183" s="2"/>
      <c r="F183" s="2"/>
      <c r="G183" s="2"/>
      <c r="H183" s="2"/>
      <c r="I183" s="2"/>
      <c r="J183" s="2"/>
      <c r="K183" s="2"/>
    </row>
    <row r="184" spans="1:11" ht="15.75" customHeight="1" x14ac:dyDescent="0.25">
      <c r="A184" s="164"/>
      <c r="B184" s="4"/>
      <c r="C184" s="4"/>
      <c r="E184" s="2"/>
      <c r="F184" s="2"/>
      <c r="G184" s="2"/>
      <c r="H184" s="2"/>
      <c r="I184" s="2"/>
      <c r="J184" s="2"/>
      <c r="K184" s="2"/>
    </row>
    <row r="185" spans="1:11" ht="15.75" customHeight="1" x14ac:dyDescent="0.25">
      <c r="A185" s="164"/>
      <c r="B185" s="4"/>
      <c r="C185" s="4"/>
      <c r="E185" s="2"/>
      <c r="F185" s="2"/>
      <c r="G185" s="2"/>
      <c r="H185" s="2"/>
      <c r="I185" s="2"/>
      <c r="J185" s="2"/>
      <c r="K185" s="2"/>
    </row>
    <row r="186" spans="1:11" ht="15.75" customHeight="1" x14ac:dyDescent="0.25">
      <c r="A186" s="164"/>
      <c r="B186" s="4"/>
      <c r="C186" s="4"/>
      <c r="E186" s="2"/>
      <c r="F186" s="2"/>
      <c r="G186" s="2"/>
      <c r="H186" s="2"/>
      <c r="I186" s="2"/>
      <c r="J186" s="2"/>
      <c r="K186" s="2"/>
    </row>
    <row r="187" spans="1:11" ht="15.75" customHeight="1" x14ac:dyDescent="0.25">
      <c r="A187" s="164"/>
      <c r="B187" s="4"/>
      <c r="C187" s="4"/>
      <c r="E187" s="2"/>
      <c r="F187" s="2"/>
      <c r="G187" s="2"/>
      <c r="H187" s="2"/>
      <c r="I187" s="2"/>
      <c r="J187" s="2"/>
      <c r="K187" s="2"/>
    </row>
    <row r="188" spans="1:11" ht="15.75" customHeight="1" x14ac:dyDescent="0.25">
      <c r="A188" s="164"/>
      <c r="B188" s="4"/>
      <c r="C188" s="4"/>
      <c r="E188" s="2"/>
      <c r="F188" s="2"/>
      <c r="G188" s="2"/>
      <c r="H188" s="2"/>
      <c r="I188" s="2"/>
      <c r="J188" s="2"/>
      <c r="K188" s="2"/>
    </row>
    <row r="189" spans="1:11" ht="15.75" customHeight="1" x14ac:dyDescent="0.25">
      <c r="A189" s="164"/>
      <c r="B189" s="4"/>
      <c r="C189" s="4"/>
      <c r="E189" s="2"/>
      <c r="F189" s="2"/>
      <c r="G189" s="2"/>
      <c r="H189" s="2"/>
      <c r="I189" s="2"/>
      <c r="J189" s="2"/>
      <c r="K189" s="2"/>
    </row>
    <row r="190" spans="1:11" ht="15.75" customHeight="1" x14ac:dyDescent="0.25">
      <c r="A190" s="164"/>
      <c r="B190" s="4"/>
      <c r="C190" s="4"/>
      <c r="E190" s="2"/>
      <c r="F190" s="2"/>
      <c r="G190" s="2"/>
      <c r="H190" s="2"/>
      <c r="I190" s="2"/>
      <c r="J190" s="2"/>
      <c r="K190" s="2"/>
    </row>
    <row r="191" spans="1:11" ht="15.75" customHeight="1" x14ac:dyDescent="0.25">
      <c r="A191" s="164"/>
      <c r="B191" s="4"/>
      <c r="C191" s="4"/>
      <c r="E191" s="2"/>
      <c r="F191" s="2"/>
      <c r="G191" s="2"/>
      <c r="H191" s="2"/>
      <c r="I191" s="2"/>
      <c r="J191" s="2"/>
      <c r="K191" s="2"/>
    </row>
    <row r="192" spans="1:11" ht="15.75" customHeight="1" x14ac:dyDescent="0.25">
      <c r="A192" s="164"/>
      <c r="B192" s="4"/>
      <c r="C192" s="4"/>
      <c r="E192" s="2"/>
      <c r="F192" s="2"/>
      <c r="G192" s="2"/>
      <c r="H192" s="2"/>
      <c r="I192" s="2"/>
      <c r="J192" s="2"/>
      <c r="K192" s="2"/>
    </row>
    <row r="193" spans="1:11" ht="15.75" customHeight="1" x14ac:dyDescent="0.25">
      <c r="A193" s="164"/>
      <c r="B193" s="4"/>
      <c r="C193" s="4"/>
      <c r="E193" s="2"/>
      <c r="F193" s="2"/>
      <c r="G193" s="2"/>
      <c r="H193" s="2"/>
      <c r="I193" s="2"/>
      <c r="J193" s="2"/>
      <c r="K193" s="2"/>
    </row>
    <row r="194" spans="1:11" ht="15.75" customHeight="1" x14ac:dyDescent="0.25">
      <c r="A194" s="164"/>
      <c r="B194" s="4"/>
      <c r="C194" s="4"/>
      <c r="E194" s="2"/>
      <c r="F194" s="2"/>
      <c r="G194" s="2"/>
      <c r="H194" s="2"/>
      <c r="I194" s="2"/>
      <c r="J194" s="2"/>
      <c r="K194" s="2"/>
    </row>
    <row r="195" spans="1:11" ht="15.75" customHeight="1" x14ac:dyDescent="0.25">
      <c r="A195" s="164"/>
      <c r="B195" s="4"/>
      <c r="C195" s="4"/>
      <c r="E195" s="2"/>
      <c r="F195" s="2"/>
      <c r="G195" s="2"/>
      <c r="H195" s="2"/>
      <c r="I195" s="2"/>
      <c r="J195" s="2"/>
      <c r="K195" s="2"/>
    </row>
    <row r="196" spans="1:11" ht="15.75" customHeight="1" x14ac:dyDescent="0.25">
      <c r="A196" s="164"/>
      <c r="B196" s="4"/>
      <c r="C196" s="4"/>
      <c r="E196" s="2"/>
      <c r="F196" s="2"/>
      <c r="G196" s="2"/>
      <c r="H196" s="2"/>
      <c r="I196" s="2"/>
      <c r="J196" s="2"/>
      <c r="K196" s="2"/>
    </row>
    <row r="197" spans="1:11" ht="15.75" customHeight="1" x14ac:dyDescent="0.25">
      <c r="A197" s="164"/>
      <c r="B197" s="4"/>
      <c r="C197" s="4"/>
      <c r="E197" s="2"/>
      <c r="F197" s="2"/>
      <c r="G197" s="2"/>
      <c r="H197" s="2"/>
      <c r="I197" s="2"/>
      <c r="J197" s="2"/>
      <c r="K197" s="2"/>
    </row>
    <row r="198" spans="1:11" ht="15.75" customHeight="1" x14ac:dyDescent="0.25">
      <c r="A198" s="164"/>
      <c r="B198" s="4"/>
      <c r="C198" s="4"/>
      <c r="E198" s="2"/>
      <c r="F198" s="2"/>
      <c r="G198" s="2"/>
      <c r="H198" s="2"/>
      <c r="I198" s="2"/>
      <c r="J198" s="2"/>
      <c r="K198" s="2"/>
    </row>
    <row r="199" spans="1:11" ht="15.75" customHeight="1" x14ac:dyDescent="0.25">
      <c r="A199" s="164"/>
      <c r="B199" s="4"/>
      <c r="C199" s="4"/>
      <c r="E199" s="2"/>
      <c r="F199" s="2"/>
      <c r="G199" s="2"/>
      <c r="H199" s="2"/>
      <c r="I199" s="2"/>
      <c r="J199" s="2"/>
      <c r="K199" s="2"/>
    </row>
    <row r="200" spans="1:11" ht="15.75" customHeight="1" x14ac:dyDescent="0.25">
      <c r="A200" s="164"/>
      <c r="B200" s="4"/>
      <c r="C200" s="4"/>
      <c r="E200" s="2"/>
      <c r="F200" s="2"/>
      <c r="G200" s="2"/>
      <c r="H200" s="2"/>
      <c r="I200" s="2"/>
      <c r="J200" s="2"/>
      <c r="K200" s="2"/>
    </row>
    <row r="201" spans="1:11" ht="15.75" customHeight="1" x14ac:dyDescent="0.25">
      <c r="A201" s="164"/>
      <c r="B201" s="4"/>
      <c r="C201" s="4"/>
      <c r="E201" s="2"/>
      <c r="F201" s="2"/>
      <c r="G201" s="2"/>
      <c r="H201" s="2"/>
      <c r="I201" s="2"/>
      <c r="J201" s="2"/>
      <c r="K201" s="2"/>
    </row>
    <row r="202" spans="1:11" ht="15.75" customHeight="1" x14ac:dyDescent="0.25">
      <c r="A202" s="164"/>
      <c r="B202" s="4"/>
      <c r="C202" s="4"/>
      <c r="E202" s="2"/>
      <c r="F202" s="2"/>
      <c r="G202" s="2"/>
      <c r="H202" s="2"/>
      <c r="I202" s="2"/>
      <c r="J202" s="2"/>
      <c r="K202" s="2"/>
    </row>
    <row r="203" spans="1:11" ht="15.75" customHeight="1" x14ac:dyDescent="0.25">
      <c r="A203" s="164"/>
      <c r="B203" s="4"/>
      <c r="C203" s="4"/>
      <c r="E203" s="2"/>
      <c r="F203" s="2"/>
      <c r="G203" s="2"/>
      <c r="H203" s="2"/>
      <c r="I203" s="2"/>
      <c r="J203" s="2"/>
      <c r="K203" s="2"/>
    </row>
    <row r="204" spans="1:11" ht="15.75" customHeight="1" x14ac:dyDescent="0.25">
      <c r="A204" s="164"/>
      <c r="B204" s="4"/>
      <c r="C204" s="4"/>
      <c r="E204" s="2"/>
      <c r="F204" s="2"/>
      <c r="G204" s="2"/>
      <c r="H204" s="2"/>
      <c r="I204" s="2"/>
      <c r="J204" s="2"/>
      <c r="K204" s="2"/>
    </row>
    <row r="205" spans="1:11" ht="15.75" customHeight="1" x14ac:dyDescent="0.25">
      <c r="A205" s="164"/>
      <c r="B205" s="4"/>
      <c r="C205" s="4"/>
      <c r="E205" s="2"/>
      <c r="F205" s="2"/>
      <c r="G205" s="2"/>
      <c r="H205" s="2"/>
      <c r="I205" s="2"/>
      <c r="J205" s="2"/>
      <c r="K205" s="2"/>
    </row>
    <row r="206" spans="1:11" ht="15.75" customHeight="1" x14ac:dyDescent="0.25">
      <c r="A206" s="164"/>
      <c r="B206" s="4"/>
      <c r="C206" s="4"/>
      <c r="E206" s="2"/>
      <c r="F206" s="2"/>
      <c r="G206" s="2"/>
      <c r="H206" s="2"/>
      <c r="I206" s="2"/>
      <c r="J206" s="2"/>
      <c r="K206" s="2"/>
    </row>
    <row r="207" spans="1:11" ht="15.75" customHeight="1" x14ac:dyDescent="0.25">
      <c r="A207" s="164"/>
      <c r="B207" s="4"/>
      <c r="C207" s="4"/>
      <c r="E207" s="2"/>
      <c r="F207" s="2"/>
      <c r="G207" s="2"/>
      <c r="H207" s="2"/>
      <c r="I207" s="2"/>
      <c r="J207" s="2"/>
      <c r="K207" s="2"/>
    </row>
    <row r="208" spans="1:11" ht="15.75" customHeight="1" x14ac:dyDescent="0.25">
      <c r="A208" s="164"/>
      <c r="B208" s="4"/>
      <c r="C208" s="4"/>
      <c r="E208" s="2"/>
      <c r="F208" s="2"/>
      <c r="G208" s="2"/>
      <c r="H208" s="2"/>
      <c r="I208" s="2"/>
      <c r="J208" s="2"/>
      <c r="K208" s="2"/>
    </row>
    <row r="209" spans="1:11" ht="15.75" customHeight="1" x14ac:dyDescent="0.25">
      <c r="A209" s="164"/>
      <c r="B209" s="4"/>
      <c r="C209" s="4"/>
      <c r="E209" s="2"/>
      <c r="F209" s="2"/>
      <c r="G209" s="2"/>
      <c r="H209" s="2"/>
      <c r="I209" s="2"/>
      <c r="J209" s="2"/>
      <c r="K209" s="2"/>
    </row>
    <row r="210" spans="1:11" ht="15.75" customHeight="1" x14ac:dyDescent="0.25">
      <c r="A210" s="164"/>
      <c r="B210" s="4"/>
      <c r="C210" s="4"/>
      <c r="E210" s="2"/>
      <c r="F210" s="2"/>
      <c r="G210" s="2"/>
      <c r="H210" s="2"/>
      <c r="I210" s="2"/>
      <c r="J210" s="2"/>
      <c r="K210" s="2"/>
    </row>
    <row r="211" spans="1:11" ht="15.75" customHeight="1" x14ac:dyDescent="0.25">
      <c r="A211" s="164"/>
      <c r="B211" s="4"/>
      <c r="C211" s="4"/>
      <c r="E211" s="2"/>
      <c r="F211" s="2"/>
      <c r="G211" s="2"/>
      <c r="H211" s="2"/>
      <c r="I211" s="2"/>
      <c r="J211" s="2"/>
      <c r="K211" s="2"/>
    </row>
    <row r="212" spans="1:11" ht="15.75" customHeight="1" x14ac:dyDescent="0.25">
      <c r="A212" s="164"/>
      <c r="B212" s="4"/>
      <c r="C212" s="4"/>
      <c r="E212" s="2"/>
      <c r="F212" s="2"/>
      <c r="G212" s="2"/>
      <c r="H212" s="2"/>
      <c r="I212" s="2"/>
      <c r="J212" s="2"/>
      <c r="K212" s="2"/>
    </row>
    <row r="213" spans="1:11" ht="15.75" customHeight="1" x14ac:dyDescent="0.25">
      <c r="A213" s="164"/>
      <c r="B213" s="4"/>
      <c r="C213" s="4"/>
      <c r="E213" s="2"/>
      <c r="F213" s="2"/>
      <c r="G213" s="2"/>
      <c r="H213" s="2"/>
      <c r="I213" s="2"/>
      <c r="J213" s="2"/>
      <c r="K213" s="2"/>
    </row>
    <row r="214" spans="1:11" ht="15.75" customHeight="1" x14ac:dyDescent="0.25">
      <c r="A214" s="164"/>
      <c r="B214" s="4"/>
      <c r="C214" s="4"/>
      <c r="E214" s="2"/>
      <c r="F214" s="2"/>
      <c r="G214" s="2"/>
      <c r="H214" s="2"/>
      <c r="I214" s="2"/>
      <c r="J214" s="2"/>
      <c r="K214" s="2"/>
    </row>
    <row r="215" spans="1:11" ht="15.75" customHeight="1" x14ac:dyDescent="0.25">
      <c r="A215" s="164"/>
      <c r="B215" s="4"/>
      <c r="C215" s="4"/>
      <c r="E215" s="2"/>
      <c r="F215" s="2"/>
      <c r="G215" s="2"/>
      <c r="H215" s="2"/>
      <c r="I215" s="2"/>
      <c r="J215" s="2"/>
      <c r="K215" s="2"/>
    </row>
    <row r="216" spans="1:11" ht="15.75" customHeight="1" x14ac:dyDescent="0.25">
      <c r="A216" s="164"/>
      <c r="B216" s="4"/>
      <c r="C216" s="4"/>
      <c r="E216" s="2"/>
      <c r="F216" s="2"/>
      <c r="G216" s="2"/>
      <c r="H216" s="2"/>
      <c r="I216" s="2"/>
      <c r="J216" s="2"/>
      <c r="K216" s="2"/>
    </row>
    <row r="217" spans="1:11" ht="15.75" customHeight="1" x14ac:dyDescent="0.25">
      <c r="A217" s="164"/>
      <c r="B217" s="4"/>
      <c r="C217" s="4"/>
      <c r="E217" s="2"/>
      <c r="F217" s="2"/>
      <c r="G217" s="2"/>
      <c r="H217" s="2"/>
      <c r="I217" s="2"/>
      <c r="J217" s="2"/>
      <c r="K217" s="2"/>
    </row>
    <row r="218" spans="1:11" ht="15.75" customHeight="1" x14ac:dyDescent="0.25">
      <c r="A218" s="164"/>
      <c r="B218" s="4"/>
      <c r="C218" s="4"/>
      <c r="E218" s="2"/>
      <c r="F218" s="2"/>
      <c r="G218" s="2"/>
      <c r="H218" s="2"/>
      <c r="I218" s="2"/>
      <c r="J218" s="2"/>
      <c r="K218" s="2"/>
    </row>
    <row r="219" spans="1:11" ht="15.75" customHeight="1" x14ac:dyDescent="0.25">
      <c r="A219" s="164"/>
      <c r="B219" s="4"/>
      <c r="C219" s="4"/>
      <c r="E219" s="2"/>
      <c r="F219" s="2"/>
      <c r="G219" s="2"/>
      <c r="H219" s="2"/>
      <c r="I219" s="2"/>
      <c r="J219" s="2"/>
      <c r="K219" s="2"/>
    </row>
    <row r="220" spans="1:11" ht="15.75" customHeight="1" x14ac:dyDescent="0.25">
      <c r="A220" s="164"/>
      <c r="B220" s="4"/>
      <c r="C220" s="4"/>
      <c r="E220" s="2"/>
      <c r="F220" s="2"/>
      <c r="G220" s="2"/>
      <c r="H220" s="2"/>
      <c r="I220" s="2"/>
      <c r="J220" s="2"/>
      <c r="K220" s="2"/>
    </row>
    <row r="221" spans="1:11" ht="15.75" customHeight="1" x14ac:dyDescent="0.25">
      <c r="A221" s="164"/>
      <c r="B221" s="4"/>
      <c r="C221" s="4"/>
      <c r="E221" s="2"/>
      <c r="F221" s="2"/>
      <c r="G221" s="2"/>
      <c r="H221" s="2"/>
      <c r="I221" s="2"/>
      <c r="J221" s="2"/>
      <c r="K221" s="2"/>
    </row>
    <row r="222" spans="1:11" ht="15.75" customHeight="1" x14ac:dyDescent="0.25">
      <c r="A222" s="164"/>
      <c r="B222" s="4"/>
      <c r="C222" s="4"/>
      <c r="E222" s="2"/>
      <c r="F222" s="2"/>
      <c r="G222" s="2"/>
      <c r="H222" s="2"/>
      <c r="I222" s="2"/>
      <c r="J222" s="2"/>
      <c r="K222" s="2"/>
    </row>
    <row r="223" spans="1:11" ht="15.75" customHeight="1" x14ac:dyDescent="0.25">
      <c r="A223" s="164"/>
      <c r="B223" s="4"/>
      <c r="C223" s="4"/>
      <c r="E223" s="2"/>
      <c r="F223" s="2"/>
      <c r="G223" s="2"/>
      <c r="H223" s="2"/>
      <c r="I223" s="2"/>
      <c r="J223" s="2"/>
      <c r="K223" s="2"/>
    </row>
    <row r="224" spans="1:11" ht="15.75" customHeight="1" x14ac:dyDescent="0.25">
      <c r="A224" s="164"/>
      <c r="B224" s="4"/>
      <c r="C224" s="4"/>
      <c r="E224" s="2"/>
      <c r="F224" s="2"/>
      <c r="G224" s="2"/>
      <c r="H224" s="2"/>
      <c r="I224" s="2"/>
      <c r="J224" s="2"/>
      <c r="K224" s="2"/>
    </row>
    <row r="225" spans="1:11" ht="15.75" customHeight="1" x14ac:dyDescent="0.25">
      <c r="A225" s="164"/>
      <c r="B225" s="4"/>
      <c r="C225" s="4"/>
      <c r="E225" s="2"/>
      <c r="F225" s="2"/>
      <c r="G225" s="2"/>
      <c r="H225" s="2"/>
      <c r="I225" s="2"/>
      <c r="J225" s="2"/>
      <c r="K225" s="2"/>
    </row>
    <row r="226" spans="1:11" ht="15.75" customHeight="1" x14ac:dyDescent="0.25">
      <c r="A226" s="164"/>
      <c r="B226" s="4"/>
      <c r="C226" s="4"/>
      <c r="E226" s="2"/>
      <c r="F226" s="2"/>
      <c r="G226" s="2"/>
      <c r="H226" s="2"/>
      <c r="I226" s="2"/>
      <c r="J226" s="2"/>
      <c r="K226" s="2"/>
    </row>
    <row r="227" spans="1:11" ht="15.75" customHeight="1" x14ac:dyDescent="0.25">
      <c r="A227" s="164"/>
      <c r="B227" s="4"/>
      <c r="C227" s="4"/>
      <c r="E227" s="2"/>
      <c r="F227" s="2"/>
      <c r="G227" s="2"/>
      <c r="H227" s="2"/>
      <c r="I227" s="2"/>
      <c r="J227" s="2"/>
      <c r="K227" s="2"/>
    </row>
    <row r="228" spans="1:11" ht="15.75" customHeight="1" x14ac:dyDescent="0.25">
      <c r="A228" s="164"/>
      <c r="B228" s="4"/>
      <c r="C228" s="4"/>
      <c r="E228" s="2"/>
      <c r="F228" s="2"/>
      <c r="G228" s="2"/>
      <c r="H228" s="2"/>
      <c r="I228" s="2"/>
      <c r="J228" s="2"/>
      <c r="K228" s="2"/>
    </row>
    <row r="229" spans="1:11" ht="15.75" customHeight="1" x14ac:dyDescent="0.25">
      <c r="A229" s="164"/>
      <c r="B229" s="4"/>
      <c r="C229" s="4"/>
      <c r="E229" s="2"/>
      <c r="F229" s="2"/>
      <c r="G229" s="2"/>
      <c r="H229" s="2"/>
      <c r="I229" s="2"/>
      <c r="J229" s="2"/>
      <c r="K229" s="2"/>
    </row>
    <row r="230" spans="1:11" ht="15.75" customHeight="1" x14ac:dyDescent="0.25">
      <c r="A230" s="164"/>
      <c r="B230" s="4"/>
      <c r="C230" s="4"/>
      <c r="E230" s="2"/>
      <c r="F230" s="2"/>
      <c r="G230" s="2"/>
      <c r="H230" s="2"/>
      <c r="I230" s="2"/>
      <c r="J230" s="2"/>
      <c r="K230" s="2"/>
    </row>
    <row r="231" spans="1:11" ht="15.75" customHeight="1" x14ac:dyDescent="0.25">
      <c r="A231" s="164"/>
      <c r="B231" s="4"/>
      <c r="C231" s="4"/>
      <c r="E231" s="2"/>
      <c r="F231" s="2"/>
      <c r="G231" s="2"/>
      <c r="H231" s="2"/>
      <c r="I231" s="2"/>
      <c r="J231" s="2"/>
      <c r="K231" s="2"/>
    </row>
    <row r="232" spans="1:11" ht="15.75" customHeight="1" x14ac:dyDescent="0.25">
      <c r="A232" s="164"/>
      <c r="B232" s="4"/>
      <c r="C232" s="4"/>
      <c r="E232" s="2"/>
      <c r="F232" s="2"/>
      <c r="G232" s="2"/>
      <c r="H232" s="2"/>
      <c r="I232" s="2"/>
      <c r="J232" s="2"/>
      <c r="K232" s="2"/>
    </row>
    <row r="233" spans="1:11" ht="15.75" customHeight="1" x14ac:dyDescent="0.25">
      <c r="A233" s="164"/>
      <c r="B233" s="4"/>
      <c r="C233" s="4"/>
      <c r="E233" s="2"/>
      <c r="F233" s="2"/>
      <c r="G233" s="2"/>
      <c r="H233" s="2"/>
      <c r="I233" s="2"/>
      <c r="J233" s="2"/>
      <c r="K233" s="2"/>
    </row>
    <row r="234" spans="1:11" ht="15.75" customHeight="1" x14ac:dyDescent="0.25">
      <c r="A234" s="164"/>
      <c r="B234" s="4"/>
      <c r="C234" s="4"/>
      <c r="E234" s="2"/>
      <c r="F234" s="2"/>
      <c r="G234" s="2"/>
      <c r="H234" s="2"/>
      <c r="I234" s="2"/>
      <c r="J234" s="2"/>
      <c r="K234" s="2"/>
    </row>
    <row r="235" spans="1:11" ht="15.75" customHeight="1" x14ac:dyDescent="0.25">
      <c r="A235" s="164"/>
      <c r="B235" s="4"/>
      <c r="C235" s="4"/>
      <c r="E235" s="2"/>
      <c r="F235" s="2"/>
      <c r="G235" s="2"/>
      <c r="H235" s="2"/>
      <c r="I235" s="2"/>
      <c r="J235" s="2"/>
      <c r="K235" s="2"/>
    </row>
    <row r="236" spans="1:11" ht="15.75" customHeight="1" x14ac:dyDescent="0.25">
      <c r="A236" s="164"/>
      <c r="B236" s="4"/>
      <c r="C236" s="4"/>
      <c r="E236" s="2"/>
      <c r="F236" s="2"/>
      <c r="G236" s="2"/>
      <c r="H236" s="2"/>
      <c r="I236" s="2"/>
      <c r="J236" s="2"/>
      <c r="K236" s="2"/>
    </row>
    <row r="237" spans="1:11" ht="15.75" customHeight="1" x14ac:dyDescent="0.25">
      <c r="A237" s="164"/>
      <c r="B237" s="4"/>
      <c r="C237" s="4"/>
      <c r="E237" s="2"/>
      <c r="F237" s="2"/>
      <c r="G237" s="2"/>
      <c r="H237" s="2"/>
      <c r="I237" s="2"/>
      <c r="J237" s="2"/>
      <c r="K237" s="2"/>
    </row>
    <row r="238" spans="1:11" ht="15.75" customHeight="1" x14ac:dyDescent="0.25">
      <c r="A238" s="164"/>
      <c r="B238" s="4"/>
      <c r="C238" s="4"/>
      <c r="E238" s="2"/>
      <c r="F238" s="2"/>
      <c r="G238" s="2"/>
      <c r="H238" s="2"/>
      <c r="I238" s="2"/>
      <c r="J238" s="2"/>
      <c r="K238" s="2"/>
    </row>
    <row r="239" spans="1:11" ht="15.75" customHeight="1" x14ac:dyDescent="0.25">
      <c r="A239" s="164"/>
      <c r="B239" s="4"/>
      <c r="C239" s="4"/>
      <c r="E239" s="2"/>
      <c r="F239" s="2"/>
      <c r="G239" s="2"/>
      <c r="H239" s="2"/>
      <c r="I239" s="2"/>
      <c r="J239" s="2"/>
      <c r="K239" s="2"/>
    </row>
    <row r="240" spans="1:11" ht="15.75" customHeight="1" x14ac:dyDescent="0.25">
      <c r="A240" s="164"/>
      <c r="B240" s="4"/>
      <c r="C240" s="4"/>
      <c r="E240" s="2"/>
      <c r="F240" s="2"/>
      <c r="G240" s="2"/>
      <c r="H240" s="2"/>
      <c r="I240" s="2"/>
      <c r="J240" s="2"/>
      <c r="K240" s="2"/>
    </row>
    <row r="241" spans="1:11" ht="15.75" customHeight="1" x14ac:dyDescent="0.25">
      <c r="A241" s="164"/>
      <c r="B241" s="4"/>
      <c r="C241" s="4"/>
      <c r="E241" s="2"/>
      <c r="F241" s="2"/>
      <c r="G241" s="2"/>
      <c r="H241" s="2"/>
      <c r="I241" s="2"/>
      <c r="J241" s="2"/>
      <c r="K241" s="2"/>
    </row>
    <row r="242" spans="1:11" ht="15.75" customHeight="1" x14ac:dyDescent="0.25">
      <c r="A242" s="164"/>
      <c r="B242" s="4"/>
      <c r="C242" s="4"/>
      <c r="E242" s="2"/>
      <c r="F242" s="2"/>
      <c r="G242" s="2"/>
      <c r="H242" s="2"/>
      <c r="I242" s="2"/>
      <c r="J242" s="2"/>
      <c r="K242" s="2"/>
    </row>
    <row r="243" spans="1:11" ht="15.75" customHeight="1" x14ac:dyDescent="0.25">
      <c r="A243" s="164"/>
      <c r="B243" s="4"/>
      <c r="C243" s="4"/>
      <c r="E243" s="2"/>
      <c r="F243" s="2"/>
      <c r="G243" s="2"/>
      <c r="H243" s="2"/>
      <c r="I243" s="2"/>
      <c r="J243" s="2"/>
      <c r="K243" s="2"/>
    </row>
    <row r="244" spans="1:11" ht="15.75" customHeight="1" x14ac:dyDescent="0.25">
      <c r="A244" s="164"/>
      <c r="B244" s="4"/>
      <c r="C244" s="4"/>
      <c r="E244" s="2"/>
      <c r="F244" s="2"/>
      <c r="G244" s="2"/>
      <c r="H244" s="2"/>
      <c r="I244" s="2"/>
      <c r="J244" s="2"/>
      <c r="K244" s="2"/>
    </row>
    <row r="245" spans="1:11" ht="15.75" customHeight="1" x14ac:dyDescent="0.25">
      <c r="A245" s="164"/>
      <c r="B245" s="4"/>
      <c r="C245" s="4"/>
      <c r="E245" s="2"/>
      <c r="F245" s="2"/>
      <c r="G245" s="2"/>
      <c r="H245" s="2"/>
      <c r="I245" s="2"/>
      <c r="J245" s="2"/>
      <c r="K245" s="2"/>
    </row>
    <row r="246" spans="1:11" ht="15.75" customHeight="1" x14ac:dyDescent="0.25">
      <c r="A246" s="164"/>
      <c r="B246" s="4"/>
      <c r="C246" s="4"/>
      <c r="E246" s="2"/>
      <c r="F246" s="2"/>
      <c r="G246" s="2"/>
      <c r="H246" s="2"/>
      <c r="I246" s="2"/>
      <c r="J246" s="2"/>
      <c r="K246" s="2"/>
    </row>
    <row r="247" spans="1:11" ht="15.75" customHeight="1" x14ac:dyDescent="0.25">
      <c r="A247" s="164"/>
      <c r="B247" s="4"/>
      <c r="C247" s="4"/>
      <c r="E247" s="2"/>
      <c r="F247" s="2"/>
      <c r="G247" s="2"/>
      <c r="H247" s="2"/>
      <c r="I247" s="2"/>
      <c r="J247" s="2"/>
      <c r="K247" s="2"/>
    </row>
    <row r="248" spans="1:11" ht="15.75" customHeight="1" x14ac:dyDescent="0.25">
      <c r="A248" s="164"/>
      <c r="B248" s="4"/>
      <c r="C248" s="4"/>
      <c r="E248" s="2"/>
      <c r="F248" s="2"/>
      <c r="G248" s="2"/>
      <c r="H248" s="2"/>
      <c r="I248" s="2"/>
      <c r="J248" s="2"/>
      <c r="K248" s="2"/>
    </row>
    <row r="249" spans="1:11" ht="15.75" customHeight="1" x14ac:dyDescent="0.25">
      <c r="A249" s="164"/>
      <c r="B249" s="4"/>
      <c r="C249" s="4"/>
      <c r="E249" s="2"/>
      <c r="F249" s="2"/>
      <c r="G249" s="2"/>
      <c r="H249" s="2"/>
      <c r="I249" s="2"/>
      <c r="J249" s="2"/>
      <c r="K249" s="2"/>
    </row>
    <row r="250" spans="1:11" ht="15.75" customHeight="1" x14ac:dyDescent="0.25">
      <c r="A250" s="164"/>
      <c r="B250" s="4"/>
      <c r="C250" s="4"/>
      <c r="E250" s="2"/>
      <c r="F250" s="2"/>
      <c r="G250" s="2"/>
      <c r="H250" s="2"/>
      <c r="I250" s="2"/>
      <c r="J250" s="2"/>
      <c r="K250" s="2"/>
    </row>
    <row r="251" spans="1:11" ht="15.75" customHeight="1" x14ac:dyDescent="0.25">
      <c r="A251" s="164"/>
      <c r="B251" s="4"/>
      <c r="C251" s="4"/>
      <c r="E251" s="2"/>
      <c r="F251" s="2"/>
      <c r="G251" s="2"/>
      <c r="H251" s="2"/>
      <c r="I251" s="2"/>
      <c r="J251" s="2"/>
      <c r="K251" s="2"/>
    </row>
    <row r="252" spans="1:11" ht="15.75" customHeight="1" x14ac:dyDescent="0.25">
      <c r="A252" s="164"/>
      <c r="B252" s="4"/>
      <c r="C252" s="4"/>
      <c r="E252" s="2"/>
      <c r="F252" s="2"/>
      <c r="G252" s="2"/>
      <c r="H252" s="2"/>
      <c r="I252" s="2"/>
      <c r="J252" s="2"/>
      <c r="K252" s="2"/>
    </row>
    <row r="253" spans="1:11" ht="15.75" customHeight="1" x14ac:dyDescent="0.25">
      <c r="A253" s="164"/>
      <c r="B253" s="4"/>
      <c r="C253" s="4"/>
      <c r="E253" s="2"/>
      <c r="F253" s="2"/>
      <c r="G253" s="2"/>
      <c r="H253" s="2"/>
      <c r="I253" s="2"/>
      <c r="J253" s="2"/>
      <c r="K253" s="2"/>
    </row>
    <row r="254" spans="1:11" ht="15.75" customHeight="1" x14ac:dyDescent="0.25">
      <c r="A254" s="164"/>
      <c r="B254" s="4"/>
      <c r="C254" s="4"/>
      <c r="E254" s="2"/>
      <c r="F254" s="2"/>
      <c r="G254" s="2"/>
      <c r="H254" s="2"/>
      <c r="I254" s="2"/>
      <c r="J254" s="2"/>
      <c r="K254" s="2"/>
    </row>
    <row r="255" spans="1:11" ht="15.75" customHeight="1" x14ac:dyDescent="0.25">
      <c r="A255" s="164"/>
      <c r="B255" s="4"/>
      <c r="C255" s="4"/>
      <c r="E255" s="2"/>
      <c r="F255" s="2"/>
      <c r="G255" s="2"/>
      <c r="H255" s="2"/>
      <c r="I255" s="2"/>
      <c r="J255" s="2"/>
      <c r="K255" s="2"/>
    </row>
    <row r="256" spans="1:11" ht="15.75" customHeight="1" x14ac:dyDescent="0.25">
      <c r="A256" s="164"/>
      <c r="B256" s="4"/>
      <c r="C256" s="4"/>
      <c r="E256" s="2"/>
      <c r="F256" s="2"/>
      <c r="G256" s="2"/>
      <c r="H256" s="2"/>
      <c r="I256" s="2"/>
      <c r="J256" s="2"/>
      <c r="K256" s="2"/>
    </row>
    <row r="257" spans="1:11" ht="15.75" customHeight="1" x14ac:dyDescent="0.25">
      <c r="A257" s="164"/>
      <c r="B257" s="4"/>
      <c r="C257" s="4"/>
      <c r="E257" s="2"/>
      <c r="F257" s="2"/>
      <c r="G257" s="2"/>
      <c r="H257" s="2"/>
      <c r="I257" s="2"/>
      <c r="J257" s="2"/>
      <c r="K257" s="2"/>
    </row>
    <row r="258" spans="1:11" ht="15.75" customHeight="1" x14ac:dyDescent="0.25">
      <c r="A258" s="164"/>
      <c r="B258" s="4"/>
      <c r="C258" s="4"/>
      <c r="E258" s="2"/>
      <c r="F258" s="2"/>
      <c r="G258" s="2"/>
      <c r="H258" s="2"/>
      <c r="I258" s="2"/>
      <c r="J258" s="2"/>
      <c r="K258" s="2"/>
    </row>
    <row r="259" spans="1:11" ht="15.75" customHeight="1" x14ac:dyDescent="0.25">
      <c r="A259" s="164"/>
      <c r="B259" s="4"/>
      <c r="C259" s="4"/>
      <c r="E259" s="2"/>
      <c r="F259" s="2"/>
      <c r="G259" s="2"/>
      <c r="H259" s="2"/>
      <c r="I259" s="2"/>
      <c r="J259" s="2"/>
      <c r="K259" s="2"/>
    </row>
    <row r="260" spans="1:11" ht="15.75" customHeight="1" x14ac:dyDescent="0.25">
      <c r="A260" s="164"/>
      <c r="B260" s="4"/>
      <c r="C260" s="4"/>
      <c r="E260" s="2"/>
      <c r="F260" s="2"/>
      <c r="G260" s="2"/>
      <c r="H260" s="2"/>
      <c r="I260" s="2"/>
      <c r="J260" s="2"/>
      <c r="K260" s="2"/>
    </row>
    <row r="261" spans="1:11" ht="15.75" customHeight="1" x14ac:dyDescent="0.25">
      <c r="A261" s="164"/>
      <c r="B261" s="4"/>
      <c r="C261" s="4"/>
      <c r="E261" s="2"/>
      <c r="F261" s="2"/>
      <c r="G261" s="2"/>
      <c r="H261" s="2"/>
      <c r="I261" s="2"/>
      <c r="J261" s="2"/>
      <c r="K261" s="2"/>
    </row>
    <row r="262" spans="1:11" ht="15.75" customHeight="1" x14ac:dyDescent="0.25">
      <c r="A262" s="164"/>
      <c r="B262" s="4"/>
      <c r="C262" s="4"/>
      <c r="E262" s="2"/>
      <c r="F262" s="2"/>
      <c r="G262" s="2"/>
      <c r="H262" s="2"/>
      <c r="I262" s="2"/>
      <c r="J262" s="2"/>
      <c r="K262" s="2"/>
    </row>
    <row r="263" spans="1:11" ht="15.75" customHeight="1" x14ac:dyDescent="0.25">
      <c r="A263" s="164"/>
      <c r="B263" s="4"/>
      <c r="C263" s="4"/>
      <c r="E263" s="2"/>
      <c r="F263" s="2"/>
      <c r="G263" s="2"/>
      <c r="H263" s="2"/>
      <c r="I263" s="2"/>
      <c r="J263" s="2"/>
      <c r="K263" s="2"/>
    </row>
    <row r="264" spans="1:11" ht="15.75" customHeight="1" x14ac:dyDescent="0.25">
      <c r="A264" s="164"/>
      <c r="B264" s="4"/>
      <c r="C264" s="4"/>
      <c r="E264" s="2"/>
      <c r="F264" s="2"/>
      <c r="G264" s="2"/>
      <c r="H264" s="2"/>
      <c r="I264" s="2"/>
      <c r="J264" s="2"/>
      <c r="K264" s="2"/>
    </row>
    <row r="265" spans="1:11" ht="15.75" customHeight="1" x14ac:dyDescent="0.25">
      <c r="A265" s="164"/>
      <c r="B265" s="4"/>
      <c r="C265" s="4"/>
      <c r="E265" s="2"/>
      <c r="F265" s="2"/>
      <c r="G265" s="2"/>
      <c r="H265" s="2"/>
      <c r="I265" s="2"/>
      <c r="J265" s="2"/>
      <c r="K265" s="2"/>
    </row>
    <row r="266" spans="1:11" ht="15.75" customHeight="1" x14ac:dyDescent="0.25">
      <c r="A266" s="164"/>
      <c r="B266" s="4"/>
      <c r="C266" s="4"/>
      <c r="E266" s="2"/>
      <c r="F266" s="2"/>
      <c r="G266" s="2"/>
      <c r="H266" s="2"/>
      <c r="I266" s="2"/>
      <c r="J266" s="2"/>
      <c r="K266" s="2"/>
    </row>
    <row r="267" spans="1:11" ht="15.75" customHeight="1" x14ac:dyDescent="0.25">
      <c r="A267" s="164"/>
      <c r="B267" s="4"/>
      <c r="C267" s="4"/>
      <c r="E267" s="2"/>
      <c r="F267" s="2"/>
      <c r="G267" s="2"/>
      <c r="H267" s="2"/>
      <c r="I267" s="2"/>
      <c r="J267" s="2"/>
      <c r="K267" s="2"/>
    </row>
    <row r="268" spans="1:11" ht="15.75" customHeight="1" x14ac:dyDescent="0.25">
      <c r="A268" s="164"/>
      <c r="B268" s="4"/>
      <c r="C268" s="4"/>
      <c r="E268" s="2"/>
      <c r="F268" s="2"/>
      <c r="G268" s="2"/>
      <c r="H268" s="2"/>
      <c r="I268" s="2"/>
      <c r="J268" s="2"/>
      <c r="K268" s="2"/>
    </row>
    <row r="269" spans="1:11" ht="15.75" customHeight="1" x14ac:dyDescent="0.25">
      <c r="A269" s="164"/>
      <c r="B269" s="4"/>
      <c r="C269" s="4"/>
      <c r="E269" s="2"/>
      <c r="F269" s="2"/>
      <c r="G269" s="2"/>
      <c r="H269" s="2"/>
      <c r="I269" s="2"/>
      <c r="J269" s="2"/>
      <c r="K269" s="2"/>
    </row>
    <row r="270" spans="1:11" ht="15.75" customHeight="1" x14ac:dyDescent="0.25">
      <c r="A270" s="164"/>
      <c r="B270" s="4"/>
      <c r="C270" s="4"/>
      <c r="E270" s="2"/>
      <c r="F270" s="2"/>
      <c r="G270" s="2"/>
      <c r="H270" s="2"/>
      <c r="I270" s="2"/>
      <c r="J270" s="2"/>
      <c r="K270" s="2"/>
    </row>
    <row r="271" spans="1:11" ht="15.75" customHeight="1" x14ac:dyDescent="0.25">
      <c r="A271" s="164"/>
      <c r="B271" s="4"/>
      <c r="C271" s="4"/>
      <c r="E271" s="2"/>
      <c r="F271" s="2"/>
      <c r="G271" s="2"/>
      <c r="H271" s="2"/>
      <c r="I271" s="2"/>
      <c r="J271" s="2"/>
      <c r="K271" s="2"/>
    </row>
    <row r="272" spans="1:11" ht="15.75" customHeight="1" x14ac:dyDescent="0.25">
      <c r="A272" s="164"/>
      <c r="B272" s="4"/>
      <c r="C272" s="4"/>
      <c r="E272" s="2"/>
      <c r="F272" s="2"/>
      <c r="G272" s="2"/>
      <c r="H272" s="2"/>
      <c r="I272" s="2"/>
      <c r="J272" s="2"/>
      <c r="K272" s="2"/>
    </row>
    <row r="273" spans="1:11" ht="15.75" customHeight="1" x14ac:dyDescent="0.25">
      <c r="A273" s="164"/>
      <c r="B273" s="4"/>
      <c r="C273" s="4"/>
      <c r="E273" s="2"/>
      <c r="F273" s="2"/>
      <c r="G273" s="2"/>
      <c r="H273" s="2"/>
      <c r="I273" s="2"/>
      <c r="J273" s="2"/>
      <c r="K273" s="2"/>
    </row>
    <row r="274" spans="1:11" ht="15.75" customHeight="1" x14ac:dyDescent="0.25">
      <c r="A274" s="164"/>
      <c r="B274" s="4"/>
      <c r="C274" s="4"/>
      <c r="E274" s="2"/>
      <c r="F274" s="2"/>
      <c r="G274" s="2"/>
      <c r="H274" s="2"/>
      <c r="I274" s="2"/>
      <c r="J274" s="2"/>
      <c r="K274" s="2"/>
    </row>
    <row r="275" spans="1:11" ht="15.75" customHeight="1" x14ac:dyDescent="0.25">
      <c r="A275" s="164"/>
      <c r="B275" s="4"/>
      <c r="C275" s="4"/>
      <c r="E275" s="2"/>
      <c r="F275" s="2"/>
      <c r="G275" s="2"/>
      <c r="H275" s="2"/>
      <c r="I275" s="2"/>
      <c r="J275" s="2"/>
      <c r="K275" s="2"/>
    </row>
    <row r="276" spans="1:11" ht="15.75" customHeight="1" x14ac:dyDescent="0.25">
      <c r="A276" s="164"/>
      <c r="B276" s="4"/>
      <c r="C276" s="4"/>
      <c r="E276" s="2"/>
      <c r="F276" s="2"/>
      <c r="G276" s="2"/>
      <c r="H276" s="2"/>
      <c r="I276" s="2"/>
      <c r="J276" s="2"/>
      <c r="K276" s="2"/>
    </row>
    <row r="277" spans="1:11" ht="15.75" customHeight="1" x14ac:dyDescent="0.25">
      <c r="A277" s="164"/>
      <c r="B277" s="4"/>
      <c r="C277" s="4"/>
      <c r="E277" s="2"/>
      <c r="F277" s="2"/>
      <c r="G277" s="2"/>
      <c r="H277" s="2"/>
      <c r="I277" s="2"/>
      <c r="J277" s="2"/>
      <c r="K277" s="2"/>
    </row>
    <row r="278" spans="1:11" ht="15.75" customHeight="1" x14ac:dyDescent="0.25">
      <c r="A278" s="164"/>
      <c r="B278" s="4"/>
      <c r="C278" s="4"/>
      <c r="E278" s="2"/>
      <c r="F278" s="2"/>
      <c r="G278" s="2"/>
      <c r="H278" s="2"/>
      <c r="I278" s="2"/>
      <c r="J278" s="2"/>
      <c r="K278" s="2"/>
    </row>
    <row r="279" spans="1:11" ht="15.75" customHeight="1" x14ac:dyDescent="0.25">
      <c r="A279" s="164"/>
      <c r="B279" s="4"/>
      <c r="C279" s="4"/>
      <c r="E279" s="2"/>
      <c r="F279" s="2"/>
      <c r="G279" s="2"/>
      <c r="H279" s="2"/>
      <c r="I279" s="2"/>
      <c r="J279" s="2"/>
      <c r="K279" s="2"/>
    </row>
    <row r="280" spans="1:11" ht="15.75" customHeight="1" x14ac:dyDescent="0.25">
      <c r="A280" s="164"/>
      <c r="B280" s="4"/>
      <c r="C280" s="4"/>
      <c r="E280" s="2"/>
      <c r="F280" s="2"/>
      <c r="G280" s="2"/>
      <c r="H280" s="2"/>
      <c r="I280" s="2"/>
      <c r="J280" s="2"/>
      <c r="K280" s="2"/>
    </row>
    <row r="281" spans="1:11" ht="15.75" customHeight="1" x14ac:dyDescent="0.25">
      <c r="A281" s="164"/>
      <c r="B281" s="4"/>
      <c r="C281" s="4"/>
      <c r="E281" s="2"/>
      <c r="F281" s="2"/>
      <c r="G281" s="2"/>
      <c r="H281" s="2"/>
      <c r="I281" s="2"/>
      <c r="J281" s="2"/>
      <c r="K281" s="2"/>
    </row>
    <row r="282" spans="1:11" ht="15.75" customHeight="1" x14ac:dyDescent="0.25">
      <c r="A282" s="164"/>
      <c r="B282" s="4"/>
      <c r="C282" s="4"/>
      <c r="E282" s="2"/>
      <c r="F282" s="2"/>
      <c r="G282" s="2"/>
      <c r="H282" s="2"/>
      <c r="I282" s="2"/>
      <c r="J282" s="2"/>
      <c r="K282" s="2"/>
    </row>
    <row r="283" spans="1:11" ht="15.75" customHeight="1" x14ac:dyDescent="0.25">
      <c r="A283" s="164"/>
      <c r="B283" s="4"/>
      <c r="C283" s="4"/>
      <c r="E283" s="2"/>
      <c r="F283" s="2"/>
      <c r="G283" s="2"/>
      <c r="H283" s="2"/>
      <c r="I283" s="2"/>
      <c r="J283" s="2"/>
      <c r="K283" s="2"/>
    </row>
    <row r="284" spans="1:11" ht="15.75" customHeight="1" x14ac:dyDescent="0.25">
      <c r="A284" s="164"/>
      <c r="B284" s="4"/>
      <c r="C284" s="4"/>
      <c r="E284" s="2"/>
      <c r="F284" s="2"/>
      <c r="G284" s="2"/>
      <c r="H284" s="2"/>
      <c r="I284" s="2"/>
      <c r="J284" s="2"/>
      <c r="K284" s="2"/>
    </row>
    <row r="285" spans="1:11" ht="15.75" customHeight="1" x14ac:dyDescent="0.25">
      <c r="A285" s="164"/>
      <c r="B285" s="4"/>
      <c r="C285" s="4"/>
      <c r="E285" s="2"/>
      <c r="F285" s="2"/>
      <c r="G285" s="2"/>
      <c r="H285" s="2"/>
      <c r="I285" s="2"/>
      <c r="J285" s="2"/>
      <c r="K285" s="2"/>
    </row>
    <row r="286" spans="1:11" ht="15.75" customHeight="1" x14ac:dyDescent="0.25">
      <c r="A286" s="164"/>
      <c r="B286" s="4"/>
      <c r="C286" s="4"/>
      <c r="E286" s="2"/>
      <c r="F286" s="2"/>
      <c r="G286" s="2"/>
      <c r="H286" s="2"/>
      <c r="I286" s="2"/>
      <c r="J286" s="2"/>
      <c r="K286" s="2"/>
    </row>
    <row r="287" spans="1:11" ht="15.75" customHeight="1" x14ac:dyDescent="0.25">
      <c r="A287" s="164"/>
      <c r="B287" s="4"/>
      <c r="C287" s="4"/>
      <c r="E287" s="2"/>
      <c r="F287" s="2"/>
      <c r="G287" s="2"/>
      <c r="H287" s="2"/>
      <c r="I287" s="2"/>
      <c r="J287" s="2"/>
      <c r="K287" s="2"/>
    </row>
    <row r="288" spans="1:11" ht="15.75" customHeight="1" x14ac:dyDescent="0.25">
      <c r="A288" s="164"/>
      <c r="B288" s="4"/>
      <c r="C288" s="4"/>
      <c r="E288" s="2"/>
      <c r="F288" s="2"/>
      <c r="G288" s="2"/>
      <c r="H288" s="2"/>
      <c r="I288" s="2"/>
      <c r="J288" s="2"/>
      <c r="K288" s="2"/>
    </row>
    <row r="289" spans="1:11" ht="15.75" customHeight="1" x14ac:dyDescent="0.25">
      <c r="A289" s="164"/>
      <c r="B289" s="4"/>
      <c r="C289" s="4"/>
      <c r="E289" s="2"/>
      <c r="F289" s="2"/>
      <c r="G289" s="2"/>
      <c r="H289" s="2"/>
      <c r="I289" s="2"/>
      <c r="J289" s="2"/>
      <c r="K289" s="2"/>
    </row>
    <row r="290" spans="1:11" ht="15.75" customHeight="1" x14ac:dyDescent="0.25">
      <c r="A290" s="164"/>
      <c r="B290" s="4"/>
      <c r="C290" s="4"/>
      <c r="E290" s="2"/>
      <c r="F290" s="2"/>
      <c r="G290" s="2"/>
      <c r="H290" s="2"/>
      <c r="I290" s="2"/>
      <c r="J290" s="2"/>
      <c r="K290" s="2"/>
    </row>
    <row r="291" spans="1:11" ht="15.75" customHeight="1" x14ac:dyDescent="0.25">
      <c r="A291" s="164"/>
      <c r="B291" s="4"/>
      <c r="C291" s="4"/>
      <c r="E291" s="2"/>
      <c r="F291" s="2"/>
      <c r="G291" s="2"/>
      <c r="H291" s="2"/>
      <c r="I291" s="2"/>
      <c r="J291" s="2"/>
      <c r="K291" s="2"/>
    </row>
    <row r="292" spans="1:11" ht="15.75" customHeight="1" x14ac:dyDescent="0.25">
      <c r="A292" s="164"/>
      <c r="B292" s="4"/>
      <c r="C292" s="4"/>
      <c r="E292" s="2"/>
      <c r="F292" s="2"/>
      <c r="G292" s="2"/>
      <c r="H292" s="2"/>
      <c r="I292" s="2"/>
      <c r="J292" s="2"/>
      <c r="K292" s="2"/>
    </row>
    <row r="293" spans="1:11" ht="15.75" customHeight="1" x14ac:dyDescent="0.25">
      <c r="A293" s="164"/>
      <c r="B293" s="4"/>
      <c r="C293" s="4"/>
      <c r="E293" s="2"/>
      <c r="F293" s="2"/>
      <c r="G293" s="2"/>
      <c r="H293" s="2"/>
      <c r="I293" s="2"/>
      <c r="J293" s="2"/>
      <c r="K293" s="2"/>
    </row>
    <row r="294" spans="1:11" ht="15.75" customHeight="1" x14ac:dyDescent="0.25">
      <c r="A294" s="164"/>
      <c r="B294" s="4"/>
      <c r="C294" s="4"/>
      <c r="E294" s="2"/>
      <c r="F294" s="2"/>
      <c r="G294" s="2"/>
      <c r="H294" s="2"/>
      <c r="I294" s="2"/>
      <c r="J294" s="2"/>
      <c r="K294" s="2"/>
    </row>
    <row r="295" spans="1:11" ht="15.75" customHeight="1" x14ac:dyDescent="0.25">
      <c r="A295" s="164"/>
      <c r="B295" s="4"/>
      <c r="C295" s="4"/>
      <c r="E295" s="2"/>
      <c r="F295" s="2"/>
      <c r="G295" s="2"/>
      <c r="H295" s="2"/>
      <c r="I295" s="2"/>
      <c r="J295" s="2"/>
      <c r="K295" s="2"/>
    </row>
    <row r="296" spans="1:11" ht="15.75" customHeight="1" x14ac:dyDescent="0.25">
      <c r="A296" s="164"/>
      <c r="B296" s="4"/>
      <c r="C296" s="4"/>
      <c r="E296" s="2"/>
      <c r="F296" s="2"/>
      <c r="G296" s="2"/>
      <c r="H296" s="2"/>
      <c r="I296" s="2"/>
      <c r="J296" s="2"/>
      <c r="K296" s="2"/>
    </row>
    <row r="297" spans="1:11" ht="15.75" customHeight="1" x14ac:dyDescent="0.25">
      <c r="A297" s="164"/>
      <c r="B297" s="4"/>
      <c r="C297" s="4"/>
      <c r="E297" s="2"/>
      <c r="F297" s="2"/>
      <c r="G297" s="2"/>
      <c r="H297" s="2"/>
      <c r="I297" s="2"/>
      <c r="J297" s="2"/>
      <c r="K297" s="2"/>
    </row>
    <row r="298" spans="1:11" ht="15.75" customHeight="1" x14ac:dyDescent="0.25">
      <c r="A298" s="164"/>
      <c r="B298" s="4"/>
      <c r="C298" s="4"/>
      <c r="E298" s="2"/>
      <c r="F298" s="2"/>
      <c r="G298" s="2"/>
      <c r="H298" s="2"/>
      <c r="I298" s="2"/>
      <c r="J298" s="2"/>
      <c r="K298" s="2"/>
    </row>
    <row r="299" spans="1:11" ht="15.75" customHeight="1" x14ac:dyDescent="0.25">
      <c r="A299" s="164"/>
      <c r="B299" s="4"/>
      <c r="C299" s="4"/>
      <c r="E299" s="2"/>
      <c r="F299" s="2"/>
      <c r="G299" s="2"/>
      <c r="H299" s="2"/>
      <c r="I299" s="2"/>
      <c r="J299" s="2"/>
      <c r="K299" s="2"/>
    </row>
    <row r="300" spans="1:11" ht="15.75" customHeight="1" x14ac:dyDescent="0.25">
      <c r="A300" s="164"/>
      <c r="B300" s="4"/>
      <c r="C300" s="4"/>
      <c r="E300" s="2"/>
      <c r="F300" s="2"/>
      <c r="G300" s="2"/>
      <c r="H300" s="2"/>
      <c r="I300" s="2"/>
      <c r="J300" s="2"/>
      <c r="K300" s="2"/>
    </row>
    <row r="301" spans="1:11" ht="15.75" customHeight="1" x14ac:dyDescent="0.25">
      <c r="A301" s="164"/>
      <c r="B301" s="4"/>
      <c r="C301" s="4"/>
      <c r="E301" s="2"/>
      <c r="F301" s="2"/>
      <c r="G301" s="2"/>
      <c r="H301" s="2"/>
      <c r="I301" s="2"/>
      <c r="J301" s="2"/>
      <c r="K301" s="2"/>
    </row>
    <row r="302" spans="1:11" ht="15.75" customHeight="1" x14ac:dyDescent="0.25">
      <c r="A302" s="164"/>
      <c r="B302" s="4"/>
      <c r="C302" s="4"/>
      <c r="E302" s="2"/>
      <c r="F302" s="2"/>
      <c r="G302" s="2"/>
      <c r="H302" s="2"/>
      <c r="I302" s="2"/>
      <c r="J302" s="2"/>
      <c r="K302" s="2"/>
    </row>
    <row r="303" spans="1:11" ht="15.75" customHeight="1" x14ac:dyDescent="0.25">
      <c r="A303" s="164"/>
      <c r="B303" s="4"/>
      <c r="C303" s="4"/>
      <c r="E303" s="2"/>
      <c r="F303" s="2"/>
      <c r="G303" s="2"/>
      <c r="H303" s="2"/>
      <c r="I303" s="2"/>
      <c r="J303" s="2"/>
      <c r="K303" s="2"/>
    </row>
    <row r="304" spans="1:11" ht="15.75" customHeight="1" x14ac:dyDescent="0.25">
      <c r="A304" s="164"/>
      <c r="B304" s="4"/>
      <c r="C304" s="4"/>
      <c r="E304" s="2"/>
      <c r="F304" s="2"/>
      <c r="G304" s="2"/>
      <c r="H304" s="2"/>
      <c r="I304" s="2"/>
      <c r="J304" s="2"/>
      <c r="K304" s="2"/>
    </row>
    <row r="305" spans="1:11" ht="15.75" customHeight="1" x14ac:dyDescent="0.25">
      <c r="A305" s="164"/>
      <c r="B305" s="4"/>
      <c r="C305" s="4"/>
      <c r="E305" s="2"/>
      <c r="F305" s="2"/>
      <c r="G305" s="2"/>
      <c r="H305" s="2"/>
      <c r="I305" s="2"/>
      <c r="J305" s="2"/>
      <c r="K305" s="2"/>
    </row>
    <row r="306" spans="1:11" ht="15.75" customHeight="1" x14ac:dyDescent="0.25">
      <c r="A306" s="164"/>
      <c r="B306" s="4"/>
      <c r="C306" s="4"/>
      <c r="E306" s="2"/>
      <c r="F306" s="2"/>
      <c r="G306" s="2"/>
      <c r="H306" s="2"/>
      <c r="I306" s="2"/>
      <c r="J306" s="2"/>
      <c r="K306" s="2"/>
    </row>
    <row r="307" spans="1:11" ht="15.75" customHeight="1" x14ac:dyDescent="0.25">
      <c r="A307" s="164"/>
      <c r="B307" s="4"/>
      <c r="C307" s="4"/>
      <c r="E307" s="2"/>
      <c r="F307" s="2"/>
      <c r="G307" s="2"/>
      <c r="H307" s="2"/>
      <c r="I307" s="2"/>
      <c r="J307" s="2"/>
      <c r="K307" s="2"/>
    </row>
    <row r="308" spans="1:11" ht="15.75" customHeight="1" x14ac:dyDescent="0.25">
      <c r="A308" s="164"/>
      <c r="B308" s="4"/>
      <c r="C308" s="4"/>
      <c r="E308" s="2"/>
      <c r="F308" s="2"/>
      <c r="G308" s="2"/>
      <c r="H308" s="2"/>
      <c r="I308" s="2"/>
      <c r="J308" s="2"/>
      <c r="K308" s="2"/>
    </row>
    <row r="309" spans="1:11" ht="15.75" customHeight="1" x14ac:dyDescent="0.25">
      <c r="A309" s="164"/>
      <c r="B309" s="4"/>
      <c r="C309" s="4"/>
      <c r="E309" s="2"/>
      <c r="F309" s="2"/>
      <c r="G309" s="2"/>
      <c r="H309" s="2"/>
      <c r="I309" s="2"/>
      <c r="J309" s="2"/>
      <c r="K309" s="2"/>
    </row>
    <row r="310" spans="1:11" ht="15.75" customHeight="1" x14ac:dyDescent="0.25">
      <c r="A310" s="164"/>
      <c r="B310" s="4"/>
      <c r="C310" s="4"/>
      <c r="E310" s="2"/>
      <c r="F310" s="2"/>
      <c r="G310" s="2"/>
      <c r="H310" s="2"/>
      <c r="I310" s="2"/>
      <c r="J310" s="2"/>
      <c r="K310" s="2"/>
    </row>
    <row r="311" spans="1:11" ht="15.75" customHeight="1" x14ac:dyDescent="0.25">
      <c r="A311" s="164"/>
      <c r="B311" s="4"/>
      <c r="C311" s="4"/>
      <c r="E311" s="2"/>
      <c r="F311" s="2"/>
      <c r="G311" s="2"/>
      <c r="H311" s="2"/>
      <c r="I311" s="2"/>
      <c r="J311" s="2"/>
      <c r="K311" s="2"/>
    </row>
    <row r="312" spans="1:11" ht="15.75" customHeight="1" x14ac:dyDescent="0.25">
      <c r="A312" s="164"/>
      <c r="B312" s="4"/>
      <c r="C312" s="4"/>
      <c r="E312" s="2"/>
      <c r="F312" s="2"/>
      <c r="G312" s="2"/>
      <c r="H312" s="2"/>
      <c r="I312" s="2"/>
      <c r="J312" s="2"/>
      <c r="K312" s="2"/>
    </row>
    <row r="313" spans="1:11" ht="15.75" customHeight="1" x14ac:dyDescent="0.25">
      <c r="A313" s="164"/>
      <c r="B313" s="4"/>
      <c r="C313" s="4"/>
      <c r="E313" s="2"/>
      <c r="F313" s="2"/>
      <c r="G313" s="2"/>
      <c r="H313" s="2"/>
      <c r="I313" s="2"/>
      <c r="J313" s="2"/>
      <c r="K313" s="2"/>
    </row>
    <row r="314" spans="1:11" ht="15.75" customHeight="1" x14ac:dyDescent="0.25">
      <c r="A314" s="164"/>
      <c r="B314" s="4"/>
      <c r="C314" s="4"/>
      <c r="E314" s="2"/>
      <c r="F314" s="2"/>
      <c r="G314" s="2"/>
      <c r="H314" s="2"/>
      <c r="I314" s="2"/>
      <c r="J314" s="2"/>
      <c r="K314" s="2"/>
    </row>
    <row r="315" spans="1:11" ht="15.75" customHeight="1" x14ac:dyDescent="0.25">
      <c r="A315" s="164"/>
      <c r="B315" s="4"/>
      <c r="C315" s="4"/>
      <c r="E315" s="2"/>
      <c r="F315" s="2"/>
      <c r="G315" s="2"/>
      <c r="H315" s="2"/>
      <c r="I315" s="2"/>
      <c r="J315" s="2"/>
      <c r="K315" s="2"/>
    </row>
    <row r="316" spans="1:11" ht="15.75" customHeight="1" x14ac:dyDescent="0.25">
      <c r="A316" s="164"/>
      <c r="B316" s="4"/>
      <c r="C316" s="4"/>
      <c r="E316" s="2"/>
      <c r="F316" s="2"/>
      <c r="G316" s="2"/>
      <c r="H316" s="2"/>
      <c r="I316" s="2"/>
      <c r="J316" s="2"/>
      <c r="K316" s="2"/>
    </row>
    <row r="317" spans="1:11" ht="15.75" customHeight="1" x14ac:dyDescent="0.25">
      <c r="A317" s="164"/>
      <c r="B317" s="4"/>
      <c r="C317" s="4"/>
      <c r="E317" s="2"/>
      <c r="F317" s="2"/>
      <c r="G317" s="2"/>
      <c r="H317" s="2"/>
      <c r="I317" s="2"/>
      <c r="J317" s="2"/>
      <c r="K317" s="2"/>
    </row>
    <row r="318" spans="1:11" ht="15.75" customHeight="1" x14ac:dyDescent="0.25">
      <c r="A318" s="164"/>
      <c r="B318" s="4"/>
      <c r="C318" s="4"/>
      <c r="E318" s="2"/>
      <c r="F318" s="2"/>
      <c r="G318" s="2"/>
      <c r="H318" s="2"/>
      <c r="I318" s="2"/>
      <c r="J318" s="2"/>
      <c r="K318" s="2"/>
    </row>
    <row r="319" spans="1:11" ht="15.75" customHeight="1" x14ac:dyDescent="0.25">
      <c r="A319" s="164"/>
      <c r="B319" s="4"/>
      <c r="C319" s="4"/>
      <c r="E319" s="2"/>
      <c r="F319" s="2"/>
      <c r="G319" s="2"/>
      <c r="H319" s="2"/>
      <c r="I319" s="2"/>
      <c r="J319" s="2"/>
      <c r="K319" s="2"/>
    </row>
    <row r="320" spans="1:11" ht="15.75" customHeight="1" x14ac:dyDescent="0.25">
      <c r="A320" s="164"/>
      <c r="B320" s="4"/>
      <c r="C320" s="4"/>
      <c r="E320" s="2"/>
      <c r="F320" s="2"/>
      <c r="G320" s="2"/>
      <c r="H320" s="2"/>
      <c r="I320" s="2"/>
      <c r="J320" s="2"/>
      <c r="K320" s="2"/>
    </row>
    <row r="321" spans="1:11" ht="15.75" customHeight="1" x14ac:dyDescent="0.25">
      <c r="A321" s="164"/>
      <c r="B321" s="4"/>
      <c r="C321" s="4"/>
      <c r="E321" s="2"/>
      <c r="F321" s="2"/>
      <c r="G321" s="2"/>
      <c r="H321" s="2"/>
      <c r="I321" s="2"/>
      <c r="J321" s="2"/>
      <c r="K321" s="2"/>
    </row>
    <row r="322" spans="1:11" ht="15.75" customHeight="1" x14ac:dyDescent="0.25">
      <c r="A322" s="164"/>
      <c r="B322" s="4"/>
      <c r="C322" s="4"/>
      <c r="E322" s="2"/>
      <c r="F322" s="2"/>
      <c r="G322" s="2"/>
      <c r="H322" s="2"/>
      <c r="I322" s="2"/>
      <c r="J322" s="2"/>
      <c r="K322" s="2"/>
    </row>
    <row r="323" spans="1:11" ht="15.75" customHeight="1" x14ac:dyDescent="0.25">
      <c r="A323" s="164"/>
      <c r="B323" s="4"/>
      <c r="C323" s="4"/>
      <c r="E323" s="2"/>
      <c r="F323" s="2"/>
      <c r="G323" s="2"/>
      <c r="H323" s="2"/>
      <c r="I323" s="2"/>
      <c r="J323" s="2"/>
      <c r="K323" s="2"/>
    </row>
    <row r="324" spans="1:11" ht="15.75" customHeight="1" x14ac:dyDescent="0.25">
      <c r="A324" s="164"/>
      <c r="B324" s="4"/>
      <c r="C324" s="4"/>
      <c r="E324" s="2"/>
      <c r="F324" s="2"/>
      <c r="G324" s="2"/>
      <c r="H324" s="2"/>
      <c r="I324" s="2"/>
      <c r="J324" s="2"/>
      <c r="K324" s="2"/>
    </row>
    <row r="325" spans="1:11" ht="15.75" customHeight="1" x14ac:dyDescent="0.25">
      <c r="A325" s="164"/>
      <c r="B325" s="4"/>
      <c r="C325" s="4"/>
      <c r="E325" s="2"/>
      <c r="F325" s="2"/>
      <c r="G325" s="2"/>
      <c r="H325" s="2"/>
      <c r="I325" s="2"/>
      <c r="J325" s="2"/>
      <c r="K325" s="2"/>
    </row>
    <row r="326" spans="1:11" ht="15.75" customHeight="1" x14ac:dyDescent="0.25">
      <c r="A326" s="164"/>
      <c r="B326" s="4"/>
      <c r="C326" s="4"/>
      <c r="E326" s="2"/>
      <c r="F326" s="2"/>
      <c r="G326" s="2"/>
      <c r="H326" s="2"/>
      <c r="I326" s="2"/>
      <c r="J326" s="2"/>
      <c r="K326" s="2"/>
    </row>
    <row r="327" spans="1:11" ht="15.75" customHeight="1" x14ac:dyDescent="0.25">
      <c r="A327" s="164"/>
      <c r="B327" s="4"/>
      <c r="C327" s="4"/>
      <c r="E327" s="2"/>
      <c r="F327" s="2"/>
      <c r="G327" s="2"/>
      <c r="H327" s="2"/>
      <c r="I327" s="2"/>
      <c r="J327" s="2"/>
      <c r="K327" s="2"/>
    </row>
    <row r="328" spans="1:11" ht="15.75" customHeight="1" x14ac:dyDescent="0.25">
      <c r="A328" s="164"/>
      <c r="B328" s="4"/>
      <c r="C328" s="4"/>
      <c r="E328" s="2"/>
      <c r="F328" s="2"/>
      <c r="G328" s="2"/>
      <c r="H328" s="2"/>
      <c r="I328" s="2"/>
      <c r="J328" s="2"/>
      <c r="K328" s="2"/>
    </row>
    <row r="329" spans="1:11" ht="15.75" customHeight="1" x14ac:dyDescent="0.25">
      <c r="A329" s="164"/>
      <c r="B329" s="4"/>
      <c r="C329" s="4"/>
      <c r="E329" s="2"/>
      <c r="F329" s="2"/>
      <c r="G329" s="2"/>
      <c r="H329" s="2"/>
      <c r="I329" s="2"/>
      <c r="J329" s="2"/>
      <c r="K329" s="2"/>
    </row>
    <row r="330" spans="1:11" ht="15.75" customHeight="1" x14ac:dyDescent="0.25">
      <c r="A330" s="164"/>
      <c r="B330" s="4"/>
      <c r="C330" s="4"/>
      <c r="E330" s="2"/>
      <c r="F330" s="2"/>
      <c r="G330" s="2"/>
      <c r="H330" s="2"/>
      <c r="I330" s="2"/>
      <c r="J330" s="2"/>
      <c r="K330" s="2"/>
    </row>
    <row r="331" spans="1:11" ht="15.75" customHeight="1" x14ac:dyDescent="0.25">
      <c r="A331" s="164"/>
      <c r="B331" s="4"/>
      <c r="C331" s="4"/>
      <c r="E331" s="2"/>
      <c r="F331" s="2"/>
      <c r="G331" s="2"/>
      <c r="H331" s="2"/>
      <c r="I331" s="2"/>
      <c r="J331" s="2"/>
      <c r="K331" s="2"/>
    </row>
    <row r="332" spans="1:11" ht="15.75" customHeight="1" x14ac:dyDescent="0.25">
      <c r="A332" s="164"/>
      <c r="B332" s="4"/>
      <c r="C332" s="4"/>
      <c r="E332" s="2"/>
      <c r="F332" s="2"/>
      <c r="G332" s="2"/>
      <c r="H332" s="2"/>
      <c r="I332" s="2"/>
      <c r="J332" s="2"/>
      <c r="K332" s="2"/>
    </row>
    <row r="333" spans="1:11" ht="15.75" customHeight="1" x14ac:dyDescent="0.25">
      <c r="A333" s="164"/>
      <c r="B333" s="4"/>
      <c r="C333" s="4"/>
      <c r="E333" s="2"/>
      <c r="F333" s="2"/>
      <c r="G333" s="2"/>
      <c r="H333" s="2"/>
      <c r="I333" s="2"/>
      <c r="J333" s="2"/>
      <c r="K333" s="2"/>
    </row>
    <row r="334" spans="1:11" ht="15.75" customHeight="1" x14ac:dyDescent="0.25">
      <c r="A334" s="164"/>
      <c r="B334" s="4"/>
      <c r="C334" s="4"/>
      <c r="E334" s="2"/>
      <c r="F334" s="2"/>
      <c r="G334" s="2"/>
      <c r="H334" s="2"/>
      <c r="I334" s="2"/>
      <c r="J334" s="2"/>
      <c r="K334" s="2"/>
    </row>
    <row r="335" spans="1:11" ht="15.75" customHeight="1" x14ac:dyDescent="0.25">
      <c r="A335" s="164"/>
      <c r="B335" s="4"/>
      <c r="C335" s="4"/>
      <c r="E335" s="2"/>
      <c r="F335" s="2"/>
      <c r="G335" s="2"/>
      <c r="H335" s="2"/>
      <c r="I335" s="2"/>
      <c r="J335" s="2"/>
      <c r="K335" s="2"/>
    </row>
    <row r="336" spans="1:11" ht="15.75" customHeight="1" x14ac:dyDescent="0.25">
      <c r="A336" s="164"/>
      <c r="B336" s="4"/>
      <c r="C336" s="4"/>
      <c r="E336" s="2"/>
      <c r="F336" s="2"/>
      <c r="G336" s="2"/>
      <c r="H336" s="2"/>
      <c r="I336" s="2"/>
      <c r="J336" s="2"/>
      <c r="K336" s="2"/>
    </row>
    <row r="337" spans="1:11" ht="15.75" customHeight="1" x14ac:dyDescent="0.25">
      <c r="A337" s="164"/>
      <c r="B337" s="4"/>
      <c r="C337" s="4"/>
      <c r="E337" s="2"/>
      <c r="F337" s="2"/>
      <c r="G337" s="2"/>
      <c r="H337" s="2"/>
      <c r="I337" s="2"/>
      <c r="J337" s="2"/>
      <c r="K337" s="2"/>
    </row>
    <row r="338" spans="1:11" ht="15.75" customHeight="1" x14ac:dyDescent="0.25">
      <c r="A338" s="164"/>
      <c r="B338" s="4"/>
      <c r="C338" s="4"/>
      <c r="E338" s="2"/>
      <c r="F338" s="2"/>
      <c r="G338" s="2"/>
      <c r="H338" s="2"/>
      <c r="I338" s="2"/>
      <c r="J338" s="2"/>
      <c r="K338" s="2"/>
    </row>
    <row r="339" spans="1:11" ht="15.75" customHeight="1" x14ac:dyDescent="0.25">
      <c r="A339" s="164"/>
      <c r="B339" s="4"/>
      <c r="C339" s="4"/>
      <c r="E339" s="2"/>
      <c r="F339" s="2"/>
      <c r="G339" s="2"/>
      <c r="H339" s="2"/>
      <c r="I339" s="2"/>
      <c r="J339" s="2"/>
      <c r="K339" s="2"/>
    </row>
    <row r="340" spans="1:11" ht="15.75" customHeight="1" x14ac:dyDescent="0.25">
      <c r="A340" s="164"/>
      <c r="B340" s="4"/>
      <c r="C340" s="4"/>
      <c r="E340" s="2"/>
      <c r="F340" s="2"/>
      <c r="G340" s="2"/>
      <c r="H340" s="2"/>
      <c r="I340" s="2"/>
      <c r="J340" s="2"/>
      <c r="K340" s="2"/>
    </row>
    <row r="341" spans="1:11" ht="15.75" customHeight="1" x14ac:dyDescent="0.25">
      <c r="A341" s="164"/>
      <c r="B341" s="4"/>
      <c r="C341" s="4"/>
      <c r="E341" s="2"/>
      <c r="F341" s="2"/>
      <c r="G341" s="2"/>
      <c r="H341" s="2"/>
      <c r="I341" s="2"/>
      <c r="J341" s="2"/>
      <c r="K341" s="2"/>
    </row>
    <row r="342" spans="1:11" ht="15.75" customHeight="1" x14ac:dyDescent="0.25">
      <c r="A342" s="164"/>
      <c r="B342" s="4"/>
      <c r="C342" s="4"/>
      <c r="E342" s="2"/>
      <c r="F342" s="2"/>
      <c r="G342" s="2"/>
      <c r="H342" s="2"/>
      <c r="I342" s="2"/>
      <c r="J342" s="2"/>
      <c r="K342" s="2"/>
    </row>
    <row r="343" spans="1:11" ht="15.75" customHeight="1" x14ac:dyDescent="0.25">
      <c r="A343" s="164"/>
      <c r="B343" s="4"/>
      <c r="C343" s="4"/>
      <c r="E343" s="2"/>
      <c r="F343" s="2"/>
      <c r="G343" s="2"/>
      <c r="H343" s="2"/>
      <c r="I343" s="2"/>
      <c r="J343" s="2"/>
      <c r="K343" s="2"/>
    </row>
    <row r="344" spans="1:11" ht="15.75" customHeight="1" x14ac:dyDescent="0.25">
      <c r="A344" s="164"/>
      <c r="B344" s="4"/>
      <c r="C344" s="4"/>
      <c r="E344" s="2"/>
      <c r="F344" s="2"/>
      <c r="G344" s="2"/>
      <c r="H344" s="2"/>
      <c r="I344" s="2"/>
      <c r="J344" s="2"/>
      <c r="K344" s="2"/>
    </row>
    <row r="345" spans="1:11" ht="15.75" customHeight="1" x14ac:dyDescent="0.25">
      <c r="A345" s="164"/>
      <c r="B345" s="4"/>
      <c r="C345" s="4"/>
      <c r="E345" s="2"/>
      <c r="F345" s="2"/>
      <c r="G345" s="2"/>
      <c r="H345" s="2"/>
      <c r="I345" s="2"/>
      <c r="J345" s="2"/>
      <c r="K345" s="2"/>
    </row>
    <row r="346" spans="1:11" ht="15.75" customHeight="1" x14ac:dyDescent="0.25">
      <c r="A346" s="164"/>
      <c r="B346" s="4"/>
      <c r="C346" s="4"/>
      <c r="E346" s="2"/>
      <c r="F346" s="2"/>
      <c r="G346" s="2"/>
      <c r="H346" s="2"/>
      <c r="I346" s="2"/>
      <c r="J346" s="2"/>
      <c r="K346" s="2"/>
    </row>
    <row r="347" spans="1:11" ht="15.75" customHeight="1" x14ac:dyDescent="0.25">
      <c r="A347" s="164"/>
      <c r="B347" s="4"/>
      <c r="C347" s="4"/>
      <c r="E347" s="2"/>
      <c r="F347" s="2"/>
      <c r="G347" s="2"/>
      <c r="H347" s="2"/>
      <c r="I347" s="2"/>
      <c r="J347" s="2"/>
      <c r="K347" s="2"/>
    </row>
    <row r="348" spans="1:11" ht="15.75" customHeight="1" x14ac:dyDescent="0.25">
      <c r="A348" s="164"/>
      <c r="B348" s="4"/>
      <c r="C348" s="4"/>
      <c r="E348" s="2"/>
      <c r="F348" s="2"/>
      <c r="G348" s="2"/>
      <c r="H348" s="2"/>
      <c r="I348" s="2"/>
      <c r="J348" s="2"/>
      <c r="K348" s="2"/>
    </row>
    <row r="349" spans="1:11" ht="15.75" customHeight="1" x14ac:dyDescent="0.25">
      <c r="A349" s="164"/>
      <c r="B349" s="4"/>
      <c r="C349" s="4"/>
      <c r="E349" s="2"/>
      <c r="F349" s="2"/>
      <c r="G349" s="2"/>
      <c r="H349" s="2"/>
      <c r="I349" s="2"/>
      <c r="J349" s="2"/>
      <c r="K349" s="2"/>
    </row>
    <row r="350" spans="1:11" ht="15.75" customHeight="1" x14ac:dyDescent="0.25">
      <c r="A350" s="164"/>
      <c r="B350" s="4"/>
      <c r="C350" s="4"/>
      <c r="E350" s="2"/>
      <c r="F350" s="2"/>
      <c r="G350" s="2"/>
      <c r="H350" s="2"/>
      <c r="I350" s="2"/>
      <c r="J350" s="2"/>
      <c r="K350" s="2"/>
    </row>
    <row r="351" spans="1:11" ht="15.75" customHeight="1" x14ac:dyDescent="0.25">
      <c r="A351" s="164"/>
      <c r="B351" s="4"/>
      <c r="C351" s="4"/>
      <c r="E351" s="2"/>
      <c r="F351" s="2"/>
      <c r="G351" s="2"/>
      <c r="H351" s="2"/>
      <c r="I351" s="2"/>
      <c r="J351" s="2"/>
      <c r="K351" s="2"/>
    </row>
    <row r="352" spans="1:11" ht="15.75" customHeight="1" x14ac:dyDescent="0.25">
      <c r="A352" s="164"/>
      <c r="B352" s="4"/>
      <c r="C352" s="4"/>
      <c r="E352" s="2"/>
      <c r="F352" s="2"/>
      <c r="G352" s="2"/>
      <c r="H352" s="2"/>
      <c r="I352" s="2"/>
      <c r="J352" s="2"/>
      <c r="K352" s="2"/>
    </row>
    <row r="353" spans="1:11" ht="15.75" customHeight="1" x14ac:dyDescent="0.25">
      <c r="A353" s="164"/>
      <c r="B353" s="4"/>
      <c r="C353" s="4"/>
      <c r="E353" s="2"/>
      <c r="F353" s="2"/>
      <c r="G353" s="2"/>
      <c r="H353" s="2"/>
      <c r="I353" s="2"/>
      <c r="J353" s="2"/>
      <c r="K353" s="2"/>
    </row>
    <row r="354" spans="1:11" ht="15.75" customHeight="1" x14ac:dyDescent="0.25">
      <c r="A354" s="164"/>
      <c r="B354" s="4"/>
      <c r="C354" s="4"/>
      <c r="E354" s="2"/>
      <c r="F354" s="2"/>
      <c r="G354" s="2"/>
      <c r="H354" s="2"/>
      <c r="I354" s="2"/>
      <c r="J354" s="2"/>
      <c r="K354" s="2"/>
    </row>
    <row r="355" spans="1:11" ht="15.75" customHeight="1" x14ac:dyDescent="0.25">
      <c r="A355" s="164"/>
      <c r="B355" s="4"/>
      <c r="C355" s="4"/>
      <c r="E355" s="2"/>
      <c r="F355" s="2"/>
      <c r="G355" s="2"/>
      <c r="H355" s="2"/>
      <c r="I355" s="2"/>
      <c r="J355" s="2"/>
      <c r="K355" s="2"/>
    </row>
    <row r="356" spans="1:11" ht="15.75" customHeight="1" x14ac:dyDescent="0.25">
      <c r="A356" s="164"/>
      <c r="B356" s="4"/>
      <c r="C356" s="4"/>
      <c r="E356" s="2"/>
      <c r="F356" s="2"/>
      <c r="G356" s="2"/>
      <c r="H356" s="2"/>
      <c r="I356" s="2"/>
      <c r="J356" s="2"/>
      <c r="K356" s="2"/>
    </row>
    <row r="357" spans="1:11" ht="15.75" customHeight="1" x14ac:dyDescent="0.25">
      <c r="A357" s="164"/>
      <c r="B357" s="4"/>
      <c r="C357" s="4"/>
      <c r="E357" s="2"/>
      <c r="F357" s="2"/>
      <c r="G357" s="2"/>
      <c r="H357" s="2"/>
      <c r="I357" s="2"/>
      <c r="J357" s="2"/>
      <c r="K357" s="2"/>
    </row>
    <row r="358" spans="1:11" ht="15.75" customHeight="1" x14ac:dyDescent="0.25">
      <c r="A358" s="164"/>
      <c r="B358" s="4"/>
      <c r="C358" s="4"/>
      <c r="E358" s="2"/>
      <c r="F358" s="2"/>
      <c r="G358" s="2"/>
      <c r="H358" s="2"/>
      <c r="I358" s="2"/>
      <c r="J358" s="2"/>
      <c r="K358" s="2"/>
    </row>
    <row r="359" spans="1:11" ht="15.75" customHeight="1" x14ac:dyDescent="0.25">
      <c r="A359" s="164"/>
      <c r="B359" s="4"/>
      <c r="C359" s="4"/>
      <c r="E359" s="2"/>
      <c r="F359" s="2"/>
      <c r="G359" s="2"/>
      <c r="H359" s="2"/>
      <c r="I359" s="2"/>
      <c r="J359" s="2"/>
      <c r="K359" s="2"/>
    </row>
    <row r="360" spans="1:11" ht="15.75" customHeight="1" x14ac:dyDescent="0.25">
      <c r="A360" s="164"/>
      <c r="B360" s="4"/>
      <c r="C360" s="4"/>
      <c r="E360" s="2"/>
      <c r="F360" s="2"/>
      <c r="G360" s="2"/>
      <c r="H360" s="2"/>
      <c r="I360" s="2"/>
      <c r="J360" s="2"/>
      <c r="K360" s="2"/>
    </row>
    <row r="361" spans="1:11" ht="15.75" customHeight="1" x14ac:dyDescent="0.25">
      <c r="A361" s="164"/>
      <c r="B361" s="4"/>
      <c r="C361" s="4"/>
      <c r="E361" s="2"/>
      <c r="F361" s="2"/>
      <c r="G361" s="2"/>
      <c r="H361" s="2"/>
      <c r="I361" s="2"/>
      <c r="J361" s="2"/>
      <c r="K361" s="2"/>
    </row>
    <row r="362" spans="1:11" ht="15.75" customHeight="1" x14ac:dyDescent="0.25">
      <c r="A362" s="164"/>
      <c r="B362" s="4"/>
      <c r="C362" s="4"/>
      <c r="E362" s="2"/>
      <c r="F362" s="2"/>
      <c r="G362" s="2"/>
      <c r="H362" s="2"/>
      <c r="I362" s="2"/>
      <c r="J362" s="2"/>
      <c r="K362" s="2"/>
    </row>
    <row r="363" spans="1:11" ht="15.75" customHeight="1" x14ac:dyDescent="0.25">
      <c r="A363" s="164"/>
      <c r="B363" s="4"/>
      <c r="C363" s="4"/>
      <c r="E363" s="2"/>
      <c r="F363" s="2"/>
      <c r="G363" s="2"/>
      <c r="H363" s="2"/>
      <c r="I363" s="2"/>
      <c r="J363" s="2"/>
      <c r="K363" s="2"/>
    </row>
    <row r="364" spans="1:11" ht="15.75" customHeight="1" x14ac:dyDescent="0.25">
      <c r="A364" s="164"/>
      <c r="B364" s="4"/>
      <c r="C364" s="4"/>
      <c r="E364" s="2"/>
      <c r="F364" s="2"/>
      <c r="G364" s="2"/>
      <c r="H364" s="2"/>
      <c r="I364" s="2"/>
      <c r="J364" s="2"/>
      <c r="K364" s="2"/>
    </row>
    <row r="365" spans="1:11" ht="15.75" customHeight="1" x14ac:dyDescent="0.25">
      <c r="A365" s="164"/>
      <c r="B365" s="4"/>
      <c r="C365" s="4"/>
      <c r="E365" s="2"/>
      <c r="F365" s="2"/>
      <c r="G365" s="2"/>
      <c r="H365" s="2"/>
      <c r="I365" s="2"/>
      <c r="J365" s="2"/>
      <c r="K365" s="2"/>
    </row>
    <row r="366" spans="1:11" ht="15.75" customHeight="1" x14ac:dyDescent="0.25">
      <c r="A366" s="164"/>
      <c r="B366" s="4"/>
      <c r="C366" s="4"/>
      <c r="E366" s="2"/>
      <c r="F366" s="2"/>
      <c r="G366" s="2"/>
      <c r="H366" s="2"/>
      <c r="I366" s="2"/>
      <c r="J366" s="2"/>
      <c r="K366" s="2"/>
    </row>
    <row r="367" spans="1:11" ht="15.75" customHeight="1" x14ac:dyDescent="0.25">
      <c r="A367" s="164"/>
      <c r="B367" s="4"/>
      <c r="C367" s="4"/>
      <c r="E367" s="2"/>
      <c r="F367" s="2"/>
      <c r="G367" s="2"/>
      <c r="H367" s="2"/>
      <c r="I367" s="2"/>
      <c r="J367" s="2"/>
      <c r="K367" s="2"/>
    </row>
    <row r="368" spans="1:11" ht="15.75" customHeight="1" x14ac:dyDescent="0.25">
      <c r="A368" s="164"/>
      <c r="B368" s="4"/>
      <c r="C368" s="4"/>
      <c r="E368" s="2"/>
      <c r="F368" s="2"/>
      <c r="G368" s="2"/>
      <c r="H368" s="2"/>
      <c r="I368" s="2"/>
      <c r="J368" s="2"/>
      <c r="K368" s="2"/>
    </row>
    <row r="369" spans="1:11" ht="15.75" customHeight="1" x14ac:dyDescent="0.25">
      <c r="A369" s="164"/>
      <c r="B369" s="4"/>
      <c r="C369" s="4"/>
      <c r="E369" s="2"/>
      <c r="F369" s="2"/>
      <c r="G369" s="2"/>
      <c r="H369" s="2"/>
      <c r="I369" s="2"/>
      <c r="J369" s="2"/>
      <c r="K369" s="2"/>
    </row>
    <row r="370" spans="1:11" ht="15.75" customHeight="1" x14ac:dyDescent="0.25">
      <c r="A370" s="164"/>
      <c r="B370" s="4"/>
      <c r="C370" s="4"/>
      <c r="E370" s="2"/>
      <c r="F370" s="2"/>
      <c r="G370" s="2"/>
      <c r="H370" s="2"/>
      <c r="I370" s="2"/>
      <c r="J370" s="2"/>
      <c r="K370" s="2"/>
    </row>
    <row r="371" spans="1:11" ht="15.75" customHeight="1" x14ac:dyDescent="0.25">
      <c r="A371" s="164"/>
      <c r="B371" s="4"/>
      <c r="C371" s="4"/>
      <c r="E371" s="2"/>
      <c r="F371" s="2"/>
      <c r="G371" s="2"/>
      <c r="H371" s="2"/>
      <c r="I371" s="2"/>
      <c r="J371" s="2"/>
      <c r="K371" s="2"/>
    </row>
    <row r="372" spans="1:11" ht="15.75" customHeight="1" x14ac:dyDescent="0.25">
      <c r="A372" s="164"/>
      <c r="B372" s="4"/>
      <c r="C372" s="4"/>
      <c r="E372" s="2"/>
      <c r="F372" s="2"/>
      <c r="G372" s="2"/>
      <c r="H372" s="2"/>
      <c r="I372" s="2"/>
      <c r="J372" s="2"/>
      <c r="K372" s="2"/>
    </row>
    <row r="373" spans="1:11" ht="15.75" customHeight="1" x14ac:dyDescent="0.25">
      <c r="A373" s="164"/>
      <c r="B373" s="4"/>
      <c r="C373" s="4"/>
      <c r="E373" s="2"/>
      <c r="F373" s="2"/>
      <c r="G373" s="2"/>
      <c r="H373" s="2"/>
      <c r="I373" s="2"/>
      <c r="J373" s="2"/>
      <c r="K373" s="2"/>
    </row>
    <row r="374" spans="1:11" ht="15.75" customHeight="1" x14ac:dyDescent="0.25">
      <c r="A374" s="164"/>
      <c r="B374" s="4"/>
      <c r="C374" s="4"/>
      <c r="E374" s="2"/>
      <c r="F374" s="2"/>
      <c r="G374" s="2"/>
      <c r="H374" s="2"/>
      <c r="I374" s="2"/>
      <c r="J374" s="2"/>
      <c r="K374" s="2"/>
    </row>
    <row r="375" spans="1:11" ht="15.75" customHeight="1" x14ac:dyDescent="0.25">
      <c r="A375" s="164"/>
      <c r="B375" s="4"/>
      <c r="C375" s="4"/>
      <c r="E375" s="2"/>
      <c r="F375" s="2"/>
      <c r="G375" s="2"/>
      <c r="H375" s="2"/>
      <c r="I375" s="2"/>
      <c r="J375" s="2"/>
      <c r="K375" s="2"/>
    </row>
    <row r="376" spans="1:11" ht="15.75" customHeight="1" x14ac:dyDescent="0.25">
      <c r="A376" s="164"/>
      <c r="B376" s="4"/>
      <c r="C376" s="4"/>
      <c r="E376" s="2"/>
      <c r="F376" s="2"/>
      <c r="G376" s="2"/>
      <c r="H376" s="2"/>
      <c r="I376" s="2"/>
      <c r="J376" s="2"/>
      <c r="K376" s="2"/>
    </row>
    <row r="377" spans="1:11" ht="15.75" customHeight="1" x14ac:dyDescent="0.25">
      <c r="A377" s="164"/>
      <c r="B377" s="4"/>
      <c r="C377" s="4"/>
      <c r="E377" s="2"/>
      <c r="F377" s="2"/>
      <c r="G377" s="2"/>
      <c r="H377" s="2"/>
      <c r="I377" s="2"/>
      <c r="J377" s="2"/>
      <c r="K377" s="2"/>
    </row>
    <row r="378" spans="1:11" ht="15.75" customHeight="1" x14ac:dyDescent="0.25">
      <c r="A378" s="164"/>
      <c r="B378" s="4"/>
      <c r="C378" s="4"/>
      <c r="E378" s="2"/>
      <c r="F378" s="2"/>
      <c r="G378" s="2"/>
      <c r="H378" s="2"/>
      <c r="I378" s="2"/>
      <c r="J378" s="2"/>
      <c r="K378" s="2"/>
    </row>
    <row r="379" spans="1:11" ht="15.75" customHeight="1" x14ac:dyDescent="0.25">
      <c r="A379" s="164"/>
      <c r="B379" s="4"/>
      <c r="C379" s="4"/>
      <c r="E379" s="2"/>
      <c r="F379" s="2"/>
      <c r="G379" s="2"/>
      <c r="H379" s="2"/>
      <c r="I379" s="2"/>
      <c r="J379" s="2"/>
      <c r="K379" s="2"/>
    </row>
    <row r="380" spans="1:11" ht="15.75" customHeight="1" x14ac:dyDescent="0.25">
      <c r="A380" s="164"/>
      <c r="B380" s="4"/>
      <c r="C380" s="4"/>
      <c r="E380" s="2"/>
      <c r="F380" s="2"/>
      <c r="G380" s="2"/>
      <c r="H380" s="2"/>
      <c r="I380" s="2"/>
      <c r="J380" s="2"/>
      <c r="K380" s="2"/>
    </row>
    <row r="381" spans="1:11" ht="15.75" customHeight="1" x14ac:dyDescent="0.25">
      <c r="A381" s="164"/>
      <c r="B381" s="4"/>
      <c r="C381" s="4"/>
      <c r="E381" s="2"/>
      <c r="F381" s="2"/>
      <c r="G381" s="2"/>
      <c r="H381" s="2"/>
      <c r="I381" s="2"/>
      <c r="J381" s="2"/>
      <c r="K381" s="2"/>
    </row>
    <row r="382" spans="1:11" ht="15.75" customHeight="1" x14ac:dyDescent="0.25">
      <c r="A382" s="164"/>
      <c r="B382" s="4"/>
      <c r="C382" s="4"/>
      <c r="E382" s="2"/>
      <c r="F382" s="2"/>
      <c r="G382" s="2"/>
      <c r="H382" s="2"/>
      <c r="I382" s="2"/>
      <c r="J382" s="2"/>
      <c r="K382" s="2"/>
    </row>
    <row r="383" spans="1:11" ht="15.75" customHeight="1" x14ac:dyDescent="0.25">
      <c r="A383" s="164"/>
      <c r="B383" s="4"/>
      <c r="C383" s="4"/>
      <c r="E383" s="2"/>
      <c r="F383" s="2"/>
      <c r="G383" s="2"/>
      <c r="H383" s="2"/>
      <c r="I383" s="2"/>
      <c r="J383" s="2"/>
      <c r="K383" s="2"/>
    </row>
    <row r="384" spans="1:11" ht="15.75" customHeight="1" x14ac:dyDescent="0.25">
      <c r="A384" s="164"/>
      <c r="B384" s="4"/>
      <c r="C384" s="4"/>
      <c r="E384" s="2"/>
      <c r="F384" s="2"/>
      <c r="G384" s="2"/>
      <c r="H384" s="2"/>
      <c r="I384" s="2"/>
      <c r="J384" s="2"/>
      <c r="K384" s="2"/>
    </row>
    <row r="385" spans="1:11" ht="15.75" customHeight="1" x14ac:dyDescent="0.25">
      <c r="A385" s="164"/>
      <c r="B385" s="4"/>
      <c r="C385" s="4"/>
      <c r="E385" s="2"/>
      <c r="F385" s="2"/>
      <c r="G385" s="2"/>
      <c r="H385" s="2"/>
      <c r="I385" s="2"/>
      <c r="J385" s="2"/>
      <c r="K385" s="2"/>
    </row>
    <row r="386" spans="1:11" ht="15.75" customHeight="1" x14ac:dyDescent="0.25">
      <c r="A386" s="164"/>
      <c r="B386" s="4"/>
      <c r="C386" s="4"/>
      <c r="E386" s="2"/>
      <c r="F386" s="2"/>
      <c r="G386" s="2"/>
      <c r="H386" s="2"/>
      <c r="I386" s="2"/>
      <c r="J386" s="2"/>
      <c r="K386" s="2"/>
    </row>
    <row r="387" spans="1:11" ht="15.75" customHeight="1" x14ac:dyDescent="0.25">
      <c r="A387" s="164"/>
      <c r="B387" s="4"/>
      <c r="C387" s="4"/>
      <c r="E387" s="2"/>
      <c r="F387" s="2"/>
      <c r="G387" s="2"/>
      <c r="H387" s="2"/>
      <c r="I387" s="2"/>
      <c r="J387" s="2"/>
      <c r="K387" s="2"/>
    </row>
    <row r="388" spans="1:11" ht="15.75" customHeight="1" x14ac:dyDescent="0.25">
      <c r="A388" s="164"/>
      <c r="B388" s="4"/>
      <c r="C388" s="4"/>
      <c r="E388" s="2"/>
      <c r="F388" s="2"/>
      <c r="G388" s="2"/>
      <c r="H388" s="2"/>
      <c r="I388" s="2"/>
      <c r="J388" s="2"/>
      <c r="K388" s="2"/>
    </row>
    <row r="389" spans="1:11" ht="15.75" customHeight="1" x14ac:dyDescent="0.25">
      <c r="A389" s="164"/>
      <c r="B389" s="4"/>
      <c r="C389" s="4"/>
      <c r="E389" s="2"/>
      <c r="F389" s="2"/>
      <c r="G389" s="2"/>
      <c r="H389" s="2"/>
      <c r="I389" s="2"/>
      <c r="J389" s="2"/>
      <c r="K389" s="2"/>
    </row>
    <row r="390" spans="1:11" ht="15.75" customHeight="1" x14ac:dyDescent="0.25">
      <c r="A390" s="164"/>
      <c r="B390" s="4"/>
      <c r="C390" s="4"/>
      <c r="E390" s="2"/>
      <c r="F390" s="2"/>
      <c r="G390" s="2"/>
      <c r="H390" s="2"/>
      <c r="I390" s="2"/>
      <c r="J390" s="2"/>
      <c r="K390" s="2"/>
    </row>
    <row r="391" spans="1:11" ht="15.75" customHeight="1" x14ac:dyDescent="0.25">
      <c r="A391" s="164"/>
      <c r="B391" s="4"/>
      <c r="C391" s="4"/>
      <c r="E391" s="2"/>
      <c r="F391" s="2"/>
      <c r="G391" s="2"/>
      <c r="H391" s="2"/>
      <c r="I391" s="2"/>
      <c r="J391" s="2"/>
      <c r="K391" s="2"/>
    </row>
    <row r="392" spans="1:11" ht="15.75" customHeight="1" x14ac:dyDescent="0.25">
      <c r="A392" s="164"/>
      <c r="B392" s="4"/>
      <c r="C392" s="4"/>
      <c r="E392" s="2"/>
      <c r="F392" s="2"/>
      <c r="G392" s="2"/>
      <c r="H392" s="2"/>
      <c r="I392" s="2"/>
      <c r="J392" s="2"/>
      <c r="K392" s="2"/>
    </row>
    <row r="393" spans="1:11" ht="15.75" customHeight="1" x14ac:dyDescent="0.25">
      <c r="A393" s="164"/>
      <c r="B393" s="4"/>
      <c r="C393" s="4"/>
      <c r="E393" s="2"/>
      <c r="F393" s="2"/>
      <c r="G393" s="2"/>
      <c r="H393" s="2"/>
      <c r="I393" s="2"/>
      <c r="J393" s="2"/>
      <c r="K393" s="2"/>
    </row>
    <row r="394" spans="1:11" ht="15.75" customHeight="1" x14ac:dyDescent="0.25">
      <c r="A394" s="164"/>
      <c r="B394" s="4"/>
      <c r="C394" s="4"/>
      <c r="E394" s="2"/>
      <c r="F394" s="2"/>
      <c r="G394" s="2"/>
      <c r="H394" s="2"/>
      <c r="I394" s="2"/>
      <c r="J394" s="2"/>
      <c r="K394" s="2"/>
    </row>
    <row r="395" spans="1:11" ht="15.75" customHeight="1" x14ac:dyDescent="0.25">
      <c r="A395" s="164"/>
      <c r="B395" s="4"/>
      <c r="C395" s="4"/>
      <c r="E395" s="2"/>
      <c r="F395" s="2"/>
      <c r="G395" s="2"/>
      <c r="H395" s="2"/>
      <c r="I395" s="2"/>
      <c r="J395" s="2"/>
      <c r="K395" s="2"/>
    </row>
    <row r="396" spans="1:11" ht="15.75" customHeight="1" x14ac:dyDescent="0.25">
      <c r="A396" s="164"/>
      <c r="B396" s="4"/>
      <c r="C396" s="4"/>
      <c r="E396" s="2"/>
      <c r="F396" s="2"/>
      <c r="G396" s="2"/>
      <c r="H396" s="2"/>
      <c r="I396" s="2"/>
      <c r="J396" s="2"/>
      <c r="K396" s="2"/>
    </row>
    <row r="397" spans="1:11" ht="15.75" customHeight="1" x14ac:dyDescent="0.25">
      <c r="A397" s="164"/>
      <c r="B397" s="4"/>
      <c r="C397" s="4"/>
      <c r="E397" s="2"/>
      <c r="F397" s="2"/>
      <c r="G397" s="2"/>
      <c r="H397" s="2"/>
      <c r="I397" s="2"/>
      <c r="J397" s="2"/>
      <c r="K397" s="2"/>
    </row>
    <row r="398" spans="1:11" ht="15.75" customHeight="1" x14ac:dyDescent="0.25">
      <c r="A398" s="164"/>
      <c r="B398" s="4"/>
      <c r="C398" s="4"/>
      <c r="E398" s="2"/>
      <c r="F398" s="2"/>
      <c r="G398" s="2"/>
      <c r="H398" s="2"/>
      <c r="I398" s="2"/>
      <c r="J398" s="2"/>
      <c r="K398" s="2"/>
    </row>
    <row r="399" spans="1:11" ht="15.75" customHeight="1" x14ac:dyDescent="0.25">
      <c r="A399" s="164"/>
      <c r="B399" s="4"/>
      <c r="C399" s="4"/>
      <c r="E399" s="2"/>
      <c r="F399" s="2"/>
      <c r="G399" s="2"/>
      <c r="H399" s="2"/>
      <c r="I399" s="2"/>
      <c r="J399" s="2"/>
      <c r="K399" s="2"/>
    </row>
    <row r="400" spans="1:11" ht="15.75" customHeight="1" x14ac:dyDescent="0.25">
      <c r="A400" s="164"/>
      <c r="B400" s="4"/>
      <c r="C400" s="4"/>
      <c r="E400" s="2"/>
      <c r="F400" s="2"/>
      <c r="G400" s="2"/>
      <c r="H400" s="2"/>
      <c r="I400" s="2"/>
      <c r="J400" s="2"/>
      <c r="K400" s="2"/>
    </row>
    <row r="401" spans="1:11" ht="15.75" customHeight="1" x14ac:dyDescent="0.25">
      <c r="A401" s="164"/>
      <c r="B401" s="4"/>
      <c r="C401" s="4"/>
      <c r="E401" s="2"/>
      <c r="F401" s="2"/>
      <c r="G401" s="2"/>
      <c r="H401" s="2"/>
      <c r="I401" s="2"/>
      <c r="J401" s="2"/>
      <c r="K401" s="2"/>
    </row>
    <row r="402" spans="1:11" ht="15.75" customHeight="1" x14ac:dyDescent="0.25">
      <c r="A402" s="164"/>
      <c r="B402" s="4"/>
      <c r="C402" s="4"/>
      <c r="E402" s="2"/>
      <c r="F402" s="2"/>
      <c r="G402" s="2"/>
      <c r="H402" s="2"/>
      <c r="I402" s="2"/>
      <c r="J402" s="2"/>
      <c r="K402" s="2"/>
    </row>
    <row r="403" spans="1:11" ht="15.75" customHeight="1" x14ac:dyDescent="0.25">
      <c r="A403" s="164"/>
      <c r="B403" s="4"/>
      <c r="C403" s="4"/>
      <c r="E403" s="2"/>
      <c r="F403" s="2"/>
      <c r="G403" s="2"/>
      <c r="H403" s="2"/>
      <c r="I403" s="2"/>
      <c r="J403" s="2"/>
      <c r="K403" s="2"/>
    </row>
    <row r="404" spans="1:11" ht="15.75" customHeight="1" x14ac:dyDescent="0.25">
      <c r="A404" s="164"/>
      <c r="B404" s="4"/>
      <c r="C404" s="4"/>
      <c r="E404" s="2"/>
      <c r="F404" s="2"/>
      <c r="G404" s="2"/>
      <c r="H404" s="2"/>
      <c r="I404" s="2"/>
      <c r="J404" s="2"/>
      <c r="K404" s="2"/>
    </row>
    <row r="405" spans="1:11" ht="15.75" customHeight="1" x14ac:dyDescent="0.25">
      <c r="A405" s="164"/>
      <c r="B405" s="4"/>
      <c r="C405" s="4"/>
      <c r="E405" s="2"/>
      <c r="F405" s="2"/>
      <c r="G405" s="2"/>
      <c r="H405" s="2"/>
      <c r="I405" s="2"/>
      <c r="J405" s="2"/>
      <c r="K405" s="2"/>
    </row>
    <row r="406" spans="1:11" ht="15.75" customHeight="1" x14ac:dyDescent="0.25">
      <c r="A406" s="164"/>
      <c r="B406" s="4"/>
      <c r="C406" s="4"/>
      <c r="E406" s="2"/>
      <c r="F406" s="2"/>
      <c r="G406" s="2"/>
      <c r="H406" s="2"/>
      <c r="I406" s="2"/>
      <c r="J406" s="2"/>
      <c r="K406" s="2"/>
    </row>
    <row r="407" spans="1:11" ht="15.75" customHeight="1" x14ac:dyDescent="0.25">
      <c r="A407" s="164"/>
      <c r="B407" s="4"/>
      <c r="C407" s="4"/>
      <c r="E407" s="2"/>
      <c r="F407" s="2"/>
      <c r="G407" s="2"/>
      <c r="H407" s="2"/>
      <c r="I407" s="2"/>
      <c r="J407" s="2"/>
      <c r="K407" s="2"/>
    </row>
    <row r="408" spans="1:11" ht="15.75" customHeight="1" x14ac:dyDescent="0.25">
      <c r="A408" s="164"/>
      <c r="B408" s="4"/>
      <c r="C408" s="4"/>
      <c r="E408" s="2"/>
      <c r="F408" s="2"/>
      <c r="G408" s="2"/>
      <c r="H408" s="2"/>
      <c r="I408" s="2"/>
      <c r="J408" s="2"/>
      <c r="K408" s="2"/>
    </row>
    <row r="409" spans="1:11" ht="15.75" customHeight="1" x14ac:dyDescent="0.25">
      <c r="A409" s="164"/>
      <c r="B409" s="4"/>
      <c r="C409" s="4"/>
      <c r="E409" s="2"/>
      <c r="F409" s="2"/>
      <c r="G409" s="2"/>
      <c r="H409" s="2"/>
      <c r="I409" s="2"/>
      <c r="J409" s="2"/>
      <c r="K409" s="2"/>
    </row>
    <row r="410" spans="1:11" ht="15.75" customHeight="1" x14ac:dyDescent="0.25">
      <c r="A410" s="164"/>
      <c r="B410" s="4"/>
      <c r="C410" s="4"/>
      <c r="E410" s="2"/>
      <c r="F410" s="2"/>
      <c r="G410" s="2"/>
      <c r="H410" s="2"/>
      <c r="I410" s="2"/>
      <c r="J410" s="2"/>
      <c r="K410" s="2"/>
    </row>
    <row r="411" spans="1:11" ht="15.75" customHeight="1" x14ac:dyDescent="0.25">
      <c r="A411" s="164"/>
      <c r="B411" s="4"/>
      <c r="C411" s="4"/>
      <c r="E411" s="2"/>
      <c r="F411" s="2"/>
      <c r="G411" s="2"/>
      <c r="H411" s="2"/>
      <c r="I411" s="2"/>
      <c r="J411" s="2"/>
      <c r="K411" s="2"/>
    </row>
    <row r="412" spans="1:11" ht="15.75" customHeight="1" x14ac:dyDescent="0.25">
      <c r="A412" s="164"/>
      <c r="B412" s="4"/>
      <c r="C412" s="4"/>
      <c r="E412" s="2"/>
      <c r="F412" s="2"/>
      <c r="G412" s="2"/>
      <c r="H412" s="2"/>
      <c r="I412" s="2"/>
      <c r="J412" s="2"/>
      <c r="K412" s="2"/>
    </row>
    <row r="413" spans="1:11" ht="15.75" customHeight="1" x14ac:dyDescent="0.25">
      <c r="A413" s="164"/>
      <c r="B413" s="4"/>
      <c r="C413" s="4"/>
      <c r="E413" s="2"/>
      <c r="F413" s="2"/>
      <c r="G413" s="2"/>
      <c r="H413" s="2"/>
      <c r="I413" s="2"/>
      <c r="J413" s="2"/>
      <c r="K413" s="2"/>
    </row>
    <row r="414" spans="1:11" ht="15.75" customHeight="1" x14ac:dyDescent="0.25">
      <c r="A414" s="164"/>
      <c r="B414" s="4"/>
      <c r="C414" s="4"/>
      <c r="E414" s="2"/>
      <c r="F414" s="2"/>
      <c r="G414" s="2"/>
      <c r="H414" s="2"/>
      <c r="I414" s="2"/>
      <c r="J414" s="2"/>
      <c r="K414" s="2"/>
    </row>
    <row r="415" spans="1:11" ht="15.75" customHeight="1" x14ac:dyDescent="0.25">
      <c r="A415" s="164"/>
      <c r="B415" s="4"/>
      <c r="C415" s="4"/>
      <c r="E415" s="2"/>
      <c r="F415" s="2"/>
      <c r="G415" s="2"/>
      <c r="H415" s="2"/>
      <c r="I415" s="2"/>
      <c r="J415" s="2"/>
      <c r="K415" s="2"/>
    </row>
    <row r="416" spans="1:11" ht="15.75" customHeight="1" x14ac:dyDescent="0.25">
      <c r="A416" s="164"/>
      <c r="B416" s="4"/>
      <c r="C416" s="4"/>
      <c r="E416" s="2"/>
      <c r="F416" s="2"/>
      <c r="G416" s="2"/>
      <c r="H416" s="2"/>
      <c r="I416" s="2"/>
      <c r="J416" s="2"/>
      <c r="K416" s="2"/>
    </row>
    <row r="417" spans="1:11" ht="15.75" customHeight="1" x14ac:dyDescent="0.25">
      <c r="A417" s="164"/>
      <c r="B417" s="4"/>
      <c r="C417" s="4"/>
      <c r="E417" s="2"/>
      <c r="F417" s="2"/>
      <c r="G417" s="2"/>
      <c r="H417" s="2"/>
      <c r="I417" s="2"/>
      <c r="J417" s="2"/>
      <c r="K417" s="2"/>
    </row>
    <row r="418" spans="1:11" ht="15.75" customHeight="1" x14ac:dyDescent="0.25">
      <c r="A418" s="164"/>
      <c r="B418" s="4"/>
      <c r="C418" s="4"/>
      <c r="E418" s="2"/>
      <c r="F418" s="2"/>
      <c r="G418" s="2"/>
      <c r="H418" s="2"/>
      <c r="I418" s="2"/>
      <c r="J418" s="2"/>
      <c r="K418" s="2"/>
    </row>
    <row r="419" spans="1:11" ht="15.75" customHeight="1" x14ac:dyDescent="0.25">
      <c r="A419" s="164"/>
      <c r="B419" s="4"/>
      <c r="C419" s="4"/>
      <c r="E419" s="2"/>
      <c r="F419" s="2"/>
      <c r="G419" s="2"/>
      <c r="H419" s="2"/>
      <c r="I419" s="2"/>
      <c r="J419" s="2"/>
      <c r="K419" s="2"/>
    </row>
    <row r="420" spans="1:11" ht="15.75" customHeight="1" x14ac:dyDescent="0.25">
      <c r="A420" s="164"/>
      <c r="B420" s="4"/>
      <c r="C420" s="4"/>
      <c r="E420" s="2"/>
      <c r="F420" s="2"/>
      <c r="G420" s="2"/>
      <c r="H420" s="2"/>
      <c r="I420" s="2"/>
      <c r="J420" s="2"/>
      <c r="K420" s="2"/>
    </row>
    <row r="421" spans="1:11" ht="15.75" customHeight="1" x14ac:dyDescent="0.25">
      <c r="A421" s="164"/>
      <c r="B421" s="4"/>
      <c r="C421" s="4"/>
      <c r="E421" s="2"/>
      <c r="F421" s="2"/>
      <c r="G421" s="2"/>
      <c r="H421" s="2"/>
      <c r="I421" s="2"/>
      <c r="J421" s="2"/>
      <c r="K421" s="2"/>
    </row>
    <row r="422" spans="1:11" ht="15.75" customHeight="1" x14ac:dyDescent="0.25">
      <c r="A422" s="164"/>
      <c r="B422" s="4"/>
      <c r="C422" s="4"/>
      <c r="E422" s="2"/>
      <c r="F422" s="2"/>
      <c r="G422" s="2"/>
      <c r="H422" s="2"/>
      <c r="I422" s="2"/>
      <c r="J422" s="2"/>
      <c r="K422" s="2"/>
    </row>
    <row r="423" spans="1:11" ht="15.75" customHeight="1" x14ac:dyDescent="0.25">
      <c r="A423" s="164"/>
      <c r="B423" s="4"/>
      <c r="C423" s="4"/>
      <c r="E423" s="2"/>
      <c r="F423" s="2"/>
      <c r="G423" s="2"/>
      <c r="H423" s="2"/>
      <c r="I423" s="2"/>
      <c r="J423" s="2"/>
      <c r="K423" s="2"/>
    </row>
    <row r="424" spans="1:11" ht="15.75" customHeight="1" x14ac:dyDescent="0.25">
      <c r="A424" s="164"/>
      <c r="B424" s="4"/>
      <c r="C424" s="4"/>
      <c r="E424" s="2"/>
      <c r="F424" s="2"/>
      <c r="G424" s="2"/>
      <c r="H424" s="2"/>
      <c r="I424" s="2"/>
      <c r="J424" s="2"/>
      <c r="K424" s="2"/>
    </row>
    <row r="425" spans="1:11" ht="15.75" customHeight="1" x14ac:dyDescent="0.25">
      <c r="A425" s="164"/>
      <c r="B425" s="4"/>
      <c r="C425" s="4"/>
      <c r="E425" s="2"/>
      <c r="F425" s="2"/>
      <c r="G425" s="2"/>
      <c r="H425" s="2"/>
      <c r="I425" s="2"/>
      <c r="J425" s="2"/>
      <c r="K425" s="2"/>
    </row>
    <row r="426" spans="1:11" ht="15.75" customHeight="1" x14ac:dyDescent="0.25">
      <c r="A426" s="164"/>
      <c r="B426" s="4"/>
      <c r="C426" s="4"/>
      <c r="E426" s="2"/>
      <c r="F426" s="2"/>
      <c r="G426" s="2"/>
      <c r="H426" s="2"/>
      <c r="I426" s="2"/>
      <c r="J426" s="2"/>
      <c r="K426" s="2"/>
    </row>
    <row r="427" spans="1:11" ht="15.75" customHeight="1" x14ac:dyDescent="0.25">
      <c r="A427" s="164"/>
      <c r="B427" s="4"/>
      <c r="C427" s="4"/>
      <c r="E427" s="2"/>
      <c r="F427" s="2"/>
      <c r="G427" s="2"/>
      <c r="H427" s="2"/>
      <c r="I427" s="2"/>
      <c r="J427" s="2"/>
      <c r="K427" s="2"/>
    </row>
    <row r="428" spans="1:11" ht="15.75" customHeight="1" x14ac:dyDescent="0.25">
      <c r="A428" s="164"/>
      <c r="B428" s="4"/>
      <c r="C428" s="4"/>
      <c r="E428" s="2"/>
      <c r="F428" s="2"/>
      <c r="G428" s="2"/>
      <c r="H428" s="2"/>
      <c r="I428" s="2"/>
      <c r="J428" s="2"/>
      <c r="K428" s="2"/>
    </row>
    <row r="429" spans="1:11" ht="15.75" customHeight="1" x14ac:dyDescent="0.25">
      <c r="A429" s="164"/>
      <c r="B429" s="4"/>
      <c r="C429" s="4"/>
      <c r="E429" s="2"/>
      <c r="F429" s="2"/>
      <c r="G429" s="2"/>
      <c r="H429" s="2"/>
      <c r="I429" s="2"/>
      <c r="J429" s="2"/>
      <c r="K429" s="2"/>
    </row>
    <row r="430" spans="1:11" ht="15.75" customHeight="1" x14ac:dyDescent="0.25">
      <c r="A430" s="164"/>
      <c r="B430" s="4"/>
      <c r="C430" s="4"/>
      <c r="E430" s="2"/>
      <c r="F430" s="2"/>
      <c r="G430" s="2"/>
      <c r="H430" s="2"/>
      <c r="I430" s="2"/>
      <c r="J430" s="2"/>
      <c r="K430" s="2"/>
    </row>
    <row r="431" spans="1:11" ht="15.75" customHeight="1" x14ac:dyDescent="0.25">
      <c r="A431" s="164"/>
      <c r="B431" s="4"/>
      <c r="C431" s="4"/>
      <c r="E431" s="2"/>
      <c r="F431" s="2"/>
      <c r="G431" s="2"/>
      <c r="H431" s="2"/>
      <c r="I431" s="2"/>
      <c r="J431" s="2"/>
      <c r="K431" s="2"/>
    </row>
    <row r="432" spans="1:11" ht="15.75" customHeight="1" x14ac:dyDescent="0.25">
      <c r="A432" s="164"/>
      <c r="B432" s="4"/>
      <c r="C432" s="4"/>
      <c r="E432" s="2"/>
      <c r="F432" s="2"/>
      <c r="G432" s="2"/>
      <c r="H432" s="2"/>
      <c r="I432" s="2"/>
      <c r="J432" s="2"/>
      <c r="K432" s="2"/>
    </row>
    <row r="433" spans="1:11" ht="15.75" customHeight="1" x14ac:dyDescent="0.25">
      <c r="A433" s="164"/>
      <c r="B433" s="4"/>
      <c r="C433" s="4"/>
      <c r="E433" s="2"/>
      <c r="F433" s="2"/>
      <c r="G433" s="2"/>
      <c r="H433" s="2"/>
      <c r="I433" s="2"/>
      <c r="J433" s="2"/>
      <c r="K433" s="2"/>
    </row>
    <row r="434" spans="1:11" ht="15.75" customHeight="1" x14ac:dyDescent="0.25">
      <c r="A434" s="164"/>
      <c r="B434" s="4"/>
      <c r="C434" s="4"/>
      <c r="E434" s="2"/>
      <c r="F434" s="2"/>
      <c r="G434" s="2"/>
      <c r="H434" s="2"/>
      <c r="I434" s="2"/>
      <c r="J434" s="2"/>
      <c r="K434" s="2"/>
    </row>
    <row r="435" spans="1:11" ht="15.75" customHeight="1" x14ac:dyDescent="0.25">
      <c r="A435" s="164"/>
      <c r="B435" s="4"/>
      <c r="C435" s="4"/>
      <c r="E435" s="2"/>
      <c r="F435" s="2"/>
      <c r="G435" s="2"/>
      <c r="H435" s="2"/>
      <c r="I435" s="2"/>
      <c r="J435" s="2"/>
      <c r="K435" s="2"/>
    </row>
    <row r="436" spans="1:11" ht="15.75" customHeight="1" x14ac:dyDescent="0.25">
      <c r="A436" s="164"/>
      <c r="B436" s="4"/>
      <c r="C436" s="4"/>
      <c r="E436" s="2"/>
      <c r="F436" s="2"/>
      <c r="G436" s="2"/>
      <c r="H436" s="2"/>
      <c r="I436" s="2"/>
      <c r="J436" s="2"/>
      <c r="K436" s="2"/>
    </row>
    <row r="437" spans="1:11" ht="15.75" customHeight="1" x14ac:dyDescent="0.25">
      <c r="A437" s="164"/>
      <c r="B437" s="4"/>
      <c r="C437" s="4"/>
      <c r="E437" s="2"/>
      <c r="F437" s="2"/>
      <c r="G437" s="2"/>
      <c r="H437" s="2"/>
      <c r="I437" s="2"/>
      <c r="J437" s="2"/>
      <c r="K437" s="2"/>
    </row>
    <row r="438" spans="1:11" ht="15.75" customHeight="1" x14ac:dyDescent="0.25">
      <c r="A438" s="164"/>
      <c r="B438" s="4"/>
      <c r="C438" s="4"/>
      <c r="E438" s="2"/>
      <c r="F438" s="2"/>
      <c r="G438" s="2"/>
      <c r="H438" s="2"/>
      <c r="I438" s="2"/>
      <c r="J438" s="2"/>
      <c r="K438" s="2"/>
    </row>
    <row r="439" spans="1:11" ht="15.75" customHeight="1" x14ac:dyDescent="0.25">
      <c r="A439" s="164"/>
      <c r="B439" s="4"/>
      <c r="C439" s="4"/>
      <c r="E439" s="2"/>
      <c r="F439" s="2"/>
      <c r="G439" s="2"/>
      <c r="H439" s="2"/>
      <c r="I439" s="2"/>
      <c r="J439" s="2"/>
      <c r="K439" s="2"/>
    </row>
    <row r="440" spans="1:11" ht="15.75" customHeight="1" x14ac:dyDescent="0.25">
      <c r="A440" s="164"/>
      <c r="B440" s="4"/>
      <c r="C440" s="4"/>
      <c r="E440" s="2"/>
      <c r="F440" s="2"/>
      <c r="G440" s="2"/>
      <c r="H440" s="2"/>
      <c r="I440" s="2"/>
      <c r="J440" s="2"/>
      <c r="K440" s="2"/>
    </row>
    <row r="441" spans="1:11" ht="15.75" customHeight="1" x14ac:dyDescent="0.25">
      <c r="A441" s="164"/>
      <c r="B441" s="4"/>
      <c r="C441" s="4"/>
      <c r="E441" s="2"/>
      <c r="F441" s="2"/>
      <c r="G441" s="2"/>
      <c r="H441" s="2"/>
      <c r="I441" s="2"/>
      <c r="J441" s="2"/>
      <c r="K441" s="2"/>
    </row>
    <row r="442" spans="1:11" ht="15.75" customHeight="1" x14ac:dyDescent="0.25">
      <c r="A442" s="164"/>
      <c r="B442" s="4"/>
      <c r="C442" s="4"/>
      <c r="E442" s="2"/>
      <c r="F442" s="2"/>
      <c r="G442" s="2"/>
      <c r="H442" s="2"/>
      <c r="I442" s="2"/>
      <c r="J442" s="2"/>
      <c r="K442" s="2"/>
    </row>
    <row r="443" spans="1:11" ht="15.75" customHeight="1" x14ac:dyDescent="0.25">
      <c r="A443" s="164"/>
      <c r="B443" s="4"/>
      <c r="C443" s="4"/>
      <c r="E443" s="2"/>
      <c r="F443" s="2"/>
      <c r="G443" s="2"/>
      <c r="H443" s="2"/>
      <c r="I443" s="2"/>
      <c r="J443" s="2"/>
      <c r="K443" s="2"/>
    </row>
    <row r="444" spans="1:11" ht="15.75" customHeight="1" x14ac:dyDescent="0.25">
      <c r="A444" s="164"/>
      <c r="B444" s="4"/>
      <c r="C444" s="4"/>
      <c r="E444" s="2"/>
      <c r="F444" s="2"/>
      <c r="G444" s="2"/>
      <c r="H444" s="2"/>
      <c r="I444" s="2"/>
      <c r="J444" s="2"/>
      <c r="K444" s="2"/>
    </row>
    <row r="445" spans="1:11" ht="15.75" customHeight="1" x14ac:dyDescent="0.25">
      <c r="A445" s="164"/>
      <c r="B445" s="4"/>
      <c r="C445" s="4"/>
      <c r="E445" s="2"/>
      <c r="F445" s="2"/>
      <c r="G445" s="2"/>
      <c r="H445" s="2"/>
      <c r="I445" s="2"/>
      <c r="J445" s="2"/>
      <c r="K445" s="2"/>
    </row>
    <row r="446" spans="1:11" ht="15.75" customHeight="1" x14ac:dyDescent="0.25">
      <c r="A446" s="164"/>
      <c r="B446" s="4"/>
      <c r="C446" s="4"/>
      <c r="E446" s="2"/>
      <c r="F446" s="2"/>
      <c r="G446" s="2"/>
      <c r="H446" s="2"/>
      <c r="I446" s="2"/>
      <c r="J446" s="2"/>
      <c r="K446" s="2"/>
    </row>
    <row r="447" spans="1:11" ht="15.75" customHeight="1" x14ac:dyDescent="0.25">
      <c r="A447" s="164"/>
      <c r="B447" s="4"/>
      <c r="C447" s="4"/>
      <c r="E447" s="2"/>
      <c r="F447" s="2"/>
      <c r="G447" s="2"/>
      <c r="H447" s="2"/>
      <c r="I447" s="2"/>
      <c r="J447" s="2"/>
      <c r="K447" s="2"/>
    </row>
    <row r="448" spans="1:11" ht="15.75" customHeight="1" x14ac:dyDescent="0.25">
      <c r="A448" s="164"/>
      <c r="B448" s="4"/>
      <c r="C448" s="4"/>
      <c r="E448" s="2"/>
      <c r="F448" s="2"/>
      <c r="G448" s="2"/>
      <c r="H448" s="2"/>
      <c r="I448" s="2"/>
      <c r="J448" s="2"/>
      <c r="K448" s="2"/>
    </row>
    <row r="449" spans="1:11" ht="15.75" customHeight="1" x14ac:dyDescent="0.25">
      <c r="A449" s="164"/>
      <c r="B449" s="4"/>
      <c r="C449" s="4"/>
      <c r="E449" s="2"/>
      <c r="F449" s="2"/>
      <c r="G449" s="2"/>
      <c r="H449" s="2"/>
      <c r="I449" s="2"/>
      <c r="J449" s="2"/>
      <c r="K449" s="2"/>
    </row>
    <row r="450" spans="1:11" ht="15.75" customHeight="1" x14ac:dyDescent="0.25">
      <c r="A450" s="164"/>
      <c r="B450" s="4"/>
      <c r="C450" s="4"/>
      <c r="E450" s="2"/>
      <c r="F450" s="2"/>
      <c r="G450" s="2"/>
      <c r="H450" s="2"/>
      <c r="I450" s="2"/>
      <c r="J450" s="2"/>
      <c r="K450" s="2"/>
    </row>
    <row r="451" spans="1:11" ht="15.75" customHeight="1" x14ac:dyDescent="0.25">
      <c r="A451" s="164"/>
      <c r="B451" s="4"/>
      <c r="C451" s="4"/>
      <c r="E451" s="2"/>
      <c r="F451" s="2"/>
      <c r="G451" s="2"/>
      <c r="H451" s="2"/>
      <c r="I451" s="2"/>
      <c r="J451" s="2"/>
      <c r="K451" s="2"/>
    </row>
    <row r="452" spans="1:11" ht="15.75" customHeight="1" x14ac:dyDescent="0.25">
      <c r="A452" s="164"/>
      <c r="B452" s="4"/>
      <c r="C452" s="4"/>
      <c r="E452" s="2"/>
      <c r="F452" s="2"/>
      <c r="G452" s="2"/>
      <c r="H452" s="2"/>
      <c r="I452" s="2"/>
      <c r="J452" s="2"/>
      <c r="K452" s="2"/>
    </row>
    <row r="453" spans="1:11" ht="15.75" customHeight="1" x14ac:dyDescent="0.25">
      <c r="A453" s="164"/>
      <c r="B453" s="4"/>
      <c r="C453" s="4"/>
      <c r="E453" s="2"/>
      <c r="F453" s="2"/>
      <c r="G453" s="2"/>
      <c r="H453" s="2"/>
      <c r="I453" s="2"/>
      <c r="J453" s="2"/>
      <c r="K453" s="2"/>
    </row>
    <row r="454" spans="1:11" ht="15.75" customHeight="1" x14ac:dyDescent="0.25">
      <c r="A454" s="164"/>
      <c r="B454" s="4"/>
      <c r="C454" s="4"/>
      <c r="E454" s="2"/>
      <c r="F454" s="2"/>
      <c r="G454" s="2"/>
      <c r="H454" s="2"/>
      <c r="I454" s="2"/>
      <c r="J454" s="2"/>
      <c r="K454" s="2"/>
    </row>
    <row r="455" spans="1:11" ht="15.75" customHeight="1" x14ac:dyDescent="0.25">
      <c r="A455" s="164"/>
      <c r="B455" s="4"/>
      <c r="C455" s="4"/>
      <c r="E455" s="2"/>
      <c r="F455" s="2"/>
      <c r="G455" s="2"/>
      <c r="H455" s="2"/>
      <c r="I455" s="2"/>
      <c r="J455" s="2"/>
      <c r="K455" s="2"/>
    </row>
    <row r="456" spans="1:11" ht="15.75" customHeight="1" x14ac:dyDescent="0.25">
      <c r="A456" s="164"/>
      <c r="B456" s="4"/>
      <c r="C456" s="4"/>
      <c r="E456" s="2"/>
      <c r="F456" s="2"/>
      <c r="G456" s="2"/>
      <c r="H456" s="2"/>
      <c r="I456" s="2"/>
      <c r="J456" s="2"/>
      <c r="K456" s="2"/>
    </row>
    <row r="457" spans="1:11" ht="15.75" customHeight="1" x14ac:dyDescent="0.25">
      <c r="A457" s="164"/>
      <c r="B457" s="4"/>
      <c r="C457" s="4"/>
      <c r="E457" s="2"/>
      <c r="F457" s="2"/>
      <c r="G457" s="2"/>
      <c r="H457" s="2"/>
      <c r="I457" s="2"/>
      <c r="J457" s="2"/>
      <c r="K457" s="2"/>
    </row>
    <row r="458" spans="1:11" ht="15.75" customHeight="1" x14ac:dyDescent="0.25">
      <c r="A458" s="164"/>
      <c r="B458" s="4"/>
      <c r="C458" s="4"/>
      <c r="E458" s="2"/>
      <c r="F458" s="2"/>
      <c r="G458" s="2"/>
      <c r="H458" s="2"/>
      <c r="I458" s="2"/>
      <c r="J458" s="2"/>
      <c r="K458" s="2"/>
    </row>
    <row r="459" spans="1:11" ht="15.75" customHeight="1" x14ac:dyDescent="0.25">
      <c r="A459" s="164"/>
      <c r="B459" s="4"/>
      <c r="C459" s="4"/>
      <c r="E459" s="2"/>
      <c r="F459" s="2"/>
      <c r="G459" s="2"/>
      <c r="H459" s="2"/>
      <c r="I459" s="2"/>
      <c r="J459" s="2"/>
      <c r="K459" s="2"/>
    </row>
    <row r="460" spans="1:11" ht="15.75" customHeight="1" x14ac:dyDescent="0.25">
      <c r="A460" s="164"/>
      <c r="B460" s="4"/>
      <c r="C460" s="4"/>
      <c r="E460" s="2"/>
      <c r="F460" s="2"/>
      <c r="G460" s="2"/>
      <c r="H460" s="2"/>
      <c r="I460" s="2"/>
      <c r="J460" s="2"/>
      <c r="K460" s="2"/>
    </row>
    <row r="461" spans="1:11" ht="15.75" customHeight="1" x14ac:dyDescent="0.25">
      <c r="A461" s="164"/>
      <c r="B461" s="4"/>
      <c r="C461" s="4"/>
      <c r="E461" s="2"/>
      <c r="F461" s="2"/>
      <c r="G461" s="2"/>
      <c r="H461" s="2"/>
      <c r="I461" s="2"/>
      <c r="J461" s="2"/>
      <c r="K461" s="2"/>
    </row>
    <row r="462" spans="1:11" ht="15.75" customHeight="1" x14ac:dyDescent="0.25">
      <c r="A462" s="164"/>
      <c r="B462" s="4"/>
      <c r="C462" s="4"/>
      <c r="E462" s="2"/>
      <c r="F462" s="2"/>
      <c r="G462" s="2"/>
      <c r="H462" s="2"/>
      <c r="I462" s="2"/>
      <c r="J462" s="2"/>
      <c r="K462" s="2"/>
    </row>
    <row r="463" spans="1:11" ht="15.75" customHeight="1" x14ac:dyDescent="0.25">
      <c r="A463" s="164"/>
      <c r="B463" s="4"/>
      <c r="C463" s="4"/>
      <c r="E463" s="2"/>
      <c r="F463" s="2"/>
      <c r="G463" s="2"/>
      <c r="H463" s="2"/>
      <c r="I463" s="2"/>
      <c r="J463" s="2"/>
      <c r="K463" s="2"/>
    </row>
    <row r="464" spans="1:11" ht="15.75" customHeight="1" x14ac:dyDescent="0.25">
      <c r="A464" s="164"/>
      <c r="B464" s="4"/>
      <c r="C464" s="4"/>
      <c r="E464" s="2"/>
      <c r="F464" s="2"/>
      <c r="G464" s="2"/>
      <c r="H464" s="2"/>
      <c r="I464" s="2"/>
      <c r="J464" s="2"/>
      <c r="K464" s="2"/>
    </row>
    <row r="465" spans="1:11" ht="15.75" customHeight="1" x14ac:dyDescent="0.25">
      <c r="A465" s="164"/>
      <c r="B465" s="4"/>
      <c r="C465" s="4"/>
      <c r="E465" s="2"/>
      <c r="F465" s="2"/>
      <c r="G465" s="2"/>
      <c r="H465" s="2"/>
      <c r="I465" s="2"/>
      <c r="J465" s="2"/>
      <c r="K465" s="2"/>
    </row>
    <row r="466" spans="1:11" ht="15.75" customHeight="1" x14ac:dyDescent="0.25">
      <c r="A466" s="164"/>
      <c r="B466" s="4"/>
      <c r="C466" s="4"/>
      <c r="E466" s="2"/>
      <c r="F466" s="2"/>
      <c r="G466" s="2"/>
      <c r="H466" s="2"/>
      <c r="I466" s="2"/>
      <c r="J466" s="2"/>
      <c r="K466" s="2"/>
    </row>
    <row r="467" spans="1:11" ht="15.75" customHeight="1" x14ac:dyDescent="0.25">
      <c r="A467" s="164"/>
      <c r="B467" s="4"/>
      <c r="C467" s="4"/>
      <c r="E467" s="2"/>
      <c r="F467" s="2"/>
      <c r="G467" s="2"/>
      <c r="H467" s="2"/>
      <c r="I467" s="2"/>
      <c r="J467" s="2"/>
      <c r="K467" s="2"/>
    </row>
    <row r="468" spans="1:11" ht="15.75" customHeight="1" x14ac:dyDescent="0.25">
      <c r="A468" s="164"/>
      <c r="B468" s="4"/>
      <c r="C468" s="4"/>
      <c r="E468" s="2"/>
      <c r="F468" s="2"/>
      <c r="G468" s="2"/>
      <c r="H468" s="2"/>
      <c r="I468" s="2"/>
      <c r="J468" s="2"/>
      <c r="K468" s="2"/>
    </row>
    <row r="469" spans="1:11" ht="15.75" customHeight="1" x14ac:dyDescent="0.25">
      <c r="A469" s="164"/>
      <c r="B469" s="4"/>
      <c r="C469" s="4"/>
      <c r="E469" s="2"/>
      <c r="F469" s="2"/>
      <c r="G469" s="2"/>
      <c r="H469" s="2"/>
      <c r="I469" s="2"/>
      <c r="J469" s="2"/>
      <c r="K469" s="2"/>
    </row>
    <row r="470" spans="1:11" ht="15.75" customHeight="1" x14ac:dyDescent="0.25">
      <c r="A470" s="164"/>
      <c r="B470" s="4"/>
      <c r="C470" s="4"/>
      <c r="E470" s="2"/>
      <c r="F470" s="2"/>
      <c r="G470" s="2"/>
      <c r="H470" s="2"/>
      <c r="I470" s="2"/>
      <c r="J470" s="2"/>
      <c r="K470" s="2"/>
    </row>
    <row r="471" spans="1:11" ht="15.75" customHeight="1" x14ac:dyDescent="0.25">
      <c r="A471" s="164"/>
      <c r="B471" s="4"/>
      <c r="C471" s="4"/>
      <c r="E471" s="2"/>
      <c r="F471" s="2"/>
      <c r="G471" s="2"/>
      <c r="H471" s="2"/>
      <c r="I471" s="2"/>
      <c r="J471" s="2"/>
      <c r="K471" s="2"/>
    </row>
    <row r="472" spans="1:11" ht="15.75" customHeight="1" x14ac:dyDescent="0.25">
      <c r="A472" s="164"/>
      <c r="B472" s="4"/>
      <c r="C472" s="4"/>
      <c r="E472" s="2"/>
      <c r="F472" s="2"/>
      <c r="G472" s="2"/>
      <c r="H472" s="2"/>
      <c r="I472" s="2"/>
      <c r="J472" s="2"/>
      <c r="K472" s="2"/>
    </row>
    <row r="473" spans="1:11" ht="15.75" customHeight="1" x14ac:dyDescent="0.25">
      <c r="A473" s="164"/>
      <c r="B473" s="4"/>
      <c r="C473" s="4"/>
      <c r="E473" s="2"/>
      <c r="F473" s="2"/>
      <c r="G473" s="2"/>
      <c r="H473" s="2"/>
      <c r="I473" s="2"/>
      <c r="J473" s="2"/>
      <c r="K473" s="2"/>
    </row>
    <row r="474" spans="1:11" ht="15.75" customHeight="1" x14ac:dyDescent="0.25">
      <c r="A474" s="164"/>
      <c r="B474" s="4"/>
      <c r="C474" s="4"/>
      <c r="E474" s="2"/>
      <c r="F474" s="2"/>
      <c r="G474" s="2"/>
      <c r="H474" s="2"/>
      <c r="I474" s="2"/>
      <c r="J474" s="2"/>
      <c r="K474" s="2"/>
    </row>
    <row r="475" spans="1:11" ht="15.75" customHeight="1" x14ac:dyDescent="0.25">
      <c r="A475" s="164"/>
      <c r="B475" s="4"/>
      <c r="C475" s="4"/>
      <c r="E475" s="2"/>
      <c r="F475" s="2"/>
      <c r="G475" s="2"/>
      <c r="H475" s="2"/>
      <c r="I475" s="2"/>
      <c r="J475" s="2"/>
      <c r="K475" s="2"/>
    </row>
    <row r="476" spans="1:11" ht="15.75" customHeight="1" x14ac:dyDescent="0.25">
      <c r="A476" s="164"/>
      <c r="B476" s="4"/>
      <c r="C476" s="4"/>
      <c r="E476" s="2"/>
      <c r="F476" s="2"/>
      <c r="G476" s="2"/>
      <c r="H476" s="2"/>
      <c r="I476" s="2"/>
      <c r="J476" s="2"/>
      <c r="K476" s="2"/>
    </row>
    <row r="477" spans="1:11" ht="15.75" customHeight="1" x14ac:dyDescent="0.25">
      <c r="A477" s="164"/>
      <c r="B477" s="4"/>
      <c r="C477" s="4"/>
      <c r="E477" s="2"/>
      <c r="F477" s="2"/>
      <c r="G477" s="2"/>
      <c r="H477" s="2"/>
      <c r="I477" s="2"/>
      <c r="J477" s="2"/>
      <c r="K477" s="2"/>
    </row>
    <row r="478" spans="1:11" ht="15.75" customHeight="1" x14ac:dyDescent="0.25">
      <c r="A478" s="164"/>
      <c r="B478" s="4"/>
      <c r="C478" s="4"/>
      <c r="E478" s="2"/>
      <c r="F478" s="2"/>
      <c r="G478" s="2"/>
      <c r="H478" s="2"/>
      <c r="I478" s="2"/>
      <c r="J478" s="2"/>
      <c r="K478" s="2"/>
    </row>
    <row r="479" spans="1:11" ht="15.75" customHeight="1" x14ac:dyDescent="0.25">
      <c r="A479" s="164"/>
      <c r="B479" s="4"/>
      <c r="C479" s="4"/>
      <c r="E479" s="2"/>
      <c r="F479" s="2"/>
      <c r="G479" s="2"/>
      <c r="H479" s="2"/>
      <c r="I479" s="2"/>
      <c r="J479" s="2"/>
      <c r="K479" s="2"/>
    </row>
    <row r="480" spans="1:11" ht="15.75" customHeight="1" x14ac:dyDescent="0.25">
      <c r="A480" s="164"/>
      <c r="B480" s="4"/>
      <c r="C480" s="4"/>
      <c r="E480" s="2"/>
      <c r="F480" s="2"/>
      <c r="G480" s="2"/>
      <c r="H480" s="2"/>
      <c r="I480" s="2"/>
      <c r="J480" s="2"/>
      <c r="K480" s="2"/>
    </row>
    <row r="481" spans="1:11" ht="15.75" customHeight="1" x14ac:dyDescent="0.25">
      <c r="A481" s="164"/>
      <c r="B481" s="4"/>
      <c r="C481" s="4"/>
      <c r="E481" s="2"/>
      <c r="F481" s="2"/>
      <c r="G481" s="2"/>
      <c r="H481" s="2"/>
      <c r="I481" s="2"/>
      <c r="J481" s="2"/>
      <c r="K481" s="2"/>
    </row>
    <row r="482" spans="1:11" ht="15.75" customHeight="1" x14ac:dyDescent="0.25">
      <c r="A482" s="164"/>
      <c r="B482" s="4"/>
      <c r="C482" s="4"/>
      <c r="E482" s="2"/>
      <c r="F482" s="2"/>
      <c r="G482" s="2"/>
      <c r="H482" s="2"/>
      <c r="I482" s="2"/>
      <c r="J482" s="2"/>
      <c r="K482" s="2"/>
    </row>
    <row r="483" spans="1:11" ht="15.75" customHeight="1" x14ac:dyDescent="0.25">
      <c r="A483" s="164"/>
      <c r="B483" s="4"/>
      <c r="C483" s="4"/>
      <c r="E483" s="2"/>
      <c r="F483" s="2"/>
      <c r="G483" s="2"/>
      <c r="H483" s="2"/>
      <c r="I483" s="2"/>
      <c r="J483" s="2"/>
      <c r="K483" s="2"/>
    </row>
    <row r="484" spans="1:11" ht="15.75" customHeight="1" x14ac:dyDescent="0.25">
      <c r="A484" s="164"/>
      <c r="B484" s="4"/>
      <c r="C484" s="4"/>
      <c r="E484" s="2"/>
      <c r="F484" s="2"/>
      <c r="G484" s="2"/>
      <c r="H484" s="2"/>
      <c r="I484" s="2"/>
      <c r="J484" s="2"/>
      <c r="K484" s="2"/>
    </row>
    <row r="485" spans="1:11" ht="15.75" customHeight="1" x14ac:dyDescent="0.25">
      <c r="A485" s="164"/>
      <c r="B485" s="4"/>
      <c r="C485" s="4"/>
      <c r="E485" s="2"/>
      <c r="F485" s="2"/>
      <c r="G485" s="2"/>
      <c r="H485" s="2"/>
      <c r="I485" s="2"/>
      <c r="J485" s="2"/>
      <c r="K485" s="2"/>
    </row>
    <row r="486" spans="1:11" ht="15.75" customHeight="1" x14ac:dyDescent="0.25">
      <c r="A486" s="164"/>
      <c r="B486" s="4"/>
      <c r="C486" s="4"/>
      <c r="E486" s="2"/>
      <c r="F486" s="2"/>
      <c r="G486" s="2"/>
      <c r="H486" s="2"/>
      <c r="I486" s="2"/>
      <c r="J486" s="2"/>
      <c r="K486" s="2"/>
    </row>
    <row r="487" spans="1:11" ht="15.75" customHeight="1" x14ac:dyDescent="0.25">
      <c r="A487" s="164"/>
      <c r="B487" s="4"/>
      <c r="C487" s="4"/>
      <c r="E487" s="2"/>
      <c r="F487" s="2"/>
      <c r="G487" s="2"/>
      <c r="H487" s="2"/>
      <c r="I487" s="2"/>
      <c r="J487" s="2"/>
      <c r="K487" s="2"/>
    </row>
    <row r="488" spans="1:11" ht="15.75" customHeight="1" x14ac:dyDescent="0.25">
      <c r="A488" s="164"/>
      <c r="B488" s="4"/>
      <c r="C488" s="4"/>
      <c r="E488" s="2"/>
      <c r="F488" s="2"/>
      <c r="G488" s="2"/>
      <c r="H488" s="2"/>
      <c r="I488" s="2"/>
      <c r="J488" s="2"/>
      <c r="K488" s="2"/>
    </row>
    <row r="489" spans="1:11" ht="15.75" customHeight="1" x14ac:dyDescent="0.25">
      <c r="A489" s="164"/>
      <c r="B489" s="4"/>
      <c r="C489" s="4"/>
      <c r="E489" s="2"/>
      <c r="F489" s="2"/>
      <c r="G489" s="2"/>
      <c r="H489" s="2"/>
      <c r="I489" s="2"/>
      <c r="J489" s="2"/>
      <c r="K489" s="2"/>
    </row>
    <row r="490" spans="1:11" ht="15.75" customHeight="1" x14ac:dyDescent="0.25">
      <c r="A490" s="164"/>
      <c r="B490" s="4"/>
      <c r="C490" s="4"/>
      <c r="E490" s="2"/>
      <c r="F490" s="2"/>
      <c r="G490" s="2"/>
      <c r="H490" s="2"/>
      <c r="I490" s="2"/>
      <c r="J490" s="2"/>
      <c r="K490" s="2"/>
    </row>
    <row r="491" spans="1:11" ht="15.75" customHeight="1" x14ac:dyDescent="0.25">
      <c r="A491" s="164"/>
      <c r="B491" s="4"/>
      <c r="C491" s="4"/>
      <c r="E491" s="2"/>
      <c r="F491" s="2"/>
      <c r="G491" s="2"/>
      <c r="H491" s="2"/>
      <c r="I491" s="2"/>
      <c r="J491" s="2"/>
      <c r="K491" s="2"/>
    </row>
    <row r="492" spans="1:11" ht="15.75" customHeight="1" x14ac:dyDescent="0.25">
      <c r="A492" s="164"/>
      <c r="B492" s="4"/>
      <c r="C492" s="4"/>
      <c r="E492" s="2"/>
      <c r="F492" s="2"/>
      <c r="G492" s="2"/>
      <c r="H492" s="2"/>
      <c r="I492" s="2"/>
      <c r="J492" s="2"/>
      <c r="K492" s="2"/>
    </row>
    <row r="493" spans="1:11" ht="15.75" customHeight="1" x14ac:dyDescent="0.25">
      <c r="A493" s="164"/>
      <c r="B493" s="4"/>
      <c r="C493" s="4"/>
      <c r="E493" s="2"/>
      <c r="F493" s="2"/>
      <c r="G493" s="2"/>
      <c r="H493" s="2"/>
      <c r="I493" s="2"/>
      <c r="J493" s="2"/>
      <c r="K493" s="2"/>
    </row>
    <row r="494" spans="1:11" ht="15.75" customHeight="1" x14ac:dyDescent="0.25">
      <c r="A494" s="164"/>
      <c r="B494" s="4"/>
      <c r="C494" s="4"/>
      <c r="E494" s="2"/>
      <c r="F494" s="2"/>
      <c r="G494" s="2"/>
      <c r="H494" s="2"/>
      <c r="I494" s="2"/>
      <c r="J494" s="2"/>
      <c r="K494" s="2"/>
    </row>
    <row r="495" spans="1:11" ht="15.75" customHeight="1" x14ac:dyDescent="0.25">
      <c r="A495" s="164"/>
      <c r="B495" s="4"/>
      <c r="C495" s="4"/>
      <c r="E495" s="2"/>
      <c r="F495" s="2"/>
      <c r="G495" s="2"/>
      <c r="H495" s="2"/>
      <c r="I495" s="2"/>
      <c r="J495" s="2"/>
      <c r="K495" s="2"/>
    </row>
    <row r="496" spans="1:11" ht="15.75" customHeight="1" x14ac:dyDescent="0.25">
      <c r="A496" s="164"/>
      <c r="B496" s="4"/>
      <c r="C496" s="4"/>
      <c r="E496" s="2"/>
      <c r="F496" s="2"/>
      <c r="G496" s="2"/>
      <c r="H496" s="2"/>
      <c r="I496" s="2"/>
      <c r="J496" s="2"/>
      <c r="K496" s="2"/>
    </row>
    <row r="497" spans="1:11" ht="15.75" customHeight="1" x14ac:dyDescent="0.25">
      <c r="A497" s="164"/>
      <c r="B497" s="4"/>
      <c r="C497" s="4"/>
      <c r="E497" s="2"/>
      <c r="F497" s="2"/>
      <c r="G497" s="2"/>
      <c r="H497" s="2"/>
      <c r="I497" s="2"/>
      <c r="J497" s="2"/>
      <c r="K497" s="2"/>
    </row>
    <row r="498" spans="1:11" ht="15.75" customHeight="1" x14ac:dyDescent="0.25">
      <c r="A498" s="164"/>
      <c r="B498" s="4"/>
      <c r="C498" s="4"/>
      <c r="E498" s="2"/>
      <c r="F498" s="2"/>
      <c r="G498" s="2"/>
      <c r="H498" s="2"/>
      <c r="I498" s="2"/>
      <c r="J498" s="2"/>
      <c r="K498" s="2"/>
    </row>
    <row r="499" spans="1:11" ht="15.75" customHeight="1" x14ac:dyDescent="0.25">
      <c r="A499" s="164"/>
      <c r="B499" s="4"/>
      <c r="C499" s="4"/>
      <c r="E499" s="2"/>
      <c r="F499" s="2"/>
      <c r="G499" s="2"/>
      <c r="H499" s="2"/>
      <c r="I499" s="2"/>
      <c r="J499" s="2"/>
      <c r="K499" s="2"/>
    </row>
    <row r="500" spans="1:11" ht="15.75" customHeight="1" x14ac:dyDescent="0.25">
      <c r="A500" s="164"/>
      <c r="B500" s="4"/>
      <c r="C500" s="4"/>
      <c r="E500" s="2"/>
      <c r="F500" s="2"/>
      <c r="G500" s="2"/>
      <c r="H500" s="2"/>
      <c r="I500" s="2"/>
      <c r="J500" s="2"/>
      <c r="K500" s="2"/>
    </row>
    <row r="501" spans="1:11" ht="15.75" customHeight="1" x14ac:dyDescent="0.25">
      <c r="A501" s="164"/>
      <c r="B501" s="4"/>
      <c r="C501" s="4"/>
      <c r="E501" s="2"/>
      <c r="F501" s="2"/>
      <c r="G501" s="2"/>
      <c r="H501" s="2"/>
      <c r="I501" s="2"/>
      <c r="J501" s="2"/>
      <c r="K501" s="2"/>
    </row>
    <row r="502" spans="1:11" ht="15.75" customHeight="1" x14ac:dyDescent="0.25">
      <c r="A502" s="164"/>
      <c r="B502" s="4"/>
      <c r="C502" s="4"/>
      <c r="E502" s="2"/>
      <c r="F502" s="2"/>
      <c r="G502" s="2"/>
      <c r="H502" s="2"/>
      <c r="I502" s="2"/>
      <c r="J502" s="2"/>
      <c r="K502" s="2"/>
    </row>
    <row r="503" spans="1:11" ht="15.75" customHeight="1" x14ac:dyDescent="0.25">
      <c r="A503" s="164"/>
      <c r="B503" s="4"/>
      <c r="C503" s="4"/>
      <c r="E503" s="2"/>
      <c r="F503" s="2"/>
      <c r="G503" s="2"/>
      <c r="H503" s="2"/>
      <c r="I503" s="2"/>
      <c r="J503" s="2"/>
      <c r="K503" s="2"/>
    </row>
    <row r="504" spans="1:11" ht="15.75" customHeight="1" x14ac:dyDescent="0.25">
      <c r="A504" s="164"/>
      <c r="B504" s="4"/>
      <c r="C504" s="4"/>
      <c r="E504" s="2"/>
      <c r="F504" s="2"/>
      <c r="G504" s="2"/>
      <c r="H504" s="2"/>
      <c r="I504" s="2"/>
      <c r="J504" s="2"/>
      <c r="K504" s="2"/>
    </row>
    <row r="505" spans="1:11" ht="15.75" customHeight="1" x14ac:dyDescent="0.25">
      <c r="A505" s="164"/>
      <c r="B505" s="4"/>
      <c r="C505" s="4"/>
      <c r="E505" s="2"/>
      <c r="F505" s="2"/>
      <c r="G505" s="2"/>
      <c r="H505" s="2"/>
      <c r="I505" s="2"/>
      <c r="J505" s="2"/>
      <c r="K505" s="2"/>
    </row>
    <row r="506" spans="1:11" ht="15.75" customHeight="1" x14ac:dyDescent="0.25">
      <c r="A506" s="164"/>
      <c r="B506" s="4"/>
      <c r="C506" s="4"/>
      <c r="E506" s="2"/>
      <c r="F506" s="2"/>
      <c r="G506" s="2"/>
      <c r="H506" s="2"/>
      <c r="I506" s="2"/>
      <c r="J506" s="2"/>
      <c r="K506" s="2"/>
    </row>
    <row r="507" spans="1:11" ht="15.75" customHeight="1" x14ac:dyDescent="0.25">
      <c r="A507" s="164"/>
      <c r="B507" s="4"/>
      <c r="C507" s="4"/>
      <c r="E507" s="2"/>
      <c r="F507" s="2"/>
      <c r="G507" s="2"/>
      <c r="H507" s="2"/>
      <c r="I507" s="2"/>
      <c r="J507" s="2"/>
      <c r="K507" s="2"/>
    </row>
    <row r="508" spans="1:11" ht="15.75" customHeight="1" x14ac:dyDescent="0.25">
      <c r="A508" s="164"/>
      <c r="B508" s="4"/>
      <c r="C508" s="4"/>
      <c r="E508" s="2"/>
      <c r="F508" s="2"/>
      <c r="G508" s="2"/>
      <c r="H508" s="2"/>
      <c r="I508" s="2"/>
      <c r="J508" s="2"/>
      <c r="K508" s="2"/>
    </row>
    <row r="509" spans="1:11" ht="15.75" customHeight="1" x14ac:dyDescent="0.25">
      <c r="A509" s="164"/>
      <c r="B509" s="4"/>
      <c r="C509" s="4"/>
      <c r="E509" s="2"/>
      <c r="F509" s="2"/>
      <c r="G509" s="2"/>
      <c r="H509" s="2"/>
      <c r="I509" s="2"/>
      <c r="J509" s="2"/>
      <c r="K509" s="2"/>
    </row>
    <row r="510" spans="1:11" ht="15.75" customHeight="1" x14ac:dyDescent="0.25">
      <c r="A510" s="164"/>
      <c r="B510" s="4"/>
      <c r="C510" s="4"/>
      <c r="E510" s="2"/>
      <c r="F510" s="2"/>
      <c r="G510" s="2"/>
      <c r="H510" s="2"/>
      <c r="I510" s="2"/>
      <c r="J510" s="2"/>
      <c r="K510" s="2"/>
    </row>
    <row r="511" spans="1:11" ht="15.75" customHeight="1" x14ac:dyDescent="0.25">
      <c r="A511" s="164"/>
      <c r="B511" s="4"/>
      <c r="C511" s="4"/>
      <c r="E511" s="2"/>
      <c r="F511" s="2"/>
      <c r="G511" s="2"/>
      <c r="H511" s="2"/>
      <c r="I511" s="2"/>
      <c r="J511" s="2"/>
      <c r="K511" s="2"/>
    </row>
    <row r="512" spans="1:11" ht="15.75" customHeight="1" x14ac:dyDescent="0.25">
      <c r="A512" s="164"/>
      <c r="B512" s="4"/>
      <c r="C512" s="4"/>
      <c r="E512" s="2"/>
      <c r="F512" s="2"/>
      <c r="G512" s="2"/>
      <c r="H512" s="2"/>
      <c r="I512" s="2"/>
      <c r="J512" s="2"/>
      <c r="K512" s="2"/>
    </row>
    <row r="513" spans="1:11" ht="15.75" customHeight="1" x14ac:dyDescent="0.25">
      <c r="A513" s="164"/>
      <c r="B513" s="4"/>
      <c r="C513" s="4"/>
      <c r="E513" s="2"/>
      <c r="F513" s="2"/>
      <c r="G513" s="2"/>
      <c r="H513" s="2"/>
      <c r="I513" s="2"/>
      <c r="J513" s="2"/>
      <c r="K513" s="2"/>
    </row>
    <row r="514" spans="1:11" ht="15.75" customHeight="1" x14ac:dyDescent="0.25">
      <c r="A514" s="164"/>
      <c r="B514" s="4"/>
      <c r="C514" s="4"/>
      <c r="E514" s="2"/>
      <c r="F514" s="2"/>
      <c r="G514" s="2"/>
      <c r="H514" s="2"/>
      <c r="I514" s="2"/>
      <c r="J514" s="2"/>
      <c r="K514" s="2"/>
    </row>
    <row r="515" spans="1:11" ht="15.75" customHeight="1" x14ac:dyDescent="0.25">
      <c r="A515" s="164"/>
      <c r="B515" s="4"/>
      <c r="C515" s="4"/>
      <c r="E515" s="2"/>
      <c r="F515" s="2"/>
      <c r="G515" s="2"/>
      <c r="H515" s="2"/>
      <c r="I515" s="2"/>
      <c r="J515" s="2"/>
      <c r="K515" s="2"/>
    </row>
    <row r="516" spans="1:11" ht="15.75" customHeight="1" x14ac:dyDescent="0.25">
      <c r="A516" s="164"/>
      <c r="B516" s="4"/>
      <c r="C516" s="4"/>
      <c r="E516" s="2"/>
      <c r="F516" s="2"/>
      <c r="G516" s="2"/>
      <c r="H516" s="2"/>
      <c r="I516" s="2"/>
      <c r="J516" s="2"/>
      <c r="K516" s="2"/>
    </row>
    <row r="517" spans="1:11" ht="15.75" customHeight="1" x14ac:dyDescent="0.25">
      <c r="A517" s="164"/>
      <c r="B517" s="4"/>
      <c r="C517" s="4"/>
      <c r="E517" s="2"/>
      <c r="F517" s="2"/>
      <c r="G517" s="2"/>
      <c r="H517" s="2"/>
      <c r="I517" s="2"/>
      <c r="J517" s="2"/>
      <c r="K517" s="2"/>
    </row>
    <row r="518" spans="1:11" ht="15.75" customHeight="1" x14ac:dyDescent="0.25">
      <c r="A518" s="164"/>
      <c r="B518" s="4"/>
      <c r="C518" s="4"/>
      <c r="E518" s="2"/>
      <c r="F518" s="2"/>
      <c r="G518" s="2"/>
      <c r="H518" s="2"/>
      <c r="I518" s="2"/>
      <c r="J518" s="2"/>
      <c r="K518" s="2"/>
    </row>
    <row r="519" spans="1:11" ht="15.75" customHeight="1" x14ac:dyDescent="0.25">
      <c r="A519" s="164"/>
      <c r="B519" s="4"/>
      <c r="C519" s="4"/>
      <c r="E519" s="2"/>
      <c r="F519" s="2"/>
      <c r="G519" s="2"/>
      <c r="H519" s="2"/>
      <c r="I519" s="2"/>
      <c r="J519" s="2"/>
      <c r="K519" s="2"/>
    </row>
    <row r="520" spans="1:11" ht="15.75" customHeight="1" x14ac:dyDescent="0.25">
      <c r="A520" s="164"/>
      <c r="B520" s="4"/>
      <c r="C520" s="4"/>
      <c r="E520" s="2"/>
      <c r="F520" s="2"/>
      <c r="G520" s="2"/>
      <c r="H520" s="2"/>
      <c r="I520" s="2"/>
      <c r="J520" s="2"/>
      <c r="K520" s="2"/>
    </row>
    <row r="521" spans="1:11" ht="15.75" customHeight="1" x14ac:dyDescent="0.25">
      <c r="A521" s="164"/>
      <c r="B521" s="4"/>
      <c r="C521" s="4"/>
      <c r="E521" s="2"/>
      <c r="F521" s="2"/>
      <c r="G521" s="2"/>
      <c r="H521" s="2"/>
      <c r="I521" s="2"/>
      <c r="J521" s="2"/>
      <c r="K521" s="2"/>
    </row>
    <row r="522" spans="1:11" ht="15.75" customHeight="1" x14ac:dyDescent="0.25">
      <c r="A522" s="164"/>
      <c r="B522" s="4"/>
      <c r="C522" s="4"/>
      <c r="E522" s="2"/>
      <c r="F522" s="2"/>
      <c r="G522" s="2"/>
      <c r="H522" s="2"/>
      <c r="I522" s="2"/>
      <c r="J522" s="2"/>
      <c r="K522" s="2"/>
    </row>
    <row r="523" spans="1:11" ht="15.75" customHeight="1" x14ac:dyDescent="0.25">
      <c r="A523" s="164"/>
      <c r="B523" s="4"/>
      <c r="C523" s="4"/>
      <c r="E523" s="2"/>
      <c r="F523" s="2"/>
      <c r="G523" s="2"/>
      <c r="H523" s="2"/>
      <c r="I523" s="2"/>
      <c r="J523" s="2"/>
      <c r="K523" s="2"/>
    </row>
    <row r="524" spans="1:11" ht="15.75" customHeight="1" x14ac:dyDescent="0.25">
      <c r="A524" s="164"/>
      <c r="B524" s="4"/>
      <c r="C524" s="4"/>
      <c r="E524" s="2"/>
      <c r="F524" s="2"/>
      <c r="G524" s="2"/>
      <c r="H524" s="2"/>
      <c r="I524" s="2"/>
      <c r="J524" s="2"/>
      <c r="K524" s="2"/>
    </row>
    <row r="525" spans="1:11" ht="15.75" customHeight="1" x14ac:dyDescent="0.25">
      <c r="A525" s="164"/>
      <c r="B525" s="4"/>
      <c r="C525" s="4"/>
      <c r="E525" s="2"/>
      <c r="F525" s="2"/>
      <c r="G525" s="2"/>
      <c r="H525" s="2"/>
      <c r="I525" s="2"/>
      <c r="J525" s="2"/>
      <c r="K525" s="2"/>
    </row>
    <row r="526" spans="1:11" ht="15.75" customHeight="1" x14ac:dyDescent="0.25">
      <c r="A526" s="164"/>
      <c r="B526" s="4"/>
      <c r="C526" s="4"/>
      <c r="E526" s="2"/>
      <c r="F526" s="2"/>
      <c r="G526" s="2"/>
      <c r="H526" s="2"/>
      <c r="I526" s="2"/>
      <c r="J526" s="2"/>
      <c r="K526" s="2"/>
    </row>
    <row r="527" spans="1:11" ht="15.75" customHeight="1" x14ac:dyDescent="0.25">
      <c r="A527" s="164"/>
      <c r="B527" s="4"/>
      <c r="C527" s="4"/>
      <c r="E527" s="2"/>
      <c r="F527" s="2"/>
      <c r="G527" s="2"/>
      <c r="H527" s="2"/>
      <c r="I527" s="2"/>
      <c r="J527" s="2"/>
      <c r="K527" s="2"/>
    </row>
    <row r="528" spans="1:11" ht="15.75" customHeight="1" x14ac:dyDescent="0.25">
      <c r="A528" s="164"/>
      <c r="B528" s="4"/>
      <c r="C528" s="4"/>
      <c r="E528" s="2"/>
      <c r="F528" s="2"/>
      <c r="G528" s="2"/>
      <c r="H528" s="2"/>
      <c r="I528" s="2"/>
      <c r="J528" s="2"/>
      <c r="K528" s="2"/>
    </row>
    <row r="529" spans="1:11" ht="15.75" customHeight="1" x14ac:dyDescent="0.25">
      <c r="A529" s="164"/>
      <c r="B529" s="4"/>
      <c r="C529" s="4"/>
      <c r="E529" s="2"/>
      <c r="F529" s="2"/>
      <c r="G529" s="2"/>
      <c r="H529" s="2"/>
      <c r="I529" s="2"/>
      <c r="J529" s="2"/>
      <c r="K529" s="2"/>
    </row>
    <row r="530" spans="1:11" ht="15.75" customHeight="1" x14ac:dyDescent="0.25">
      <c r="A530" s="164"/>
      <c r="B530" s="4"/>
      <c r="C530" s="4"/>
      <c r="E530" s="2"/>
      <c r="F530" s="2"/>
      <c r="G530" s="2"/>
      <c r="H530" s="2"/>
      <c r="I530" s="2"/>
      <c r="J530" s="2"/>
      <c r="K530" s="2"/>
    </row>
    <row r="531" spans="1:11" ht="15.75" customHeight="1" x14ac:dyDescent="0.25">
      <c r="A531" s="164"/>
      <c r="B531" s="4"/>
      <c r="C531" s="4"/>
      <c r="E531" s="2"/>
      <c r="F531" s="2"/>
      <c r="G531" s="2"/>
      <c r="H531" s="2"/>
      <c r="I531" s="2"/>
      <c r="J531" s="2"/>
      <c r="K531" s="2"/>
    </row>
    <row r="532" spans="1:11" ht="15.75" customHeight="1" x14ac:dyDescent="0.25">
      <c r="A532" s="164"/>
      <c r="B532" s="4"/>
      <c r="C532" s="4"/>
      <c r="E532" s="2"/>
      <c r="F532" s="2"/>
      <c r="G532" s="2"/>
      <c r="H532" s="2"/>
      <c r="I532" s="2"/>
      <c r="J532" s="2"/>
      <c r="K532" s="2"/>
    </row>
    <row r="533" spans="1:11" ht="15.75" customHeight="1" x14ac:dyDescent="0.25">
      <c r="A533" s="164"/>
      <c r="B533" s="4"/>
      <c r="C533" s="4"/>
      <c r="E533" s="2"/>
      <c r="F533" s="2"/>
      <c r="G533" s="2"/>
      <c r="H533" s="2"/>
      <c r="I533" s="2"/>
      <c r="J533" s="2"/>
      <c r="K533" s="2"/>
    </row>
    <row r="534" spans="1:11" ht="15.75" customHeight="1" x14ac:dyDescent="0.25">
      <c r="A534" s="164"/>
      <c r="B534" s="4"/>
      <c r="C534" s="4"/>
      <c r="E534" s="2"/>
      <c r="F534" s="2"/>
      <c r="G534" s="2"/>
      <c r="H534" s="2"/>
      <c r="I534" s="2"/>
      <c r="J534" s="2"/>
      <c r="K534" s="2"/>
    </row>
    <row r="535" spans="1:11" ht="15.75" customHeight="1" x14ac:dyDescent="0.25">
      <c r="A535" s="164"/>
      <c r="B535" s="4"/>
      <c r="C535" s="4"/>
      <c r="E535" s="2"/>
      <c r="F535" s="2"/>
      <c r="G535" s="2"/>
      <c r="H535" s="2"/>
      <c r="I535" s="2"/>
      <c r="J535" s="2"/>
      <c r="K535" s="2"/>
    </row>
    <row r="536" spans="1:11" ht="15.75" customHeight="1" x14ac:dyDescent="0.25">
      <c r="A536" s="164"/>
      <c r="B536" s="4"/>
      <c r="C536" s="4"/>
      <c r="E536" s="2"/>
      <c r="F536" s="2"/>
      <c r="G536" s="2"/>
      <c r="H536" s="2"/>
      <c r="I536" s="2"/>
      <c r="J536" s="2"/>
      <c r="K536" s="2"/>
    </row>
    <row r="537" spans="1:11" ht="15.75" customHeight="1" x14ac:dyDescent="0.25">
      <c r="A537" s="164"/>
      <c r="B537" s="4"/>
      <c r="C537" s="4"/>
      <c r="E537" s="2"/>
      <c r="F537" s="2"/>
      <c r="G537" s="2"/>
      <c r="H537" s="2"/>
      <c r="I537" s="2"/>
      <c r="J537" s="2"/>
      <c r="K537" s="2"/>
    </row>
    <row r="538" spans="1:11" ht="15.75" customHeight="1" x14ac:dyDescent="0.25">
      <c r="A538" s="164"/>
      <c r="B538" s="4"/>
      <c r="C538" s="4"/>
      <c r="E538" s="2"/>
      <c r="F538" s="2"/>
      <c r="G538" s="2"/>
      <c r="H538" s="2"/>
      <c r="I538" s="2"/>
      <c r="J538" s="2"/>
      <c r="K538" s="2"/>
    </row>
    <row r="539" spans="1:11" ht="15.75" customHeight="1" x14ac:dyDescent="0.25">
      <c r="A539" s="164"/>
      <c r="B539" s="4"/>
      <c r="C539" s="4"/>
      <c r="E539" s="2"/>
      <c r="F539" s="2"/>
      <c r="G539" s="2"/>
      <c r="H539" s="2"/>
      <c r="I539" s="2"/>
      <c r="J539" s="2"/>
      <c r="K539" s="2"/>
    </row>
    <row r="540" spans="1:11" ht="15.75" customHeight="1" x14ac:dyDescent="0.25">
      <c r="A540" s="164"/>
      <c r="B540" s="4"/>
      <c r="C540" s="4"/>
      <c r="E540" s="2"/>
      <c r="F540" s="2"/>
      <c r="G540" s="2"/>
      <c r="H540" s="2"/>
      <c r="I540" s="2"/>
      <c r="J540" s="2"/>
      <c r="K540" s="2"/>
    </row>
    <row r="541" spans="1:11" ht="15.75" customHeight="1" x14ac:dyDescent="0.25">
      <c r="A541" s="164"/>
      <c r="B541" s="4"/>
      <c r="C541" s="4"/>
      <c r="E541" s="2"/>
      <c r="F541" s="2"/>
      <c r="G541" s="2"/>
      <c r="H541" s="2"/>
      <c r="I541" s="2"/>
      <c r="J541" s="2"/>
      <c r="K541" s="2"/>
    </row>
    <row r="542" spans="1:11" ht="15.75" customHeight="1" x14ac:dyDescent="0.25">
      <c r="A542" s="164"/>
      <c r="B542" s="4"/>
      <c r="C542" s="4"/>
      <c r="E542" s="2"/>
      <c r="F542" s="2"/>
      <c r="G542" s="2"/>
      <c r="H542" s="2"/>
      <c r="I542" s="2"/>
      <c r="J542" s="2"/>
      <c r="K542" s="2"/>
    </row>
    <row r="543" spans="1:11" ht="15.75" customHeight="1" x14ac:dyDescent="0.25">
      <c r="A543" s="164"/>
      <c r="B543" s="4"/>
      <c r="C543" s="4"/>
      <c r="E543" s="2"/>
      <c r="F543" s="2"/>
      <c r="G543" s="2"/>
      <c r="H543" s="2"/>
      <c r="I543" s="2"/>
      <c r="J543" s="2"/>
      <c r="K543" s="2"/>
    </row>
    <row r="544" spans="1:11" ht="15.75" customHeight="1" x14ac:dyDescent="0.25">
      <c r="A544" s="164"/>
      <c r="B544" s="4"/>
      <c r="C544" s="4"/>
      <c r="E544" s="2"/>
      <c r="F544" s="2"/>
      <c r="G544" s="2"/>
      <c r="H544" s="2"/>
      <c r="I544" s="2"/>
      <c r="J544" s="2"/>
      <c r="K544" s="2"/>
    </row>
    <row r="545" spans="1:11" ht="15.75" customHeight="1" x14ac:dyDescent="0.25">
      <c r="A545" s="164"/>
      <c r="B545" s="4"/>
      <c r="C545" s="4"/>
      <c r="E545" s="2"/>
      <c r="F545" s="2"/>
      <c r="G545" s="2"/>
      <c r="H545" s="2"/>
      <c r="I545" s="2"/>
      <c r="J545" s="2"/>
      <c r="K545" s="2"/>
    </row>
    <row r="546" spans="1:11" ht="15.75" customHeight="1" x14ac:dyDescent="0.25">
      <c r="A546" s="164"/>
      <c r="B546" s="4"/>
      <c r="C546" s="4"/>
      <c r="E546" s="2"/>
      <c r="F546" s="2"/>
      <c r="G546" s="2"/>
      <c r="H546" s="2"/>
      <c r="I546" s="2"/>
      <c r="J546" s="2"/>
      <c r="K546" s="2"/>
    </row>
    <row r="547" spans="1:11" ht="15.75" customHeight="1" x14ac:dyDescent="0.25">
      <c r="A547" s="164"/>
      <c r="B547" s="4"/>
      <c r="C547" s="4"/>
      <c r="E547" s="2"/>
      <c r="F547" s="2"/>
      <c r="G547" s="2"/>
      <c r="H547" s="2"/>
      <c r="I547" s="2"/>
      <c r="J547" s="2"/>
      <c r="K547" s="2"/>
    </row>
    <row r="548" spans="1:11" ht="15.75" customHeight="1" x14ac:dyDescent="0.25">
      <c r="A548" s="164"/>
      <c r="B548" s="4"/>
      <c r="C548" s="4"/>
      <c r="E548" s="2"/>
      <c r="F548" s="2"/>
      <c r="G548" s="2"/>
      <c r="H548" s="2"/>
      <c r="I548" s="2"/>
      <c r="J548" s="2"/>
      <c r="K548" s="2"/>
    </row>
    <row r="549" spans="1:11" ht="15.75" customHeight="1" x14ac:dyDescent="0.25">
      <c r="A549" s="164"/>
      <c r="B549" s="4"/>
      <c r="C549" s="4"/>
      <c r="E549" s="2"/>
      <c r="F549" s="2"/>
      <c r="G549" s="2"/>
      <c r="H549" s="2"/>
      <c r="I549" s="2"/>
      <c r="J549" s="2"/>
      <c r="K549" s="2"/>
    </row>
    <row r="550" spans="1:11" ht="15.75" customHeight="1" x14ac:dyDescent="0.25">
      <c r="A550" s="164"/>
      <c r="B550" s="4"/>
      <c r="C550" s="4"/>
      <c r="E550" s="2"/>
      <c r="F550" s="2"/>
      <c r="G550" s="2"/>
      <c r="H550" s="2"/>
      <c r="I550" s="2"/>
      <c r="J550" s="2"/>
      <c r="K550" s="2"/>
    </row>
    <row r="551" spans="1:11" ht="15.75" customHeight="1" x14ac:dyDescent="0.25">
      <c r="A551" s="164"/>
      <c r="B551" s="4"/>
      <c r="C551" s="4"/>
      <c r="E551" s="2"/>
      <c r="F551" s="2"/>
      <c r="G551" s="2"/>
      <c r="H551" s="2"/>
      <c r="I551" s="2"/>
      <c r="J551" s="2"/>
      <c r="K551" s="2"/>
    </row>
    <row r="552" spans="1:11" ht="15.75" customHeight="1" x14ac:dyDescent="0.25">
      <c r="A552" s="164"/>
      <c r="B552" s="4"/>
      <c r="C552" s="4"/>
      <c r="E552" s="2"/>
      <c r="F552" s="2"/>
      <c r="G552" s="2"/>
      <c r="H552" s="2"/>
      <c r="I552" s="2"/>
      <c r="J552" s="2"/>
      <c r="K552" s="2"/>
    </row>
    <row r="553" spans="1:11" ht="15.75" customHeight="1" x14ac:dyDescent="0.25">
      <c r="A553" s="164"/>
      <c r="B553" s="4"/>
      <c r="C553" s="4"/>
      <c r="E553" s="2"/>
      <c r="F553" s="2"/>
      <c r="G553" s="2"/>
      <c r="H553" s="2"/>
      <c r="I553" s="2"/>
      <c r="J553" s="2"/>
      <c r="K553" s="2"/>
    </row>
    <row r="554" spans="1:11" ht="15.75" customHeight="1" x14ac:dyDescent="0.25">
      <c r="A554" s="164"/>
      <c r="B554" s="4"/>
      <c r="C554" s="4"/>
      <c r="E554" s="2"/>
      <c r="F554" s="2"/>
      <c r="G554" s="2"/>
      <c r="H554" s="2"/>
      <c r="I554" s="2"/>
      <c r="J554" s="2"/>
      <c r="K554" s="2"/>
    </row>
    <row r="555" spans="1:11" ht="15.75" customHeight="1" x14ac:dyDescent="0.25">
      <c r="A555" s="164"/>
      <c r="B555" s="4"/>
      <c r="C555" s="4"/>
      <c r="E555" s="2"/>
      <c r="F555" s="2"/>
      <c r="G555" s="2"/>
      <c r="H555" s="2"/>
      <c r="I555" s="2"/>
      <c r="J555" s="2"/>
      <c r="K555" s="2"/>
    </row>
    <row r="556" spans="1:11" ht="15.75" customHeight="1" x14ac:dyDescent="0.25">
      <c r="A556" s="164"/>
      <c r="B556" s="4"/>
      <c r="C556" s="4"/>
      <c r="E556" s="2"/>
      <c r="F556" s="2"/>
      <c r="G556" s="2"/>
      <c r="H556" s="2"/>
      <c r="I556" s="2"/>
      <c r="J556" s="2"/>
      <c r="K556" s="2"/>
    </row>
    <row r="557" spans="1:11" ht="15.75" customHeight="1" x14ac:dyDescent="0.25">
      <c r="A557" s="164"/>
      <c r="B557" s="4"/>
      <c r="C557" s="4"/>
      <c r="E557" s="2"/>
      <c r="F557" s="2"/>
      <c r="G557" s="2"/>
      <c r="H557" s="2"/>
      <c r="I557" s="2"/>
      <c r="J557" s="2"/>
      <c r="K557" s="2"/>
    </row>
    <row r="558" spans="1:11" ht="15.75" customHeight="1" x14ac:dyDescent="0.25">
      <c r="A558" s="164"/>
      <c r="B558" s="4"/>
      <c r="C558" s="4"/>
      <c r="E558" s="2"/>
      <c r="F558" s="2"/>
      <c r="G558" s="2"/>
      <c r="H558" s="2"/>
      <c r="I558" s="2"/>
      <c r="J558" s="2"/>
      <c r="K558" s="2"/>
    </row>
    <row r="559" spans="1:11" ht="15.75" customHeight="1" x14ac:dyDescent="0.25">
      <c r="A559" s="164"/>
      <c r="B559" s="4"/>
      <c r="C559" s="4"/>
      <c r="E559" s="2"/>
      <c r="F559" s="2"/>
      <c r="G559" s="2"/>
      <c r="H559" s="2"/>
      <c r="I559" s="2"/>
      <c r="J559" s="2"/>
      <c r="K559" s="2"/>
    </row>
    <row r="560" spans="1:11" ht="15.75" customHeight="1" x14ac:dyDescent="0.25">
      <c r="A560" s="164"/>
      <c r="B560" s="4"/>
      <c r="C560" s="4"/>
      <c r="E560" s="2"/>
      <c r="F560" s="2"/>
      <c r="G560" s="2"/>
      <c r="H560" s="2"/>
      <c r="I560" s="2"/>
      <c r="J560" s="2"/>
      <c r="K560" s="2"/>
    </row>
    <row r="561" spans="1:11" ht="15.75" customHeight="1" x14ac:dyDescent="0.25">
      <c r="A561" s="164"/>
      <c r="B561" s="4"/>
      <c r="C561" s="4"/>
      <c r="E561" s="2"/>
      <c r="F561" s="2"/>
      <c r="G561" s="2"/>
      <c r="H561" s="2"/>
      <c r="I561" s="2"/>
      <c r="J561" s="2"/>
      <c r="K561" s="2"/>
    </row>
    <row r="562" spans="1:11" ht="15.75" customHeight="1" x14ac:dyDescent="0.25">
      <c r="A562" s="164"/>
      <c r="B562" s="4"/>
      <c r="C562" s="4"/>
      <c r="E562" s="2"/>
      <c r="F562" s="2"/>
      <c r="G562" s="2"/>
      <c r="H562" s="2"/>
      <c r="I562" s="2"/>
      <c r="J562" s="2"/>
      <c r="K562" s="2"/>
    </row>
    <row r="563" spans="1:11" ht="15.75" customHeight="1" x14ac:dyDescent="0.25">
      <c r="A563" s="164"/>
      <c r="B563" s="4"/>
      <c r="C563" s="4"/>
      <c r="E563" s="2"/>
      <c r="F563" s="2"/>
      <c r="G563" s="2"/>
      <c r="H563" s="2"/>
      <c r="I563" s="2"/>
      <c r="J563" s="2"/>
      <c r="K563" s="2"/>
    </row>
    <row r="564" spans="1:11" ht="15.75" customHeight="1" x14ac:dyDescent="0.25">
      <c r="A564" s="164"/>
      <c r="B564" s="4"/>
      <c r="C564" s="4"/>
      <c r="E564" s="2"/>
      <c r="F564" s="2"/>
      <c r="G564" s="2"/>
      <c r="H564" s="2"/>
      <c r="I564" s="2"/>
      <c r="J564" s="2"/>
      <c r="K564" s="2"/>
    </row>
    <row r="565" spans="1:11" ht="15.75" customHeight="1" x14ac:dyDescent="0.25">
      <c r="A565" s="164"/>
      <c r="B565" s="4"/>
      <c r="C565" s="4"/>
      <c r="E565" s="2"/>
      <c r="F565" s="2"/>
      <c r="G565" s="2"/>
      <c r="H565" s="2"/>
      <c r="I565" s="2"/>
      <c r="J565" s="2"/>
      <c r="K565" s="2"/>
    </row>
    <row r="566" spans="1:11" ht="15.75" customHeight="1" x14ac:dyDescent="0.25">
      <c r="A566" s="164"/>
      <c r="B566" s="4"/>
      <c r="C566" s="4"/>
      <c r="E566" s="2"/>
      <c r="F566" s="2"/>
      <c r="G566" s="2"/>
      <c r="H566" s="2"/>
      <c r="I566" s="2"/>
      <c r="J566" s="2"/>
      <c r="K566" s="2"/>
    </row>
    <row r="567" spans="1:11" ht="15.75" customHeight="1" x14ac:dyDescent="0.25">
      <c r="A567" s="164"/>
      <c r="B567" s="4"/>
      <c r="C567" s="4"/>
      <c r="E567" s="2"/>
      <c r="F567" s="2"/>
      <c r="G567" s="2"/>
      <c r="H567" s="2"/>
      <c r="I567" s="2"/>
      <c r="J567" s="2"/>
      <c r="K567" s="2"/>
    </row>
    <row r="568" spans="1:11" ht="15.75" customHeight="1" x14ac:dyDescent="0.25">
      <c r="A568" s="164"/>
      <c r="B568" s="4"/>
      <c r="C568" s="4"/>
      <c r="E568" s="2"/>
      <c r="F568" s="2"/>
      <c r="G568" s="2"/>
      <c r="H568" s="2"/>
      <c r="I568" s="2"/>
      <c r="J568" s="2"/>
      <c r="K568" s="2"/>
    </row>
    <row r="569" spans="1:11" ht="15.75" customHeight="1" x14ac:dyDescent="0.25">
      <c r="A569" s="164"/>
      <c r="B569" s="4"/>
      <c r="C569" s="4"/>
      <c r="E569" s="2"/>
      <c r="F569" s="2"/>
      <c r="G569" s="2"/>
      <c r="H569" s="2"/>
      <c r="I569" s="2"/>
      <c r="J569" s="2"/>
      <c r="K569" s="2"/>
    </row>
    <row r="570" spans="1:11" ht="15.75" customHeight="1" x14ac:dyDescent="0.25">
      <c r="A570" s="164"/>
      <c r="B570" s="4"/>
      <c r="C570" s="4"/>
      <c r="E570" s="2"/>
      <c r="F570" s="2"/>
      <c r="G570" s="2"/>
      <c r="H570" s="2"/>
      <c r="I570" s="2"/>
      <c r="J570" s="2"/>
      <c r="K570" s="2"/>
    </row>
    <row r="571" spans="1:11" ht="15.75" customHeight="1" x14ac:dyDescent="0.25">
      <c r="A571" s="164"/>
      <c r="B571" s="4"/>
      <c r="C571" s="4"/>
      <c r="E571" s="2"/>
      <c r="F571" s="2"/>
      <c r="G571" s="2"/>
      <c r="H571" s="2"/>
      <c r="I571" s="2"/>
      <c r="J571" s="2"/>
      <c r="K571" s="2"/>
    </row>
    <row r="572" spans="1:11" ht="15.75" customHeight="1" x14ac:dyDescent="0.25">
      <c r="A572" s="164"/>
      <c r="B572" s="4"/>
      <c r="C572" s="4"/>
      <c r="E572" s="2"/>
      <c r="F572" s="2"/>
      <c r="G572" s="2"/>
      <c r="H572" s="2"/>
      <c r="I572" s="2"/>
      <c r="J572" s="2"/>
      <c r="K572" s="2"/>
    </row>
    <row r="573" spans="1:11" ht="15.75" customHeight="1" x14ac:dyDescent="0.25">
      <c r="A573" s="164"/>
      <c r="B573" s="4"/>
      <c r="C573" s="4"/>
      <c r="E573" s="2"/>
      <c r="F573" s="2"/>
      <c r="G573" s="2"/>
      <c r="H573" s="2"/>
      <c r="I573" s="2"/>
      <c r="J573" s="2"/>
      <c r="K573" s="2"/>
    </row>
    <row r="574" spans="1:11" ht="15.75" customHeight="1" x14ac:dyDescent="0.25">
      <c r="A574" s="164"/>
      <c r="B574" s="4"/>
      <c r="C574" s="4"/>
      <c r="E574" s="2"/>
      <c r="F574" s="2"/>
      <c r="G574" s="2"/>
      <c r="H574" s="2"/>
      <c r="I574" s="2"/>
      <c r="J574" s="2"/>
      <c r="K574" s="2"/>
    </row>
    <row r="575" spans="1:11" ht="15.75" customHeight="1" x14ac:dyDescent="0.25">
      <c r="A575" s="164"/>
      <c r="B575" s="4"/>
      <c r="C575" s="4"/>
      <c r="E575" s="2"/>
      <c r="F575" s="2"/>
      <c r="G575" s="2"/>
      <c r="H575" s="2"/>
      <c r="I575" s="2"/>
      <c r="J575" s="2"/>
      <c r="K575" s="2"/>
    </row>
    <row r="576" spans="1:11" ht="15.75" customHeight="1" x14ac:dyDescent="0.25">
      <c r="A576" s="164"/>
      <c r="B576" s="4"/>
      <c r="C576" s="4"/>
      <c r="E576" s="2"/>
      <c r="F576" s="2"/>
      <c r="G576" s="2"/>
      <c r="H576" s="2"/>
      <c r="I576" s="2"/>
      <c r="J576" s="2"/>
      <c r="K576" s="2"/>
    </row>
    <row r="577" spans="1:11" ht="15.75" customHeight="1" x14ac:dyDescent="0.25">
      <c r="A577" s="164"/>
      <c r="B577" s="4"/>
      <c r="C577" s="4"/>
      <c r="E577" s="2"/>
      <c r="F577" s="2"/>
      <c r="G577" s="2"/>
      <c r="H577" s="2"/>
      <c r="I577" s="2"/>
      <c r="J577" s="2"/>
      <c r="K577" s="2"/>
    </row>
    <row r="578" spans="1:11" ht="15.75" customHeight="1" x14ac:dyDescent="0.25">
      <c r="A578" s="164"/>
      <c r="B578" s="4"/>
      <c r="C578" s="4"/>
      <c r="E578" s="2"/>
      <c r="F578" s="2"/>
      <c r="G578" s="2"/>
      <c r="H578" s="2"/>
      <c r="I578" s="2"/>
      <c r="J578" s="2"/>
      <c r="K578" s="2"/>
    </row>
    <row r="579" spans="1:11" ht="15.75" customHeight="1" x14ac:dyDescent="0.25">
      <c r="A579" s="164"/>
      <c r="B579" s="4"/>
      <c r="C579" s="4"/>
      <c r="E579" s="2"/>
      <c r="F579" s="2"/>
      <c r="G579" s="2"/>
      <c r="H579" s="2"/>
      <c r="I579" s="2"/>
      <c r="J579" s="2"/>
      <c r="K579" s="2"/>
    </row>
    <row r="580" spans="1:11" ht="15.75" customHeight="1" x14ac:dyDescent="0.25">
      <c r="A580" s="164"/>
      <c r="B580" s="4"/>
      <c r="C580" s="4"/>
      <c r="E580" s="2"/>
      <c r="F580" s="2"/>
      <c r="G580" s="2"/>
      <c r="H580" s="2"/>
      <c r="I580" s="2"/>
      <c r="J580" s="2"/>
      <c r="K580" s="2"/>
    </row>
    <row r="581" spans="1:11" ht="15.75" customHeight="1" x14ac:dyDescent="0.25">
      <c r="A581" s="164"/>
      <c r="B581" s="4"/>
      <c r="C581" s="4"/>
      <c r="E581" s="2"/>
      <c r="F581" s="2"/>
      <c r="G581" s="2"/>
      <c r="H581" s="2"/>
      <c r="I581" s="2"/>
      <c r="J581" s="2"/>
      <c r="K581" s="2"/>
    </row>
    <row r="582" spans="1:11" ht="15.75" customHeight="1" x14ac:dyDescent="0.25">
      <c r="A582" s="164"/>
      <c r="B582" s="4"/>
      <c r="C582" s="4"/>
      <c r="E582" s="2"/>
      <c r="F582" s="2"/>
      <c r="G582" s="2"/>
      <c r="H582" s="2"/>
      <c r="I582" s="2"/>
      <c r="J582" s="2"/>
      <c r="K582" s="2"/>
    </row>
    <row r="583" spans="1:11" ht="15.75" customHeight="1" x14ac:dyDescent="0.25">
      <c r="A583" s="164"/>
      <c r="B583" s="4"/>
      <c r="C583" s="4"/>
      <c r="E583" s="2"/>
      <c r="F583" s="2"/>
      <c r="G583" s="2"/>
      <c r="H583" s="2"/>
      <c r="I583" s="2"/>
      <c r="J583" s="2"/>
      <c r="K583" s="2"/>
    </row>
    <row r="584" spans="1:11" ht="15.75" customHeight="1" x14ac:dyDescent="0.25">
      <c r="A584" s="164"/>
      <c r="B584" s="4"/>
      <c r="C584" s="4"/>
      <c r="E584" s="2"/>
      <c r="F584" s="2"/>
      <c r="G584" s="2"/>
      <c r="H584" s="2"/>
      <c r="I584" s="2"/>
      <c r="J584" s="2"/>
      <c r="K584" s="2"/>
    </row>
    <row r="585" spans="1:11" ht="15.75" customHeight="1" x14ac:dyDescent="0.25">
      <c r="A585" s="164"/>
      <c r="B585" s="4"/>
      <c r="C585" s="4"/>
      <c r="E585" s="2"/>
      <c r="F585" s="2"/>
      <c r="G585" s="2"/>
      <c r="H585" s="2"/>
      <c r="I585" s="2"/>
      <c r="J585" s="2"/>
      <c r="K585" s="2"/>
    </row>
    <row r="586" spans="1:11" ht="15.75" customHeight="1" x14ac:dyDescent="0.25">
      <c r="A586" s="164"/>
      <c r="B586" s="4"/>
      <c r="C586" s="4"/>
      <c r="E586" s="2"/>
      <c r="F586" s="2"/>
      <c r="G586" s="2"/>
      <c r="H586" s="2"/>
      <c r="I586" s="2"/>
      <c r="J586" s="2"/>
      <c r="K586" s="2"/>
    </row>
    <row r="587" spans="1:11" ht="15.75" customHeight="1" x14ac:dyDescent="0.25">
      <c r="A587" s="164"/>
      <c r="B587" s="4"/>
      <c r="C587" s="4"/>
      <c r="E587" s="2"/>
      <c r="F587" s="2"/>
      <c r="G587" s="2"/>
      <c r="H587" s="2"/>
      <c r="I587" s="2"/>
      <c r="J587" s="2"/>
      <c r="K587" s="2"/>
    </row>
    <row r="588" spans="1:11" ht="15.75" customHeight="1" x14ac:dyDescent="0.25">
      <c r="A588" s="164"/>
      <c r="B588" s="4"/>
      <c r="C588" s="4"/>
      <c r="E588" s="2"/>
      <c r="F588" s="2"/>
      <c r="G588" s="2"/>
      <c r="H588" s="2"/>
      <c r="I588" s="2"/>
      <c r="J588" s="2"/>
      <c r="K588" s="2"/>
    </row>
    <row r="589" spans="1:11" ht="15.75" customHeight="1" x14ac:dyDescent="0.25">
      <c r="A589" s="164"/>
      <c r="B589" s="4"/>
      <c r="C589" s="4"/>
      <c r="E589" s="2"/>
      <c r="F589" s="2"/>
      <c r="G589" s="2"/>
      <c r="H589" s="2"/>
      <c r="I589" s="2"/>
      <c r="J589" s="2"/>
      <c r="K589" s="2"/>
    </row>
    <row r="590" spans="1:11" ht="15.75" customHeight="1" x14ac:dyDescent="0.25">
      <c r="A590" s="164"/>
      <c r="B590" s="4"/>
      <c r="C590" s="4"/>
      <c r="E590" s="2"/>
      <c r="F590" s="2"/>
      <c r="G590" s="2"/>
      <c r="H590" s="2"/>
      <c r="I590" s="2"/>
      <c r="J590" s="2"/>
      <c r="K590" s="2"/>
    </row>
    <row r="591" spans="1:11" ht="15.75" customHeight="1" x14ac:dyDescent="0.25">
      <c r="A591" s="164"/>
      <c r="B591" s="4"/>
      <c r="C591" s="4"/>
      <c r="E591" s="2"/>
      <c r="F591" s="2"/>
      <c r="G591" s="2"/>
      <c r="H591" s="2"/>
      <c r="I591" s="2"/>
      <c r="J591" s="2"/>
      <c r="K591" s="2"/>
    </row>
    <row r="592" spans="1:11" ht="15.75" customHeight="1" x14ac:dyDescent="0.25">
      <c r="A592" s="164"/>
      <c r="B592" s="4"/>
      <c r="C592" s="4"/>
      <c r="E592" s="2"/>
      <c r="F592" s="2"/>
      <c r="G592" s="2"/>
      <c r="H592" s="2"/>
      <c r="I592" s="2"/>
      <c r="J592" s="2"/>
      <c r="K592" s="2"/>
    </row>
    <row r="593" spans="1:11" ht="15.75" customHeight="1" x14ac:dyDescent="0.25">
      <c r="A593" s="164"/>
      <c r="B593" s="4"/>
      <c r="C593" s="4"/>
      <c r="E593" s="2"/>
      <c r="F593" s="2"/>
      <c r="G593" s="2"/>
      <c r="H593" s="2"/>
      <c r="I593" s="2"/>
      <c r="J593" s="2"/>
      <c r="K593" s="2"/>
    </row>
    <row r="594" spans="1:11" ht="15.75" customHeight="1" x14ac:dyDescent="0.25">
      <c r="A594" s="164"/>
      <c r="B594" s="4"/>
      <c r="C594" s="4"/>
      <c r="E594" s="2"/>
      <c r="F594" s="2"/>
      <c r="G594" s="2"/>
      <c r="H594" s="2"/>
      <c r="I594" s="2"/>
      <c r="J594" s="2"/>
      <c r="K594" s="2"/>
    </row>
    <row r="595" spans="1:11" ht="15.75" customHeight="1" x14ac:dyDescent="0.25">
      <c r="A595" s="164"/>
      <c r="B595" s="4"/>
      <c r="C595" s="4"/>
      <c r="E595" s="2"/>
      <c r="F595" s="2"/>
      <c r="G595" s="2"/>
      <c r="H595" s="2"/>
      <c r="I595" s="2"/>
      <c r="J595" s="2"/>
      <c r="K595" s="2"/>
    </row>
    <row r="596" spans="1:11" ht="15.75" customHeight="1" x14ac:dyDescent="0.25">
      <c r="A596" s="164"/>
      <c r="B596" s="4"/>
      <c r="C596" s="4"/>
      <c r="E596" s="2"/>
      <c r="F596" s="2"/>
      <c r="G596" s="2"/>
      <c r="H596" s="2"/>
      <c r="I596" s="2"/>
      <c r="J596" s="2"/>
      <c r="K596" s="2"/>
    </row>
    <row r="597" spans="1:11" ht="15.75" customHeight="1" x14ac:dyDescent="0.25">
      <c r="A597" s="164"/>
      <c r="B597" s="4"/>
      <c r="C597" s="4"/>
      <c r="E597" s="2"/>
      <c r="F597" s="2"/>
      <c r="G597" s="2"/>
      <c r="H597" s="2"/>
      <c r="I597" s="2"/>
      <c r="J597" s="2"/>
      <c r="K597" s="2"/>
    </row>
    <row r="598" spans="1:11" ht="15.75" customHeight="1" x14ac:dyDescent="0.25">
      <c r="A598" s="164"/>
      <c r="B598" s="4"/>
      <c r="C598" s="4"/>
      <c r="E598" s="2"/>
      <c r="F598" s="2"/>
      <c r="G598" s="2"/>
      <c r="H598" s="2"/>
      <c r="I598" s="2"/>
      <c r="J598" s="2"/>
      <c r="K598" s="2"/>
    </row>
    <row r="599" spans="1:11" ht="15.75" customHeight="1" x14ac:dyDescent="0.25">
      <c r="A599" s="164"/>
      <c r="B599" s="4"/>
      <c r="C599" s="4"/>
      <c r="E599" s="2"/>
      <c r="F599" s="2"/>
      <c r="G599" s="2"/>
      <c r="H599" s="2"/>
      <c r="I599" s="2"/>
      <c r="J599" s="2"/>
      <c r="K599" s="2"/>
    </row>
    <row r="600" spans="1:11" ht="15.75" customHeight="1" x14ac:dyDescent="0.25">
      <c r="A600" s="164"/>
      <c r="B600" s="4"/>
      <c r="C600" s="4"/>
      <c r="E600" s="2"/>
      <c r="F600" s="2"/>
      <c r="G600" s="2"/>
      <c r="H600" s="2"/>
      <c r="I600" s="2"/>
      <c r="J600" s="2"/>
      <c r="K600" s="2"/>
    </row>
    <row r="601" spans="1:11" ht="15.75" customHeight="1" x14ac:dyDescent="0.25">
      <c r="A601" s="164"/>
      <c r="B601" s="4"/>
      <c r="C601" s="4"/>
      <c r="E601" s="2"/>
      <c r="F601" s="2"/>
      <c r="G601" s="2"/>
      <c r="H601" s="2"/>
      <c r="I601" s="2"/>
      <c r="J601" s="2"/>
      <c r="K601" s="2"/>
    </row>
    <row r="602" spans="1:11" ht="15.75" customHeight="1" x14ac:dyDescent="0.25">
      <c r="A602" s="164"/>
      <c r="B602" s="4"/>
      <c r="C602" s="4"/>
      <c r="E602" s="2"/>
      <c r="F602" s="2"/>
      <c r="G602" s="2"/>
      <c r="H602" s="2"/>
      <c r="I602" s="2"/>
      <c r="J602" s="2"/>
      <c r="K602" s="2"/>
    </row>
    <row r="603" spans="1:11" ht="15.75" customHeight="1" x14ac:dyDescent="0.25">
      <c r="A603" s="164"/>
      <c r="B603" s="4"/>
      <c r="C603" s="4"/>
      <c r="E603" s="2"/>
      <c r="F603" s="2"/>
      <c r="G603" s="2"/>
      <c r="H603" s="2"/>
      <c r="I603" s="2"/>
      <c r="J603" s="2"/>
      <c r="K603" s="2"/>
    </row>
    <row r="604" spans="1:11" ht="15.75" customHeight="1" x14ac:dyDescent="0.25">
      <c r="A604" s="164"/>
      <c r="B604" s="4"/>
      <c r="C604" s="4"/>
      <c r="E604" s="2"/>
      <c r="F604" s="2"/>
      <c r="G604" s="2"/>
      <c r="H604" s="2"/>
      <c r="I604" s="2"/>
      <c r="J604" s="2"/>
      <c r="K604" s="2"/>
    </row>
    <row r="605" spans="1:11" ht="15.75" customHeight="1" x14ac:dyDescent="0.25">
      <c r="A605" s="164"/>
      <c r="B605" s="4"/>
      <c r="C605" s="4"/>
      <c r="E605" s="2"/>
      <c r="F605" s="2"/>
      <c r="G605" s="2"/>
      <c r="H605" s="2"/>
      <c r="I605" s="2"/>
      <c r="J605" s="2"/>
      <c r="K605" s="2"/>
    </row>
    <row r="606" spans="1:11" ht="15.75" customHeight="1" x14ac:dyDescent="0.25">
      <c r="A606" s="164"/>
      <c r="B606" s="4"/>
      <c r="C606" s="4"/>
      <c r="E606" s="2"/>
      <c r="F606" s="2"/>
      <c r="G606" s="2"/>
      <c r="H606" s="2"/>
      <c r="I606" s="2"/>
      <c r="J606" s="2"/>
      <c r="K606" s="2"/>
    </row>
    <row r="607" spans="1:11" ht="15.75" customHeight="1" x14ac:dyDescent="0.25">
      <c r="A607" s="164"/>
      <c r="B607" s="4"/>
      <c r="C607" s="4"/>
      <c r="E607" s="2"/>
      <c r="F607" s="2"/>
      <c r="G607" s="2"/>
      <c r="H607" s="2"/>
      <c r="I607" s="2"/>
      <c r="J607" s="2"/>
      <c r="K607" s="2"/>
    </row>
    <row r="608" spans="1:11" ht="15.75" customHeight="1" x14ac:dyDescent="0.25">
      <c r="A608" s="164"/>
      <c r="B608" s="4"/>
      <c r="C608" s="4"/>
      <c r="E608" s="2"/>
      <c r="F608" s="2"/>
      <c r="G608" s="2"/>
      <c r="H608" s="2"/>
      <c r="I608" s="2"/>
      <c r="J608" s="2"/>
      <c r="K608" s="2"/>
    </row>
    <row r="609" spans="1:11" ht="15.75" customHeight="1" x14ac:dyDescent="0.25">
      <c r="A609" s="164"/>
      <c r="B609" s="4"/>
      <c r="C609" s="4"/>
      <c r="E609" s="2"/>
      <c r="F609" s="2"/>
      <c r="G609" s="2"/>
      <c r="H609" s="2"/>
      <c r="I609" s="2"/>
      <c r="J609" s="2"/>
      <c r="K609" s="2"/>
    </row>
    <row r="610" spans="1:11" ht="15.75" customHeight="1" x14ac:dyDescent="0.25">
      <c r="A610" s="164"/>
      <c r="B610" s="4"/>
      <c r="C610" s="4"/>
      <c r="E610" s="2"/>
      <c r="F610" s="2"/>
      <c r="G610" s="2"/>
      <c r="H610" s="2"/>
      <c r="I610" s="2"/>
      <c r="J610" s="2"/>
      <c r="K610" s="2"/>
    </row>
    <row r="611" spans="1:11" ht="15.75" customHeight="1" x14ac:dyDescent="0.25">
      <c r="A611" s="164"/>
      <c r="B611" s="4"/>
      <c r="C611" s="4"/>
      <c r="E611" s="2"/>
      <c r="F611" s="2"/>
      <c r="G611" s="2"/>
      <c r="H611" s="2"/>
      <c r="I611" s="2"/>
      <c r="J611" s="2"/>
      <c r="K611" s="2"/>
    </row>
    <row r="612" spans="1:11" ht="15.75" customHeight="1" x14ac:dyDescent="0.25">
      <c r="A612" s="164"/>
      <c r="B612" s="4"/>
      <c r="C612" s="4"/>
      <c r="E612" s="2"/>
      <c r="F612" s="2"/>
      <c r="G612" s="2"/>
      <c r="H612" s="2"/>
      <c r="I612" s="2"/>
      <c r="J612" s="2"/>
      <c r="K612" s="2"/>
    </row>
    <row r="613" spans="1:11" ht="15.75" customHeight="1" x14ac:dyDescent="0.25">
      <c r="A613" s="164"/>
      <c r="B613" s="4"/>
      <c r="C613" s="4"/>
      <c r="E613" s="2"/>
      <c r="F613" s="2"/>
      <c r="G613" s="2"/>
      <c r="H613" s="2"/>
      <c r="I613" s="2"/>
      <c r="J613" s="2"/>
      <c r="K613" s="2"/>
    </row>
    <row r="614" spans="1:11" ht="15.75" customHeight="1" x14ac:dyDescent="0.25">
      <c r="A614" s="164"/>
      <c r="B614" s="4"/>
      <c r="C614" s="4"/>
      <c r="E614" s="2"/>
      <c r="F614" s="2"/>
      <c r="G614" s="2"/>
      <c r="H614" s="2"/>
      <c r="I614" s="2"/>
      <c r="J614" s="2"/>
      <c r="K614" s="2"/>
    </row>
    <row r="615" spans="1:11" ht="15.75" customHeight="1" x14ac:dyDescent="0.25">
      <c r="A615" s="164"/>
      <c r="B615" s="4"/>
      <c r="C615" s="4"/>
      <c r="E615" s="2"/>
      <c r="F615" s="2"/>
      <c r="G615" s="2"/>
      <c r="H615" s="2"/>
      <c r="I615" s="2"/>
      <c r="J615" s="2"/>
      <c r="K615" s="2"/>
    </row>
    <row r="616" spans="1:11" ht="15.75" customHeight="1" x14ac:dyDescent="0.25">
      <c r="A616" s="164"/>
      <c r="B616" s="4"/>
      <c r="C616" s="4"/>
      <c r="E616" s="2"/>
      <c r="F616" s="2"/>
      <c r="G616" s="2"/>
      <c r="H616" s="2"/>
      <c r="I616" s="2"/>
      <c r="J616" s="2"/>
      <c r="K616" s="2"/>
    </row>
    <row r="617" spans="1:11" ht="15.75" customHeight="1" x14ac:dyDescent="0.25">
      <c r="A617" s="164"/>
      <c r="B617" s="4"/>
      <c r="C617" s="4"/>
      <c r="E617" s="2"/>
      <c r="F617" s="2"/>
      <c r="G617" s="2"/>
      <c r="H617" s="2"/>
      <c r="I617" s="2"/>
      <c r="J617" s="2"/>
      <c r="K617" s="2"/>
    </row>
    <row r="618" spans="1:11" ht="15.75" customHeight="1" x14ac:dyDescent="0.25">
      <c r="A618" s="164"/>
      <c r="B618" s="4"/>
      <c r="C618" s="4"/>
      <c r="E618" s="2"/>
      <c r="F618" s="2"/>
      <c r="G618" s="2"/>
      <c r="H618" s="2"/>
      <c r="I618" s="2"/>
      <c r="J618" s="2"/>
      <c r="K618" s="2"/>
    </row>
    <row r="619" spans="1:11" ht="15.75" customHeight="1" x14ac:dyDescent="0.25">
      <c r="A619" s="164"/>
      <c r="B619" s="4"/>
      <c r="C619" s="4"/>
      <c r="E619" s="2"/>
      <c r="F619" s="2"/>
      <c r="G619" s="2"/>
      <c r="H619" s="2"/>
      <c r="I619" s="2"/>
      <c r="J619" s="2"/>
      <c r="K619" s="2"/>
    </row>
    <row r="620" spans="1:11" ht="15.75" customHeight="1" x14ac:dyDescent="0.25">
      <c r="A620" s="164"/>
      <c r="B620" s="4"/>
      <c r="C620" s="4"/>
      <c r="E620" s="2"/>
      <c r="F620" s="2"/>
      <c r="G620" s="2"/>
      <c r="H620" s="2"/>
      <c r="I620" s="2"/>
      <c r="J620" s="2"/>
      <c r="K620" s="2"/>
    </row>
    <row r="621" spans="1:11" ht="15.75" customHeight="1" x14ac:dyDescent="0.25">
      <c r="A621" s="164"/>
      <c r="B621" s="4"/>
      <c r="C621" s="4"/>
      <c r="E621" s="2"/>
      <c r="F621" s="2"/>
      <c r="G621" s="2"/>
      <c r="H621" s="2"/>
      <c r="I621" s="2"/>
      <c r="J621" s="2"/>
      <c r="K621" s="2"/>
    </row>
    <row r="622" spans="1:11" ht="15.75" customHeight="1" x14ac:dyDescent="0.25">
      <c r="A622" s="164"/>
      <c r="B622" s="4"/>
      <c r="C622" s="4"/>
      <c r="E622" s="2"/>
      <c r="F622" s="2"/>
      <c r="G622" s="2"/>
      <c r="H622" s="2"/>
      <c r="I622" s="2"/>
      <c r="J622" s="2"/>
      <c r="K622" s="2"/>
    </row>
    <row r="623" spans="1:11" ht="15.75" customHeight="1" x14ac:dyDescent="0.25">
      <c r="A623" s="164"/>
      <c r="B623" s="4"/>
      <c r="C623" s="4"/>
      <c r="E623" s="2"/>
      <c r="F623" s="2"/>
      <c r="G623" s="2"/>
      <c r="H623" s="2"/>
      <c r="I623" s="2"/>
      <c r="J623" s="2"/>
      <c r="K623" s="2"/>
    </row>
    <row r="624" spans="1:11" ht="15.75" customHeight="1" x14ac:dyDescent="0.25">
      <c r="A624" s="164"/>
      <c r="B624" s="4"/>
      <c r="C624" s="4"/>
      <c r="E624" s="2"/>
      <c r="F624" s="2"/>
      <c r="G624" s="2"/>
      <c r="H624" s="2"/>
      <c r="I624" s="2"/>
      <c r="J624" s="2"/>
      <c r="K624" s="2"/>
    </row>
    <row r="625" spans="1:11" ht="15.75" customHeight="1" x14ac:dyDescent="0.25">
      <c r="A625" s="164"/>
      <c r="B625" s="4"/>
      <c r="C625" s="4"/>
      <c r="E625" s="2"/>
      <c r="F625" s="2"/>
      <c r="G625" s="2"/>
      <c r="H625" s="2"/>
      <c r="I625" s="2"/>
      <c r="J625" s="2"/>
      <c r="K625" s="2"/>
    </row>
    <row r="626" spans="1:11" ht="15.75" customHeight="1" x14ac:dyDescent="0.25">
      <c r="A626" s="164"/>
      <c r="B626" s="4"/>
      <c r="C626" s="4"/>
      <c r="E626" s="2"/>
      <c r="F626" s="2"/>
      <c r="G626" s="2"/>
      <c r="H626" s="2"/>
      <c r="I626" s="2"/>
      <c r="J626" s="2"/>
      <c r="K626" s="2"/>
    </row>
    <row r="627" spans="1:11" ht="15.75" customHeight="1" x14ac:dyDescent="0.25">
      <c r="A627" s="164"/>
      <c r="B627" s="4"/>
      <c r="C627" s="4"/>
      <c r="E627" s="2"/>
      <c r="F627" s="2"/>
      <c r="G627" s="2"/>
      <c r="H627" s="2"/>
      <c r="I627" s="2"/>
      <c r="J627" s="2"/>
      <c r="K627" s="2"/>
    </row>
    <row r="628" spans="1:11" ht="15.75" customHeight="1" x14ac:dyDescent="0.25">
      <c r="A628" s="164"/>
      <c r="B628" s="4"/>
      <c r="C628" s="4"/>
      <c r="E628" s="2"/>
      <c r="F628" s="2"/>
      <c r="G628" s="2"/>
      <c r="H628" s="2"/>
      <c r="I628" s="2"/>
      <c r="J628" s="2"/>
      <c r="K628" s="2"/>
    </row>
    <row r="629" spans="1:11" ht="15.75" customHeight="1" x14ac:dyDescent="0.25">
      <c r="A629" s="164"/>
      <c r="B629" s="4"/>
      <c r="C629" s="4"/>
      <c r="E629" s="2"/>
      <c r="F629" s="2"/>
      <c r="G629" s="2"/>
      <c r="H629" s="2"/>
      <c r="I629" s="2"/>
      <c r="J629" s="2"/>
      <c r="K629" s="2"/>
    </row>
    <row r="630" spans="1:11" ht="15.75" customHeight="1" x14ac:dyDescent="0.25">
      <c r="A630" s="164"/>
      <c r="B630" s="4"/>
      <c r="C630" s="4"/>
      <c r="E630" s="2"/>
      <c r="F630" s="2"/>
      <c r="G630" s="2"/>
      <c r="H630" s="2"/>
      <c r="I630" s="2"/>
      <c r="J630" s="2"/>
      <c r="K630" s="2"/>
    </row>
    <row r="631" spans="1:11" ht="15.75" customHeight="1" x14ac:dyDescent="0.25">
      <c r="A631" s="164"/>
      <c r="B631" s="4"/>
      <c r="C631" s="4"/>
      <c r="E631" s="2"/>
      <c r="F631" s="2"/>
      <c r="G631" s="2"/>
      <c r="H631" s="2"/>
      <c r="I631" s="2"/>
      <c r="J631" s="2"/>
      <c r="K631" s="2"/>
    </row>
    <row r="632" spans="1:11" ht="15.75" customHeight="1" x14ac:dyDescent="0.25">
      <c r="A632" s="164"/>
      <c r="B632" s="4"/>
      <c r="C632" s="4"/>
      <c r="E632" s="2"/>
      <c r="F632" s="2"/>
      <c r="G632" s="2"/>
      <c r="H632" s="2"/>
      <c r="I632" s="2"/>
      <c r="J632" s="2"/>
      <c r="K632" s="2"/>
    </row>
    <row r="633" spans="1:11" ht="15.75" customHeight="1" x14ac:dyDescent="0.25">
      <c r="A633" s="164"/>
      <c r="B633" s="4"/>
      <c r="C633" s="4"/>
      <c r="E633" s="2"/>
      <c r="F633" s="2"/>
      <c r="G633" s="2"/>
      <c r="H633" s="2"/>
      <c r="I633" s="2"/>
      <c r="J633" s="2"/>
      <c r="K633" s="2"/>
    </row>
    <row r="634" spans="1:11" ht="15.75" customHeight="1" x14ac:dyDescent="0.25">
      <c r="A634" s="164"/>
      <c r="B634" s="4"/>
      <c r="C634" s="4"/>
      <c r="E634" s="2"/>
      <c r="F634" s="2"/>
      <c r="G634" s="2"/>
      <c r="H634" s="2"/>
      <c r="I634" s="2"/>
      <c r="J634" s="2"/>
      <c r="K634" s="2"/>
    </row>
    <row r="635" spans="1:11" ht="15.75" customHeight="1" x14ac:dyDescent="0.25">
      <c r="A635" s="164"/>
      <c r="B635" s="4"/>
      <c r="C635" s="4"/>
      <c r="E635" s="2"/>
      <c r="F635" s="2"/>
      <c r="G635" s="2"/>
      <c r="H635" s="2"/>
      <c r="I635" s="2"/>
      <c r="J635" s="2"/>
      <c r="K635" s="2"/>
    </row>
    <row r="636" spans="1:11" ht="15.75" customHeight="1" x14ac:dyDescent="0.25">
      <c r="A636" s="164"/>
      <c r="B636" s="4"/>
      <c r="C636" s="4"/>
      <c r="E636" s="2"/>
      <c r="F636" s="2"/>
      <c r="G636" s="2"/>
      <c r="H636" s="2"/>
      <c r="I636" s="2"/>
      <c r="J636" s="2"/>
      <c r="K636" s="2"/>
    </row>
    <row r="637" spans="1:11" ht="15.75" customHeight="1" x14ac:dyDescent="0.25">
      <c r="A637" s="164"/>
      <c r="B637" s="4"/>
      <c r="C637" s="4"/>
      <c r="E637" s="2"/>
      <c r="F637" s="2"/>
      <c r="G637" s="2"/>
      <c r="H637" s="2"/>
      <c r="I637" s="2"/>
      <c r="J637" s="2"/>
      <c r="K637" s="2"/>
    </row>
    <row r="638" spans="1:11" ht="15.75" customHeight="1" x14ac:dyDescent="0.25">
      <c r="A638" s="164"/>
      <c r="B638" s="4"/>
      <c r="C638" s="4"/>
      <c r="E638" s="2"/>
      <c r="F638" s="2"/>
      <c r="G638" s="2"/>
      <c r="H638" s="2"/>
      <c r="I638" s="2"/>
      <c r="J638" s="2"/>
      <c r="K638" s="2"/>
    </row>
    <row r="639" spans="1:11" ht="15.75" customHeight="1" x14ac:dyDescent="0.25">
      <c r="A639" s="164"/>
      <c r="B639" s="4"/>
      <c r="C639" s="4"/>
      <c r="E639" s="2"/>
      <c r="F639" s="2"/>
      <c r="G639" s="2"/>
      <c r="H639" s="2"/>
      <c r="I639" s="2"/>
      <c r="J639" s="2"/>
      <c r="K639" s="2"/>
    </row>
    <row r="640" spans="1:11" ht="15.75" customHeight="1" x14ac:dyDescent="0.25">
      <c r="A640" s="164"/>
      <c r="B640" s="4"/>
      <c r="C640" s="4"/>
      <c r="E640" s="2"/>
      <c r="F640" s="2"/>
      <c r="G640" s="2"/>
      <c r="H640" s="2"/>
      <c r="I640" s="2"/>
      <c r="J640" s="2"/>
      <c r="K640" s="2"/>
    </row>
    <row r="641" spans="1:11" ht="15.75" customHeight="1" x14ac:dyDescent="0.25">
      <c r="A641" s="164"/>
      <c r="B641" s="4"/>
      <c r="C641" s="4"/>
      <c r="E641" s="2"/>
      <c r="F641" s="2"/>
      <c r="G641" s="2"/>
      <c r="H641" s="2"/>
      <c r="I641" s="2"/>
      <c r="J641" s="2"/>
      <c r="K641" s="2"/>
    </row>
    <row r="642" spans="1:11" ht="15.75" customHeight="1" x14ac:dyDescent="0.25">
      <c r="A642" s="164"/>
      <c r="B642" s="4"/>
      <c r="C642" s="4"/>
      <c r="E642" s="2"/>
      <c r="F642" s="2"/>
      <c r="G642" s="2"/>
      <c r="H642" s="2"/>
      <c r="I642" s="2"/>
      <c r="J642" s="2"/>
      <c r="K642" s="2"/>
    </row>
    <row r="643" spans="1:11" ht="15.75" customHeight="1" x14ac:dyDescent="0.25">
      <c r="A643" s="164"/>
      <c r="B643" s="4"/>
      <c r="C643" s="4"/>
      <c r="E643" s="2"/>
      <c r="F643" s="2"/>
      <c r="G643" s="2"/>
      <c r="H643" s="2"/>
      <c r="I643" s="2"/>
      <c r="J643" s="2"/>
      <c r="K643" s="2"/>
    </row>
    <row r="644" spans="1:11" ht="15.75" customHeight="1" x14ac:dyDescent="0.25">
      <c r="A644" s="164"/>
      <c r="B644" s="4"/>
      <c r="C644" s="4"/>
      <c r="E644" s="2"/>
      <c r="F644" s="2"/>
      <c r="G644" s="2"/>
      <c r="H644" s="2"/>
      <c r="I644" s="2"/>
      <c r="J644" s="2"/>
      <c r="K644" s="2"/>
    </row>
    <row r="645" spans="1:11" ht="15.75" customHeight="1" x14ac:dyDescent="0.25">
      <c r="A645" s="164"/>
      <c r="B645" s="4"/>
      <c r="C645" s="4"/>
      <c r="E645" s="2"/>
      <c r="F645" s="2"/>
      <c r="G645" s="2"/>
      <c r="H645" s="2"/>
      <c r="I645" s="2"/>
      <c r="J645" s="2"/>
      <c r="K645" s="2"/>
    </row>
    <row r="646" spans="1:11" ht="15.75" customHeight="1" x14ac:dyDescent="0.25">
      <c r="A646" s="164"/>
      <c r="B646" s="4"/>
      <c r="C646" s="4"/>
      <c r="E646" s="2"/>
      <c r="F646" s="2"/>
      <c r="G646" s="2"/>
      <c r="H646" s="2"/>
      <c r="I646" s="2"/>
      <c r="J646" s="2"/>
      <c r="K646" s="2"/>
    </row>
    <row r="647" spans="1:11" ht="15.75" customHeight="1" x14ac:dyDescent="0.25">
      <c r="A647" s="164"/>
      <c r="B647" s="4"/>
      <c r="C647" s="4"/>
      <c r="E647" s="2"/>
      <c r="F647" s="2"/>
      <c r="G647" s="2"/>
      <c r="H647" s="2"/>
      <c r="I647" s="2"/>
      <c r="J647" s="2"/>
      <c r="K647" s="2"/>
    </row>
    <row r="648" spans="1:11" ht="15.75" customHeight="1" x14ac:dyDescent="0.25">
      <c r="A648" s="164"/>
      <c r="B648" s="4"/>
      <c r="C648" s="4"/>
      <c r="E648" s="2"/>
      <c r="F648" s="2"/>
      <c r="G648" s="2"/>
      <c r="H648" s="2"/>
      <c r="I648" s="2"/>
      <c r="J648" s="2"/>
      <c r="K648" s="2"/>
    </row>
    <row r="649" spans="1:11" ht="15.75" customHeight="1" x14ac:dyDescent="0.25">
      <c r="A649" s="164"/>
      <c r="B649" s="4"/>
      <c r="C649" s="4"/>
      <c r="E649" s="2"/>
      <c r="F649" s="2"/>
      <c r="G649" s="2"/>
      <c r="H649" s="2"/>
      <c r="I649" s="2"/>
      <c r="J649" s="2"/>
      <c r="K649" s="2"/>
    </row>
    <row r="650" spans="1:11" ht="15.75" customHeight="1" x14ac:dyDescent="0.25">
      <c r="A650" s="164"/>
      <c r="B650" s="4"/>
      <c r="C650" s="4"/>
      <c r="E650" s="2"/>
      <c r="F650" s="2"/>
      <c r="G650" s="2"/>
      <c r="H650" s="2"/>
      <c r="I650" s="2"/>
      <c r="J650" s="2"/>
      <c r="K650" s="2"/>
    </row>
    <row r="651" spans="1:11" ht="15.75" customHeight="1" x14ac:dyDescent="0.25">
      <c r="A651" s="164"/>
      <c r="B651" s="4"/>
      <c r="C651" s="4"/>
      <c r="E651" s="2"/>
      <c r="F651" s="2"/>
      <c r="G651" s="2"/>
      <c r="H651" s="2"/>
      <c r="I651" s="2"/>
      <c r="J651" s="2"/>
      <c r="K651" s="2"/>
    </row>
    <row r="652" spans="1:11" ht="15.75" customHeight="1" x14ac:dyDescent="0.25">
      <c r="A652" s="164"/>
      <c r="B652" s="4"/>
      <c r="C652" s="4"/>
      <c r="E652" s="2"/>
      <c r="F652" s="2"/>
      <c r="G652" s="2"/>
      <c r="H652" s="2"/>
      <c r="I652" s="2"/>
      <c r="J652" s="2"/>
      <c r="K652" s="2"/>
    </row>
    <row r="653" spans="1:11" ht="15.75" customHeight="1" x14ac:dyDescent="0.25">
      <c r="A653" s="164"/>
      <c r="B653" s="4"/>
      <c r="C653" s="4"/>
      <c r="E653" s="2"/>
      <c r="F653" s="2"/>
      <c r="G653" s="2"/>
      <c r="H653" s="2"/>
      <c r="I653" s="2"/>
      <c r="J653" s="2"/>
      <c r="K653" s="2"/>
    </row>
    <row r="654" spans="1:11" ht="15.75" customHeight="1" x14ac:dyDescent="0.25">
      <c r="A654" s="164"/>
      <c r="B654" s="4"/>
      <c r="C654" s="4"/>
      <c r="E654" s="2"/>
      <c r="F654" s="2"/>
      <c r="G654" s="2"/>
      <c r="H654" s="2"/>
      <c r="I654" s="2"/>
      <c r="J654" s="2"/>
      <c r="K654" s="2"/>
    </row>
    <row r="655" spans="1:11" ht="15.75" customHeight="1" x14ac:dyDescent="0.25">
      <c r="A655" s="164"/>
      <c r="B655" s="4"/>
      <c r="C655" s="4"/>
      <c r="E655" s="2"/>
      <c r="F655" s="2"/>
      <c r="G655" s="2"/>
      <c r="H655" s="2"/>
      <c r="I655" s="2"/>
      <c r="J655" s="2"/>
      <c r="K655" s="2"/>
    </row>
    <row r="656" spans="1:11" ht="15.75" customHeight="1" x14ac:dyDescent="0.25">
      <c r="A656" s="164"/>
      <c r="B656" s="4"/>
      <c r="C656" s="4"/>
      <c r="E656" s="2"/>
      <c r="F656" s="2"/>
      <c r="G656" s="2"/>
      <c r="H656" s="2"/>
      <c r="I656" s="2"/>
      <c r="J656" s="2"/>
      <c r="K656" s="2"/>
    </row>
    <row r="657" spans="1:11" ht="15.75" customHeight="1" x14ac:dyDescent="0.25">
      <c r="A657" s="164"/>
      <c r="B657" s="4"/>
      <c r="C657" s="4"/>
      <c r="E657" s="2"/>
      <c r="F657" s="2"/>
      <c r="G657" s="2"/>
      <c r="H657" s="2"/>
      <c r="I657" s="2"/>
      <c r="J657" s="2"/>
      <c r="K657" s="2"/>
    </row>
    <row r="658" spans="1:11" ht="15.75" customHeight="1" x14ac:dyDescent="0.25">
      <c r="A658" s="164"/>
      <c r="B658" s="4"/>
      <c r="C658" s="4"/>
      <c r="E658" s="2"/>
      <c r="F658" s="2"/>
      <c r="G658" s="2"/>
      <c r="H658" s="2"/>
      <c r="I658" s="2"/>
      <c r="J658" s="2"/>
      <c r="K658" s="2"/>
    </row>
    <row r="659" spans="1:11" ht="15.75" customHeight="1" x14ac:dyDescent="0.25">
      <c r="A659" s="164"/>
      <c r="B659" s="4"/>
      <c r="C659" s="4"/>
      <c r="E659" s="2"/>
      <c r="F659" s="2"/>
      <c r="G659" s="2"/>
      <c r="H659" s="2"/>
      <c r="I659" s="2"/>
      <c r="J659" s="2"/>
      <c r="K659" s="2"/>
    </row>
    <row r="660" spans="1:11" ht="15.75" customHeight="1" x14ac:dyDescent="0.25">
      <c r="A660" s="164"/>
      <c r="B660" s="4"/>
      <c r="C660" s="4"/>
      <c r="E660" s="2"/>
      <c r="F660" s="2"/>
      <c r="G660" s="2"/>
      <c r="H660" s="2"/>
      <c r="I660" s="2"/>
      <c r="J660" s="2"/>
      <c r="K660" s="2"/>
    </row>
    <row r="661" spans="1:11" ht="15.75" customHeight="1" x14ac:dyDescent="0.25">
      <c r="A661" s="164"/>
      <c r="B661" s="4"/>
      <c r="C661" s="4"/>
      <c r="E661" s="2"/>
      <c r="F661" s="2"/>
      <c r="G661" s="2"/>
      <c r="H661" s="2"/>
      <c r="I661" s="2"/>
      <c r="J661" s="2"/>
      <c r="K661" s="2"/>
    </row>
    <row r="662" spans="1:11" ht="15.75" customHeight="1" x14ac:dyDescent="0.25">
      <c r="A662" s="164"/>
      <c r="B662" s="4"/>
      <c r="C662" s="4"/>
      <c r="E662" s="2"/>
      <c r="F662" s="2"/>
      <c r="G662" s="2"/>
      <c r="H662" s="2"/>
      <c r="I662" s="2"/>
      <c r="J662" s="2"/>
      <c r="K662" s="2"/>
    </row>
    <row r="663" spans="1:11" ht="15.75" customHeight="1" x14ac:dyDescent="0.25">
      <c r="A663" s="164"/>
      <c r="B663" s="4"/>
      <c r="C663" s="4"/>
      <c r="E663" s="2"/>
      <c r="F663" s="2"/>
      <c r="G663" s="2"/>
      <c r="H663" s="2"/>
      <c r="I663" s="2"/>
      <c r="J663" s="2"/>
      <c r="K663" s="2"/>
    </row>
    <row r="664" spans="1:11" ht="15.75" customHeight="1" x14ac:dyDescent="0.25">
      <c r="A664" s="164"/>
      <c r="B664" s="4"/>
      <c r="C664" s="4"/>
      <c r="E664" s="2"/>
      <c r="F664" s="2"/>
      <c r="G664" s="2"/>
      <c r="H664" s="2"/>
      <c r="I664" s="2"/>
      <c r="J664" s="2"/>
      <c r="K664" s="2"/>
    </row>
    <row r="665" spans="1:11" ht="15.75" customHeight="1" x14ac:dyDescent="0.25">
      <c r="A665" s="164"/>
      <c r="B665" s="4"/>
      <c r="C665" s="4"/>
      <c r="E665" s="2"/>
      <c r="F665" s="2"/>
      <c r="G665" s="2"/>
      <c r="H665" s="2"/>
      <c r="I665" s="2"/>
      <c r="J665" s="2"/>
      <c r="K665" s="2"/>
    </row>
    <row r="666" spans="1:11" ht="15.75" customHeight="1" x14ac:dyDescent="0.25">
      <c r="A666" s="164"/>
      <c r="B666" s="4"/>
      <c r="C666" s="4"/>
      <c r="E666" s="2"/>
      <c r="F666" s="2"/>
      <c r="G666" s="2"/>
      <c r="H666" s="2"/>
      <c r="I666" s="2"/>
      <c r="J666" s="2"/>
      <c r="K666" s="2"/>
    </row>
    <row r="667" spans="1:11" ht="15.75" customHeight="1" x14ac:dyDescent="0.25">
      <c r="A667" s="164"/>
      <c r="B667" s="4"/>
      <c r="C667" s="4"/>
      <c r="E667" s="2"/>
      <c r="F667" s="2"/>
      <c r="G667" s="2"/>
      <c r="H667" s="2"/>
      <c r="I667" s="2"/>
      <c r="J667" s="2"/>
      <c r="K667" s="2"/>
    </row>
    <row r="668" spans="1:11" ht="15.75" customHeight="1" x14ac:dyDescent="0.25">
      <c r="A668" s="164"/>
      <c r="B668" s="4"/>
      <c r="C668" s="4"/>
      <c r="E668" s="2"/>
      <c r="F668" s="2"/>
      <c r="G668" s="2"/>
      <c r="H668" s="2"/>
      <c r="I668" s="2"/>
      <c r="J668" s="2"/>
      <c r="K668" s="2"/>
    </row>
    <row r="669" spans="1:11" ht="15.75" customHeight="1" x14ac:dyDescent="0.25">
      <c r="A669" s="164"/>
      <c r="B669" s="4"/>
      <c r="C669" s="4"/>
      <c r="E669" s="2"/>
      <c r="F669" s="2"/>
      <c r="G669" s="2"/>
      <c r="H669" s="2"/>
      <c r="I669" s="2"/>
      <c r="J669" s="2"/>
      <c r="K669" s="2"/>
    </row>
    <row r="670" spans="1:11" ht="15.75" customHeight="1" x14ac:dyDescent="0.25">
      <c r="A670" s="164"/>
      <c r="B670" s="4"/>
      <c r="C670" s="4"/>
      <c r="E670" s="2"/>
      <c r="F670" s="2"/>
      <c r="G670" s="2"/>
      <c r="H670" s="2"/>
      <c r="I670" s="2"/>
      <c r="J670" s="2"/>
      <c r="K670" s="2"/>
    </row>
    <row r="671" spans="1:11" ht="15.75" customHeight="1" x14ac:dyDescent="0.25">
      <c r="A671" s="164"/>
      <c r="B671" s="4"/>
      <c r="C671" s="4"/>
      <c r="E671" s="2"/>
      <c r="F671" s="2"/>
      <c r="G671" s="2"/>
      <c r="H671" s="2"/>
      <c r="I671" s="2"/>
      <c r="J671" s="2"/>
      <c r="K671" s="2"/>
    </row>
    <row r="672" spans="1:11" ht="15.75" customHeight="1" x14ac:dyDescent="0.25">
      <c r="A672" s="164"/>
      <c r="B672" s="4"/>
      <c r="C672" s="4"/>
      <c r="E672" s="2"/>
      <c r="F672" s="2"/>
      <c r="G672" s="2"/>
      <c r="H672" s="2"/>
      <c r="I672" s="2"/>
      <c r="J672" s="2"/>
      <c r="K672" s="2"/>
    </row>
    <row r="673" spans="1:11" ht="15.75" customHeight="1" x14ac:dyDescent="0.25">
      <c r="A673" s="164"/>
      <c r="B673" s="4"/>
      <c r="C673" s="4"/>
      <c r="E673" s="2"/>
      <c r="F673" s="2"/>
      <c r="G673" s="2"/>
      <c r="H673" s="2"/>
      <c r="I673" s="2"/>
      <c r="J673" s="2"/>
      <c r="K673" s="2"/>
    </row>
    <row r="674" spans="1:11" ht="15.75" customHeight="1" x14ac:dyDescent="0.25">
      <c r="A674" s="164"/>
      <c r="B674" s="4"/>
      <c r="C674" s="4"/>
      <c r="E674" s="2"/>
      <c r="F674" s="2"/>
      <c r="G674" s="2"/>
      <c r="H674" s="2"/>
      <c r="I674" s="2"/>
      <c r="J674" s="2"/>
      <c r="K674" s="2"/>
    </row>
    <row r="675" spans="1:11" ht="15.75" customHeight="1" x14ac:dyDescent="0.25">
      <c r="A675" s="164"/>
      <c r="B675" s="4"/>
      <c r="C675" s="4"/>
      <c r="E675" s="2"/>
      <c r="F675" s="2"/>
      <c r="G675" s="2"/>
      <c r="H675" s="2"/>
      <c r="I675" s="2"/>
      <c r="J675" s="2"/>
      <c r="K675" s="2"/>
    </row>
    <row r="676" spans="1:11" ht="15.75" customHeight="1" x14ac:dyDescent="0.25">
      <c r="A676" s="164"/>
      <c r="B676" s="4"/>
      <c r="C676" s="4"/>
      <c r="E676" s="2"/>
      <c r="F676" s="2"/>
      <c r="G676" s="2"/>
      <c r="H676" s="2"/>
      <c r="I676" s="2"/>
      <c r="J676" s="2"/>
      <c r="K676" s="2"/>
    </row>
    <row r="677" spans="1:11" ht="15.75" customHeight="1" x14ac:dyDescent="0.25">
      <c r="A677" s="164"/>
      <c r="B677" s="4"/>
      <c r="C677" s="4"/>
      <c r="E677" s="2"/>
      <c r="F677" s="2"/>
      <c r="G677" s="2"/>
      <c r="H677" s="2"/>
      <c r="I677" s="2"/>
      <c r="J677" s="2"/>
      <c r="K677" s="2"/>
    </row>
    <row r="678" spans="1:11" ht="15.75" customHeight="1" x14ac:dyDescent="0.25">
      <c r="A678" s="164"/>
      <c r="B678" s="4"/>
      <c r="C678" s="4"/>
      <c r="E678" s="2"/>
      <c r="F678" s="2"/>
      <c r="G678" s="2"/>
      <c r="H678" s="2"/>
      <c r="I678" s="2"/>
      <c r="J678" s="2"/>
      <c r="K678" s="2"/>
    </row>
    <row r="679" spans="1:11" ht="15.75" customHeight="1" x14ac:dyDescent="0.25">
      <c r="A679" s="164"/>
      <c r="B679" s="4"/>
      <c r="C679" s="4"/>
      <c r="E679" s="2"/>
      <c r="F679" s="2"/>
      <c r="G679" s="2"/>
      <c r="H679" s="2"/>
      <c r="I679" s="2"/>
      <c r="J679" s="2"/>
      <c r="K679" s="2"/>
    </row>
    <row r="680" spans="1:11" ht="15.75" customHeight="1" x14ac:dyDescent="0.25">
      <c r="A680" s="164"/>
      <c r="B680" s="4"/>
      <c r="C680" s="4"/>
      <c r="E680" s="2"/>
      <c r="F680" s="2"/>
      <c r="G680" s="2"/>
      <c r="H680" s="2"/>
      <c r="I680" s="2"/>
      <c r="J680" s="2"/>
      <c r="K680" s="2"/>
    </row>
    <row r="681" spans="1:11" ht="15.75" customHeight="1" x14ac:dyDescent="0.25">
      <c r="A681" s="164"/>
      <c r="B681" s="4"/>
      <c r="C681" s="4"/>
      <c r="E681" s="2"/>
      <c r="F681" s="2"/>
      <c r="G681" s="2"/>
      <c r="H681" s="2"/>
      <c r="I681" s="2"/>
      <c r="J681" s="2"/>
      <c r="K681" s="2"/>
    </row>
    <row r="682" spans="1:11" ht="15.75" customHeight="1" x14ac:dyDescent="0.25">
      <c r="A682" s="164"/>
      <c r="B682" s="4"/>
      <c r="C682" s="4"/>
      <c r="E682" s="2"/>
      <c r="F682" s="2"/>
      <c r="G682" s="2"/>
      <c r="H682" s="2"/>
      <c r="I682" s="2"/>
      <c r="J682" s="2"/>
      <c r="K682" s="2"/>
    </row>
    <row r="683" spans="1:11" ht="15.75" customHeight="1" x14ac:dyDescent="0.25">
      <c r="A683" s="164"/>
      <c r="B683" s="4"/>
      <c r="C683" s="4"/>
      <c r="E683" s="2"/>
      <c r="F683" s="2"/>
      <c r="G683" s="2"/>
      <c r="H683" s="2"/>
      <c r="I683" s="2"/>
      <c r="J683" s="2"/>
      <c r="K683" s="2"/>
    </row>
    <row r="684" spans="1:11" ht="15.75" customHeight="1" x14ac:dyDescent="0.25">
      <c r="A684" s="164"/>
      <c r="B684" s="4"/>
      <c r="C684" s="4"/>
      <c r="E684" s="2"/>
      <c r="F684" s="2"/>
      <c r="G684" s="2"/>
      <c r="H684" s="2"/>
      <c r="I684" s="2"/>
      <c r="J684" s="2"/>
      <c r="K684" s="2"/>
    </row>
    <row r="685" spans="1:11" ht="15.75" customHeight="1" x14ac:dyDescent="0.25">
      <c r="A685" s="164"/>
      <c r="B685" s="4"/>
      <c r="C685" s="4"/>
      <c r="E685" s="2"/>
      <c r="F685" s="2"/>
      <c r="G685" s="2"/>
      <c r="H685" s="2"/>
      <c r="I685" s="2"/>
      <c r="J685" s="2"/>
      <c r="K685" s="2"/>
    </row>
    <row r="686" spans="1:11" ht="15.75" customHeight="1" x14ac:dyDescent="0.25">
      <c r="A686" s="164"/>
      <c r="B686" s="4"/>
      <c r="C686" s="4"/>
      <c r="E686" s="2"/>
      <c r="F686" s="2"/>
      <c r="G686" s="2"/>
      <c r="H686" s="2"/>
      <c r="I686" s="2"/>
      <c r="J686" s="2"/>
      <c r="K686" s="2"/>
    </row>
    <row r="687" spans="1:11" ht="15.75" customHeight="1" x14ac:dyDescent="0.25">
      <c r="A687" s="164"/>
      <c r="B687" s="4"/>
      <c r="C687" s="4"/>
      <c r="E687" s="2"/>
      <c r="F687" s="2"/>
      <c r="G687" s="2"/>
      <c r="H687" s="2"/>
      <c r="I687" s="2"/>
      <c r="J687" s="2"/>
      <c r="K687" s="2"/>
    </row>
    <row r="688" spans="1:11" ht="15.75" customHeight="1" x14ac:dyDescent="0.25">
      <c r="A688" s="164"/>
      <c r="B688" s="4"/>
      <c r="C688" s="4"/>
      <c r="E688" s="2"/>
      <c r="F688" s="2"/>
      <c r="G688" s="2"/>
      <c r="H688" s="2"/>
      <c r="I688" s="2"/>
      <c r="J688" s="2"/>
      <c r="K688" s="2"/>
    </row>
    <row r="689" spans="1:11" ht="15.75" customHeight="1" x14ac:dyDescent="0.25">
      <c r="A689" s="164"/>
      <c r="B689" s="4"/>
      <c r="C689" s="4"/>
      <c r="E689" s="2"/>
      <c r="F689" s="2"/>
      <c r="G689" s="2"/>
      <c r="H689" s="2"/>
      <c r="I689" s="2"/>
      <c r="J689" s="2"/>
      <c r="K689" s="2"/>
    </row>
    <row r="690" spans="1:11" ht="15.75" customHeight="1" x14ac:dyDescent="0.25">
      <c r="A690" s="164"/>
      <c r="B690" s="4"/>
      <c r="C690" s="4"/>
      <c r="E690" s="2"/>
      <c r="F690" s="2"/>
      <c r="G690" s="2"/>
      <c r="H690" s="2"/>
      <c r="I690" s="2"/>
      <c r="J690" s="2"/>
      <c r="K690" s="2"/>
    </row>
    <row r="691" spans="1:11" ht="15.75" customHeight="1" x14ac:dyDescent="0.25">
      <c r="A691" s="164"/>
      <c r="B691" s="4"/>
      <c r="C691" s="4"/>
      <c r="E691" s="2"/>
      <c r="F691" s="2"/>
      <c r="G691" s="2"/>
      <c r="H691" s="2"/>
      <c r="I691" s="2"/>
      <c r="J691" s="2"/>
      <c r="K691" s="2"/>
    </row>
    <row r="692" spans="1:11" ht="15.75" customHeight="1" x14ac:dyDescent="0.25">
      <c r="A692" s="164"/>
      <c r="B692" s="4"/>
      <c r="C692" s="4"/>
      <c r="E692" s="2"/>
      <c r="F692" s="2"/>
      <c r="G692" s="2"/>
      <c r="H692" s="2"/>
      <c r="I692" s="2"/>
      <c r="J692" s="2"/>
      <c r="K692" s="2"/>
    </row>
    <row r="693" spans="1:11" ht="15.75" customHeight="1" x14ac:dyDescent="0.25">
      <c r="A693" s="164"/>
      <c r="B693" s="4"/>
      <c r="C693" s="4"/>
      <c r="E693" s="2"/>
      <c r="F693" s="2"/>
      <c r="G693" s="2"/>
      <c r="H693" s="2"/>
      <c r="I693" s="2"/>
      <c r="J693" s="2"/>
      <c r="K693" s="2"/>
    </row>
    <row r="694" spans="1:11" ht="15.75" customHeight="1" x14ac:dyDescent="0.25">
      <c r="A694" s="164"/>
      <c r="B694" s="4"/>
      <c r="C694" s="4"/>
      <c r="E694" s="2"/>
      <c r="F694" s="2"/>
      <c r="G694" s="2"/>
      <c r="H694" s="2"/>
      <c r="I694" s="2"/>
      <c r="J694" s="2"/>
      <c r="K694" s="2"/>
    </row>
    <row r="695" spans="1:11" ht="15.75" customHeight="1" x14ac:dyDescent="0.25">
      <c r="A695" s="164"/>
      <c r="B695" s="4"/>
      <c r="C695" s="4"/>
      <c r="E695" s="2"/>
      <c r="F695" s="2"/>
      <c r="G695" s="2"/>
      <c r="H695" s="2"/>
      <c r="I695" s="2"/>
      <c r="J695" s="2"/>
      <c r="K695" s="2"/>
    </row>
    <row r="696" spans="1:11" ht="15.75" customHeight="1" x14ac:dyDescent="0.25">
      <c r="A696" s="164"/>
      <c r="B696" s="4"/>
      <c r="C696" s="4"/>
      <c r="E696" s="2"/>
      <c r="F696" s="2"/>
      <c r="G696" s="2"/>
      <c r="H696" s="2"/>
      <c r="I696" s="2"/>
      <c r="J696" s="2"/>
      <c r="K696" s="2"/>
    </row>
    <row r="697" spans="1:11" ht="15.75" customHeight="1" x14ac:dyDescent="0.25">
      <c r="A697" s="164"/>
      <c r="B697" s="4"/>
      <c r="C697" s="4"/>
      <c r="E697" s="2"/>
      <c r="F697" s="2"/>
      <c r="G697" s="2"/>
      <c r="H697" s="2"/>
      <c r="I697" s="2"/>
      <c r="J697" s="2"/>
      <c r="K697" s="2"/>
    </row>
    <row r="698" spans="1:11" ht="15.75" customHeight="1" x14ac:dyDescent="0.25">
      <c r="A698" s="164"/>
      <c r="B698" s="4"/>
      <c r="C698" s="4"/>
      <c r="E698" s="2"/>
      <c r="F698" s="2"/>
      <c r="G698" s="2"/>
      <c r="H698" s="2"/>
      <c r="I698" s="2"/>
      <c r="J698" s="2"/>
      <c r="K698" s="2"/>
    </row>
    <row r="699" spans="1:11" ht="15.75" customHeight="1" x14ac:dyDescent="0.25">
      <c r="A699" s="164"/>
      <c r="B699" s="4"/>
      <c r="C699" s="4"/>
      <c r="E699" s="2"/>
      <c r="F699" s="2"/>
      <c r="G699" s="2"/>
      <c r="H699" s="2"/>
      <c r="I699" s="2"/>
      <c r="J699" s="2"/>
      <c r="K699" s="2"/>
    </row>
    <row r="700" spans="1:11" ht="15.75" customHeight="1" x14ac:dyDescent="0.25">
      <c r="A700" s="164"/>
      <c r="B700" s="4"/>
      <c r="C700" s="4"/>
      <c r="E700" s="2"/>
      <c r="F700" s="2"/>
      <c r="G700" s="2"/>
      <c r="H700" s="2"/>
      <c r="I700" s="2"/>
      <c r="J700" s="2"/>
      <c r="K700" s="2"/>
    </row>
    <row r="701" spans="1:11" ht="15.75" customHeight="1" x14ac:dyDescent="0.25">
      <c r="A701" s="164"/>
      <c r="B701" s="4"/>
      <c r="C701" s="4"/>
      <c r="E701" s="2"/>
      <c r="F701" s="2"/>
      <c r="G701" s="2"/>
      <c r="H701" s="2"/>
      <c r="I701" s="2"/>
      <c r="J701" s="2"/>
      <c r="K701" s="2"/>
    </row>
    <row r="702" spans="1:11" ht="15.75" customHeight="1" x14ac:dyDescent="0.25">
      <c r="A702" s="164"/>
      <c r="B702" s="4"/>
      <c r="C702" s="4"/>
      <c r="E702" s="2"/>
      <c r="F702" s="2"/>
      <c r="G702" s="2"/>
      <c r="H702" s="2"/>
      <c r="I702" s="2"/>
      <c r="J702" s="2"/>
      <c r="K702" s="2"/>
    </row>
    <row r="703" spans="1:11" ht="15.75" customHeight="1" x14ac:dyDescent="0.25">
      <c r="A703" s="164"/>
      <c r="B703" s="4"/>
      <c r="C703" s="4"/>
      <c r="E703" s="2"/>
      <c r="F703" s="2"/>
      <c r="G703" s="2"/>
      <c r="H703" s="2"/>
      <c r="I703" s="2"/>
      <c r="J703" s="2"/>
      <c r="K703" s="2"/>
    </row>
    <row r="704" spans="1:11" ht="15.75" customHeight="1" x14ac:dyDescent="0.25">
      <c r="A704" s="164"/>
      <c r="B704" s="4"/>
      <c r="C704" s="4"/>
      <c r="E704" s="2"/>
      <c r="F704" s="2"/>
      <c r="G704" s="2"/>
      <c r="H704" s="2"/>
      <c r="I704" s="2"/>
      <c r="J704" s="2"/>
      <c r="K704" s="2"/>
    </row>
    <row r="705" spans="1:11" ht="15.75" customHeight="1" x14ac:dyDescent="0.25">
      <c r="A705" s="164"/>
      <c r="B705" s="4"/>
      <c r="C705" s="4"/>
      <c r="E705" s="2"/>
      <c r="F705" s="2"/>
      <c r="G705" s="2"/>
      <c r="H705" s="2"/>
      <c r="I705" s="2"/>
      <c r="J705" s="2"/>
      <c r="K705" s="2"/>
    </row>
    <row r="706" spans="1:11" ht="15.75" customHeight="1" x14ac:dyDescent="0.25">
      <c r="A706" s="164"/>
      <c r="B706" s="4"/>
      <c r="C706" s="4"/>
      <c r="E706" s="2"/>
      <c r="F706" s="2"/>
      <c r="G706" s="2"/>
      <c r="H706" s="2"/>
      <c r="I706" s="2"/>
      <c r="J706" s="2"/>
      <c r="K706" s="2"/>
    </row>
    <row r="707" spans="1:11" ht="15.75" customHeight="1" x14ac:dyDescent="0.25">
      <c r="A707" s="164"/>
      <c r="B707" s="4"/>
      <c r="C707" s="4"/>
      <c r="E707" s="2"/>
      <c r="F707" s="2"/>
      <c r="G707" s="2"/>
      <c r="H707" s="2"/>
      <c r="I707" s="2"/>
      <c r="J707" s="2"/>
      <c r="K707" s="2"/>
    </row>
    <row r="708" spans="1:11" ht="15.75" customHeight="1" x14ac:dyDescent="0.25">
      <c r="A708" s="164"/>
      <c r="B708" s="4"/>
      <c r="C708" s="4"/>
      <c r="E708" s="2"/>
      <c r="F708" s="2"/>
      <c r="G708" s="2"/>
      <c r="H708" s="2"/>
      <c r="I708" s="2"/>
      <c r="J708" s="2"/>
      <c r="K708" s="2"/>
    </row>
    <row r="709" spans="1:11" ht="15.75" customHeight="1" x14ac:dyDescent="0.25">
      <c r="A709" s="164"/>
      <c r="B709" s="4"/>
      <c r="C709" s="4"/>
      <c r="E709" s="2"/>
      <c r="F709" s="2"/>
      <c r="G709" s="2"/>
      <c r="H709" s="2"/>
      <c r="I709" s="2"/>
      <c r="J709" s="2"/>
      <c r="K709" s="2"/>
    </row>
    <row r="710" spans="1:11" ht="15.75" customHeight="1" x14ac:dyDescent="0.25">
      <c r="A710" s="164"/>
      <c r="B710" s="4"/>
      <c r="C710" s="4"/>
      <c r="E710" s="2"/>
      <c r="F710" s="2"/>
      <c r="G710" s="2"/>
      <c r="H710" s="2"/>
      <c r="I710" s="2"/>
      <c r="J710" s="2"/>
      <c r="K710" s="2"/>
    </row>
    <row r="711" spans="1:11" ht="15.75" customHeight="1" x14ac:dyDescent="0.25">
      <c r="A711" s="164"/>
      <c r="B711" s="4"/>
      <c r="C711" s="4"/>
      <c r="E711" s="2"/>
      <c r="F711" s="2"/>
      <c r="G711" s="2"/>
      <c r="H711" s="2"/>
      <c r="I711" s="2"/>
      <c r="J711" s="2"/>
      <c r="K711" s="2"/>
    </row>
    <row r="712" spans="1:11" ht="15.75" customHeight="1" x14ac:dyDescent="0.25">
      <c r="A712" s="164"/>
      <c r="B712" s="4"/>
      <c r="C712" s="4"/>
      <c r="E712" s="2"/>
      <c r="F712" s="2"/>
      <c r="G712" s="2"/>
      <c r="H712" s="2"/>
      <c r="I712" s="2"/>
      <c r="J712" s="2"/>
      <c r="K712" s="2"/>
    </row>
    <row r="713" spans="1:11" ht="15.75" customHeight="1" x14ac:dyDescent="0.25">
      <c r="A713" s="164"/>
      <c r="B713" s="4"/>
      <c r="C713" s="4"/>
      <c r="E713" s="2"/>
      <c r="F713" s="2"/>
      <c r="G713" s="2"/>
      <c r="H713" s="2"/>
      <c r="I713" s="2"/>
      <c r="J713" s="2"/>
      <c r="K713" s="2"/>
    </row>
    <row r="714" spans="1:11" ht="15.75" customHeight="1" x14ac:dyDescent="0.25">
      <c r="A714" s="164"/>
      <c r="B714" s="4"/>
      <c r="C714" s="4"/>
      <c r="E714" s="2"/>
      <c r="F714" s="2"/>
      <c r="G714" s="2"/>
      <c r="H714" s="2"/>
      <c r="I714" s="2"/>
      <c r="J714" s="2"/>
      <c r="K714" s="2"/>
    </row>
    <row r="715" spans="1:11" ht="15.75" customHeight="1" x14ac:dyDescent="0.25">
      <c r="A715" s="164"/>
      <c r="B715" s="4"/>
      <c r="C715" s="4"/>
      <c r="E715" s="2"/>
      <c r="F715" s="2"/>
      <c r="G715" s="2"/>
      <c r="H715" s="2"/>
      <c r="I715" s="2"/>
      <c r="J715" s="2"/>
      <c r="K715" s="2"/>
    </row>
    <row r="716" spans="1:11" ht="15.75" customHeight="1" x14ac:dyDescent="0.25">
      <c r="A716" s="164"/>
      <c r="B716" s="4"/>
      <c r="C716" s="4"/>
      <c r="E716" s="2"/>
      <c r="F716" s="2"/>
      <c r="G716" s="2"/>
      <c r="H716" s="2"/>
      <c r="I716" s="2"/>
      <c r="J716" s="2"/>
      <c r="K716" s="2"/>
    </row>
    <row r="717" spans="1:11" ht="15.75" customHeight="1" x14ac:dyDescent="0.25">
      <c r="A717" s="164"/>
      <c r="B717" s="4"/>
      <c r="C717" s="4"/>
      <c r="E717" s="2"/>
      <c r="F717" s="2"/>
      <c r="G717" s="2"/>
      <c r="H717" s="2"/>
      <c r="I717" s="2"/>
      <c r="J717" s="2"/>
      <c r="K717" s="2"/>
    </row>
    <row r="718" spans="1:11" ht="15.75" customHeight="1" x14ac:dyDescent="0.25">
      <c r="A718" s="164"/>
      <c r="B718" s="4"/>
      <c r="C718" s="4"/>
      <c r="E718" s="2"/>
      <c r="F718" s="2"/>
      <c r="G718" s="2"/>
      <c r="H718" s="2"/>
      <c r="I718" s="2"/>
      <c r="J718" s="2"/>
      <c r="K718" s="2"/>
    </row>
    <row r="719" spans="1:11" ht="15.75" customHeight="1" x14ac:dyDescent="0.25">
      <c r="A719" s="164"/>
      <c r="B719" s="4"/>
      <c r="C719" s="4"/>
      <c r="E719" s="2"/>
      <c r="F719" s="2"/>
      <c r="G719" s="2"/>
      <c r="H719" s="2"/>
      <c r="I719" s="2"/>
      <c r="J719" s="2"/>
      <c r="K719" s="2"/>
    </row>
    <row r="720" spans="1:11" ht="15.75" customHeight="1" x14ac:dyDescent="0.25">
      <c r="A720" s="164"/>
      <c r="B720" s="4"/>
      <c r="C720" s="4"/>
      <c r="E720" s="2"/>
      <c r="F720" s="2"/>
      <c r="G720" s="2"/>
      <c r="H720" s="2"/>
      <c r="I720" s="2"/>
      <c r="J720" s="2"/>
      <c r="K720" s="2"/>
    </row>
    <row r="721" spans="1:11" ht="15.75" customHeight="1" x14ac:dyDescent="0.25">
      <c r="A721" s="164"/>
      <c r="B721" s="4"/>
      <c r="C721" s="4"/>
      <c r="E721" s="2"/>
      <c r="F721" s="2"/>
      <c r="G721" s="2"/>
      <c r="H721" s="2"/>
      <c r="I721" s="2"/>
      <c r="J721" s="2"/>
      <c r="K721" s="2"/>
    </row>
    <row r="722" spans="1:11" ht="15.75" customHeight="1" x14ac:dyDescent="0.25">
      <c r="A722" s="164"/>
      <c r="B722" s="4"/>
      <c r="C722" s="4"/>
      <c r="E722" s="2"/>
      <c r="F722" s="2"/>
      <c r="G722" s="2"/>
      <c r="H722" s="2"/>
      <c r="I722" s="2"/>
      <c r="J722" s="2"/>
      <c r="K722" s="2"/>
    </row>
    <row r="723" spans="1:11" ht="15.75" customHeight="1" x14ac:dyDescent="0.25">
      <c r="A723" s="164"/>
      <c r="B723" s="4"/>
      <c r="C723" s="4"/>
      <c r="E723" s="2"/>
      <c r="F723" s="2"/>
      <c r="G723" s="2"/>
      <c r="H723" s="2"/>
      <c r="I723" s="2"/>
      <c r="J723" s="2"/>
      <c r="K723" s="2"/>
    </row>
    <row r="724" spans="1:11" ht="15.75" customHeight="1" x14ac:dyDescent="0.25">
      <c r="A724" s="164"/>
      <c r="B724" s="4"/>
      <c r="C724" s="4"/>
      <c r="E724" s="2"/>
      <c r="F724" s="2"/>
      <c r="G724" s="2"/>
      <c r="H724" s="2"/>
      <c r="I724" s="2"/>
      <c r="J724" s="2"/>
      <c r="K724" s="2"/>
    </row>
    <row r="725" spans="1:11" ht="15.75" customHeight="1" x14ac:dyDescent="0.25">
      <c r="A725" s="164"/>
      <c r="B725" s="4"/>
      <c r="C725" s="4"/>
      <c r="E725" s="2"/>
      <c r="F725" s="2"/>
      <c r="G725" s="2"/>
      <c r="H725" s="2"/>
      <c r="I725" s="2"/>
      <c r="J725" s="2"/>
      <c r="K725" s="2"/>
    </row>
    <row r="726" spans="1:11" ht="15.75" customHeight="1" x14ac:dyDescent="0.25">
      <c r="A726" s="164"/>
      <c r="B726" s="4"/>
      <c r="C726" s="4"/>
      <c r="E726" s="2"/>
      <c r="F726" s="2"/>
      <c r="G726" s="2"/>
      <c r="H726" s="2"/>
      <c r="I726" s="2"/>
      <c r="J726" s="2"/>
      <c r="K726" s="2"/>
    </row>
    <row r="727" spans="1:11" ht="15.75" customHeight="1" x14ac:dyDescent="0.25">
      <c r="A727" s="164"/>
      <c r="B727" s="4"/>
      <c r="C727" s="4"/>
      <c r="E727" s="2"/>
      <c r="F727" s="2"/>
      <c r="G727" s="2"/>
      <c r="H727" s="2"/>
      <c r="I727" s="2"/>
      <c r="J727" s="2"/>
      <c r="K727" s="2"/>
    </row>
    <row r="728" spans="1:11" ht="15.75" customHeight="1" x14ac:dyDescent="0.25">
      <c r="A728" s="164"/>
      <c r="B728" s="4"/>
      <c r="C728" s="4"/>
      <c r="E728" s="2"/>
      <c r="F728" s="2"/>
      <c r="G728" s="2"/>
      <c r="H728" s="2"/>
      <c r="I728" s="2"/>
      <c r="J728" s="2"/>
      <c r="K728" s="2"/>
    </row>
    <row r="729" spans="1:11" ht="15.75" customHeight="1" x14ac:dyDescent="0.25">
      <c r="A729" s="164"/>
      <c r="B729" s="4"/>
      <c r="C729" s="4"/>
      <c r="E729" s="2"/>
      <c r="F729" s="2"/>
      <c r="G729" s="2"/>
      <c r="H729" s="2"/>
      <c r="I729" s="2"/>
      <c r="J729" s="2"/>
      <c r="K729" s="2"/>
    </row>
    <row r="730" spans="1:11" ht="15.75" customHeight="1" x14ac:dyDescent="0.25">
      <c r="A730" s="164"/>
      <c r="B730" s="4"/>
      <c r="C730" s="4"/>
      <c r="E730" s="2"/>
      <c r="F730" s="2"/>
      <c r="G730" s="2"/>
      <c r="H730" s="2"/>
      <c r="I730" s="2"/>
      <c r="J730" s="2"/>
      <c r="K730" s="2"/>
    </row>
    <row r="731" spans="1:11" ht="15.75" customHeight="1" x14ac:dyDescent="0.25">
      <c r="A731" s="164"/>
      <c r="B731" s="4"/>
      <c r="C731" s="4"/>
      <c r="E731" s="2"/>
      <c r="F731" s="2"/>
      <c r="G731" s="2"/>
      <c r="H731" s="2"/>
      <c r="I731" s="2"/>
      <c r="J731" s="2"/>
      <c r="K731" s="2"/>
    </row>
    <row r="732" spans="1:11" ht="15.75" customHeight="1" x14ac:dyDescent="0.25">
      <c r="A732" s="164"/>
      <c r="B732" s="4"/>
      <c r="C732" s="4"/>
      <c r="E732" s="2"/>
      <c r="F732" s="2"/>
      <c r="G732" s="2"/>
      <c r="H732" s="2"/>
      <c r="I732" s="2"/>
      <c r="J732" s="2"/>
      <c r="K732" s="2"/>
    </row>
    <row r="733" spans="1:11" ht="15.75" customHeight="1" x14ac:dyDescent="0.25">
      <c r="A733" s="164"/>
      <c r="B733" s="4"/>
      <c r="C733" s="4"/>
      <c r="E733" s="2"/>
      <c r="F733" s="2"/>
      <c r="G733" s="2"/>
      <c r="H733" s="2"/>
      <c r="I733" s="2"/>
      <c r="J733" s="2"/>
      <c r="K733" s="2"/>
    </row>
    <row r="734" spans="1:11" ht="15.75" customHeight="1" x14ac:dyDescent="0.25">
      <c r="A734" s="164"/>
      <c r="B734" s="4"/>
      <c r="C734" s="4"/>
      <c r="E734" s="2"/>
      <c r="F734" s="2"/>
      <c r="G734" s="2"/>
      <c r="H734" s="2"/>
      <c r="I734" s="2"/>
      <c r="J734" s="2"/>
      <c r="K734" s="2"/>
    </row>
    <row r="735" spans="1:11" ht="15.75" customHeight="1" x14ac:dyDescent="0.25">
      <c r="A735" s="164"/>
      <c r="B735" s="4"/>
      <c r="C735" s="4"/>
      <c r="E735" s="2"/>
      <c r="F735" s="2"/>
      <c r="G735" s="2"/>
      <c r="H735" s="2"/>
      <c r="I735" s="2"/>
      <c r="J735" s="2"/>
      <c r="K735" s="2"/>
    </row>
    <row r="736" spans="1:11" ht="15.75" customHeight="1" x14ac:dyDescent="0.25">
      <c r="A736" s="164"/>
      <c r="B736" s="4"/>
      <c r="C736" s="4"/>
      <c r="E736" s="2"/>
      <c r="F736" s="2"/>
      <c r="G736" s="2"/>
      <c r="H736" s="2"/>
      <c r="I736" s="2"/>
      <c r="J736" s="2"/>
      <c r="K736" s="2"/>
    </row>
    <row r="737" spans="1:11" ht="15.75" customHeight="1" x14ac:dyDescent="0.25">
      <c r="A737" s="164"/>
      <c r="B737" s="4"/>
      <c r="C737" s="4"/>
      <c r="E737" s="2"/>
      <c r="F737" s="2"/>
      <c r="G737" s="2"/>
      <c r="H737" s="2"/>
      <c r="I737" s="2"/>
      <c r="J737" s="2"/>
      <c r="K737" s="2"/>
    </row>
    <row r="738" spans="1:11" ht="15.75" customHeight="1" x14ac:dyDescent="0.25">
      <c r="A738" s="164"/>
      <c r="B738" s="4"/>
      <c r="C738" s="4"/>
      <c r="E738" s="2"/>
      <c r="F738" s="2"/>
      <c r="G738" s="2"/>
      <c r="H738" s="2"/>
      <c r="I738" s="2"/>
      <c r="J738" s="2"/>
      <c r="K738" s="2"/>
    </row>
    <row r="739" spans="1:11" ht="15.75" customHeight="1" x14ac:dyDescent="0.25">
      <c r="A739" s="164"/>
      <c r="B739" s="4"/>
      <c r="C739" s="4"/>
      <c r="E739" s="2"/>
      <c r="F739" s="2"/>
      <c r="G739" s="2"/>
      <c r="H739" s="2"/>
      <c r="I739" s="2"/>
      <c r="J739" s="2"/>
      <c r="K739" s="2"/>
    </row>
    <row r="740" spans="1:11" ht="15.75" customHeight="1" x14ac:dyDescent="0.25">
      <c r="A740" s="164"/>
      <c r="B740" s="4"/>
      <c r="C740" s="4"/>
      <c r="E740" s="2"/>
      <c r="F740" s="2"/>
      <c r="G740" s="2"/>
      <c r="H740" s="2"/>
      <c r="I740" s="2"/>
      <c r="J740" s="2"/>
      <c r="K740" s="2"/>
    </row>
    <row r="741" spans="1:11" ht="15.75" customHeight="1" x14ac:dyDescent="0.25">
      <c r="A741" s="164"/>
      <c r="B741" s="4"/>
      <c r="C741" s="4"/>
      <c r="E741" s="2"/>
      <c r="F741" s="2"/>
      <c r="G741" s="2"/>
      <c r="H741" s="2"/>
      <c r="I741" s="2"/>
      <c r="J741" s="2"/>
      <c r="K741" s="2"/>
    </row>
    <row r="742" spans="1:11" ht="15.75" customHeight="1" x14ac:dyDescent="0.25">
      <c r="A742" s="164"/>
      <c r="B742" s="4"/>
      <c r="C742" s="4"/>
      <c r="E742" s="2"/>
      <c r="F742" s="2"/>
      <c r="G742" s="2"/>
      <c r="H742" s="2"/>
      <c r="I742" s="2"/>
      <c r="J742" s="2"/>
      <c r="K742" s="2"/>
    </row>
    <row r="743" spans="1:11" ht="15.75" customHeight="1" x14ac:dyDescent="0.25">
      <c r="A743" s="164"/>
      <c r="B743" s="4"/>
      <c r="C743" s="4"/>
      <c r="E743" s="2"/>
      <c r="F743" s="2"/>
      <c r="G743" s="2"/>
      <c r="H743" s="2"/>
      <c r="I743" s="2"/>
      <c r="J743" s="2"/>
      <c r="K743" s="2"/>
    </row>
    <row r="744" spans="1:11" ht="15.75" customHeight="1" x14ac:dyDescent="0.25">
      <c r="A744" s="164"/>
      <c r="B744" s="4"/>
      <c r="C744" s="4"/>
      <c r="E744" s="2"/>
      <c r="F744" s="2"/>
      <c r="G744" s="2"/>
      <c r="H744" s="2"/>
      <c r="I744" s="2"/>
      <c r="J744" s="2"/>
      <c r="K744" s="2"/>
    </row>
    <row r="745" spans="1:11" ht="15.75" customHeight="1" x14ac:dyDescent="0.25">
      <c r="A745" s="164"/>
      <c r="B745" s="4"/>
      <c r="C745" s="4"/>
      <c r="E745" s="2"/>
      <c r="F745" s="2"/>
      <c r="G745" s="2"/>
      <c r="H745" s="2"/>
      <c r="I745" s="2"/>
      <c r="J745" s="2"/>
      <c r="K745" s="2"/>
    </row>
    <row r="746" spans="1:11" ht="15.75" customHeight="1" x14ac:dyDescent="0.25">
      <c r="A746" s="164"/>
      <c r="B746" s="4"/>
      <c r="C746" s="4"/>
      <c r="E746" s="2"/>
      <c r="F746" s="2"/>
      <c r="G746" s="2"/>
      <c r="H746" s="2"/>
      <c r="I746" s="2"/>
      <c r="J746" s="2"/>
      <c r="K746" s="2"/>
    </row>
    <row r="747" spans="1:11" ht="15.75" customHeight="1" x14ac:dyDescent="0.25">
      <c r="A747" s="164"/>
      <c r="B747" s="4"/>
      <c r="C747" s="4"/>
      <c r="E747" s="2"/>
      <c r="F747" s="2"/>
      <c r="G747" s="2"/>
      <c r="H747" s="2"/>
      <c r="I747" s="2"/>
      <c r="J747" s="2"/>
      <c r="K747" s="2"/>
    </row>
    <row r="748" spans="1:11" ht="15.75" customHeight="1" x14ac:dyDescent="0.25">
      <c r="A748" s="164"/>
      <c r="B748" s="4"/>
      <c r="C748" s="4"/>
      <c r="E748" s="2"/>
      <c r="F748" s="2"/>
      <c r="G748" s="2"/>
      <c r="H748" s="2"/>
      <c r="I748" s="2"/>
      <c r="J748" s="2"/>
      <c r="K748" s="2"/>
    </row>
    <row r="749" spans="1:11" ht="15.75" customHeight="1" x14ac:dyDescent="0.25">
      <c r="A749" s="164"/>
      <c r="B749" s="4"/>
      <c r="C749" s="4"/>
      <c r="E749" s="2"/>
      <c r="F749" s="2"/>
      <c r="G749" s="2"/>
      <c r="H749" s="2"/>
      <c r="I749" s="2"/>
      <c r="J749" s="2"/>
      <c r="K749" s="2"/>
    </row>
    <row r="750" spans="1:11" ht="15.75" customHeight="1" x14ac:dyDescent="0.25">
      <c r="A750" s="164"/>
      <c r="B750" s="4"/>
      <c r="C750" s="4"/>
      <c r="E750" s="2"/>
      <c r="F750" s="2"/>
      <c r="G750" s="2"/>
      <c r="H750" s="2"/>
      <c r="I750" s="2"/>
      <c r="J750" s="2"/>
      <c r="K750" s="2"/>
    </row>
    <row r="751" spans="1:11" ht="15.75" customHeight="1" x14ac:dyDescent="0.25">
      <c r="A751" s="164"/>
      <c r="B751" s="4"/>
      <c r="C751" s="4"/>
      <c r="E751" s="2"/>
      <c r="F751" s="2"/>
      <c r="G751" s="2"/>
      <c r="H751" s="2"/>
      <c r="I751" s="2"/>
      <c r="J751" s="2"/>
      <c r="K751" s="2"/>
    </row>
    <row r="752" spans="1:11" ht="15.75" customHeight="1" x14ac:dyDescent="0.25">
      <c r="A752" s="164"/>
      <c r="B752" s="4"/>
      <c r="C752" s="4"/>
      <c r="E752" s="2"/>
      <c r="F752" s="2"/>
      <c r="G752" s="2"/>
      <c r="H752" s="2"/>
      <c r="I752" s="2"/>
      <c r="J752" s="2"/>
      <c r="K752" s="2"/>
    </row>
    <row r="753" spans="1:11" ht="15.75" customHeight="1" x14ac:dyDescent="0.25">
      <c r="A753" s="164"/>
      <c r="B753" s="4"/>
      <c r="C753" s="4"/>
      <c r="E753" s="2"/>
      <c r="F753" s="2"/>
      <c r="G753" s="2"/>
      <c r="H753" s="2"/>
      <c r="I753" s="2"/>
      <c r="J753" s="2"/>
      <c r="K753" s="2"/>
    </row>
    <row r="754" spans="1:11" ht="15.75" customHeight="1" x14ac:dyDescent="0.25">
      <c r="A754" s="164"/>
      <c r="B754" s="4"/>
      <c r="C754" s="4"/>
      <c r="E754" s="2"/>
      <c r="F754" s="2"/>
      <c r="G754" s="2"/>
      <c r="H754" s="2"/>
      <c r="I754" s="2"/>
      <c r="J754" s="2"/>
      <c r="K754" s="2"/>
    </row>
    <row r="755" spans="1:11" ht="15.75" customHeight="1" x14ac:dyDescent="0.25">
      <c r="A755" s="164"/>
      <c r="B755" s="4"/>
      <c r="C755" s="4"/>
      <c r="E755" s="2"/>
      <c r="F755" s="2"/>
      <c r="G755" s="2"/>
      <c r="H755" s="2"/>
      <c r="I755" s="2"/>
      <c r="J755" s="2"/>
      <c r="K755" s="2"/>
    </row>
    <row r="756" spans="1:11" ht="15.75" customHeight="1" x14ac:dyDescent="0.25">
      <c r="A756" s="164"/>
      <c r="B756" s="4"/>
      <c r="C756" s="4"/>
      <c r="E756" s="2"/>
      <c r="F756" s="2"/>
      <c r="G756" s="2"/>
      <c r="H756" s="2"/>
      <c r="I756" s="2"/>
      <c r="J756" s="2"/>
      <c r="K756" s="2"/>
    </row>
    <row r="757" spans="1:11" ht="15.75" customHeight="1" x14ac:dyDescent="0.25">
      <c r="A757" s="164"/>
      <c r="B757" s="4"/>
      <c r="C757" s="4"/>
      <c r="E757" s="2"/>
      <c r="F757" s="2"/>
      <c r="G757" s="2"/>
      <c r="H757" s="2"/>
      <c r="I757" s="2"/>
      <c r="J757" s="2"/>
      <c r="K757" s="2"/>
    </row>
    <row r="758" spans="1:11" ht="15.75" customHeight="1" x14ac:dyDescent="0.25">
      <c r="A758" s="164"/>
      <c r="B758" s="4"/>
      <c r="C758" s="4"/>
      <c r="E758" s="2"/>
      <c r="F758" s="2"/>
      <c r="G758" s="2"/>
      <c r="H758" s="2"/>
      <c r="I758" s="2"/>
      <c r="J758" s="2"/>
      <c r="K758" s="2"/>
    </row>
    <row r="759" spans="1:11" ht="15.75" customHeight="1" x14ac:dyDescent="0.25">
      <c r="A759" s="164"/>
      <c r="B759" s="4"/>
      <c r="C759" s="4"/>
      <c r="E759" s="2"/>
      <c r="F759" s="2"/>
      <c r="G759" s="2"/>
      <c r="H759" s="2"/>
      <c r="I759" s="2"/>
      <c r="J759" s="2"/>
      <c r="K759" s="2"/>
    </row>
    <row r="760" spans="1:11" ht="15.75" customHeight="1" x14ac:dyDescent="0.25">
      <c r="A760" s="164"/>
      <c r="B760" s="4"/>
      <c r="C760" s="4"/>
      <c r="E760" s="2"/>
      <c r="F760" s="2"/>
      <c r="G760" s="2"/>
      <c r="H760" s="2"/>
      <c r="I760" s="2"/>
      <c r="J760" s="2"/>
      <c r="K760" s="2"/>
    </row>
    <row r="761" spans="1:11" ht="15.75" customHeight="1" x14ac:dyDescent="0.25">
      <c r="A761" s="164"/>
      <c r="B761" s="4"/>
      <c r="C761" s="4"/>
      <c r="E761" s="2"/>
      <c r="F761" s="2"/>
      <c r="G761" s="2"/>
      <c r="H761" s="2"/>
      <c r="I761" s="2"/>
      <c r="J761" s="2"/>
      <c r="K761" s="2"/>
    </row>
    <row r="762" spans="1:11" ht="15.75" customHeight="1" x14ac:dyDescent="0.25">
      <c r="A762" s="164"/>
      <c r="B762" s="4"/>
      <c r="C762" s="4"/>
      <c r="E762" s="2"/>
      <c r="F762" s="2"/>
      <c r="G762" s="2"/>
      <c r="H762" s="2"/>
      <c r="I762" s="2"/>
      <c r="J762" s="2"/>
      <c r="K762" s="2"/>
    </row>
    <row r="763" spans="1:11" ht="15.75" customHeight="1" x14ac:dyDescent="0.25">
      <c r="A763" s="164"/>
      <c r="B763" s="4"/>
      <c r="C763" s="4"/>
      <c r="E763" s="2"/>
      <c r="F763" s="2"/>
      <c r="G763" s="2"/>
      <c r="H763" s="2"/>
      <c r="I763" s="2"/>
      <c r="J763" s="2"/>
      <c r="K763" s="2"/>
    </row>
    <row r="764" spans="1:11" ht="15.75" customHeight="1" x14ac:dyDescent="0.25">
      <c r="A764" s="164"/>
      <c r="B764" s="4"/>
      <c r="C764" s="4"/>
      <c r="E764" s="2"/>
      <c r="F764" s="2"/>
      <c r="G764" s="2"/>
      <c r="H764" s="2"/>
      <c r="I764" s="2"/>
      <c r="J764" s="2"/>
      <c r="K764" s="2"/>
    </row>
    <row r="765" spans="1:11" ht="15.75" customHeight="1" x14ac:dyDescent="0.25">
      <c r="A765" s="164"/>
      <c r="B765" s="4"/>
      <c r="C765" s="4"/>
      <c r="E765" s="2"/>
      <c r="F765" s="2"/>
      <c r="G765" s="2"/>
      <c r="H765" s="2"/>
      <c r="I765" s="2"/>
      <c r="J765" s="2"/>
      <c r="K765" s="2"/>
    </row>
    <row r="766" spans="1:11" ht="15.75" customHeight="1" x14ac:dyDescent="0.25">
      <c r="A766" s="164"/>
      <c r="B766" s="4"/>
      <c r="C766" s="4"/>
      <c r="E766" s="2"/>
      <c r="F766" s="2"/>
      <c r="G766" s="2"/>
      <c r="H766" s="2"/>
      <c r="I766" s="2"/>
      <c r="J766" s="2"/>
      <c r="K766" s="2"/>
    </row>
    <row r="767" spans="1:11" ht="15.75" customHeight="1" x14ac:dyDescent="0.25">
      <c r="A767" s="164"/>
      <c r="B767" s="4"/>
      <c r="C767" s="4"/>
      <c r="E767" s="2"/>
      <c r="F767" s="2"/>
      <c r="G767" s="2"/>
      <c r="H767" s="2"/>
      <c r="I767" s="2"/>
      <c r="J767" s="2"/>
      <c r="K767" s="2"/>
    </row>
    <row r="768" spans="1:11" ht="15.75" customHeight="1" x14ac:dyDescent="0.25">
      <c r="A768" s="164"/>
      <c r="B768" s="4"/>
      <c r="C768" s="4"/>
      <c r="E768" s="2"/>
      <c r="F768" s="2"/>
      <c r="G768" s="2"/>
      <c r="H768" s="2"/>
      <c r="I768" s="2"/>
      <c r="J768" s="2"/>
      <c r="K768" s="2"/>
    </row>
    <row r="769" spans="1:11" ht="15.75" customHeight="1" x14ac:dyDescent="0.25">
      <c r="A769" s="164"/>
      <c r="B769" s="4"/>
      <c r="C769" s="4"/>
      <c r="E769" s="2"/>
      <c r="F769" s="2"/>
      <c r="G769" s="2"/>
      <c r="H769" s="2"/>
      <c r="I769" s="2"/>
      <c r="J769" s="2"/>
      <c r="K769" s="2"/>
    </row>
    <row r="770" spans="1:11" ht="15.75" customHeight="1" x14ac:dyDescent="0.25">
      <c r="A770" s="164"/>
      <c r="B770" s="4"/>
      <c r="C770" s="4"/>
      <c r="E770" s="2"/>
      <c r="F770" s="2"/>
      <c r="G770" s="2"/>
      <c r="H770" s="2"/>
      <c r="I770" s="2"/>
      <c r="J770" s="2"/>
      <c r="K770" s="2"/>
    </row>
    <row r="771" spans="1:11" ht="15.75" customHeight="1" x14ac:dyDescent="0.25">
      <c r="A771" s="164"/>
      <c r="B771" s="4"/>
      <c r="C771" s="4"/>
      <c r="E771" s="2"/>
      <c r="F771" s="2"/>
      <c r="G771" s="2"/>
      <c r="H771" s="2"/>
      <c r="I771" s="2"/>
      <c r="J771" s="2"/>
      <c r="K771" s="2"/>
    </row>
    <row r="772" spans="1:11" ht="15.75" customHeight="1" x14ac:dyDescent="0.25">
      <c r="A772" s="164"/>
      <c r="B772" s="4"/>
      <c r="C772" s="4"/>
      <c r="E772" s="2"/>
      <c r="F772" s="2"/>
      <c r="G772" s="2"/>
      <c r="H772" s="2"/>
      <c r="I772" s="2"/>
      <c r="J772" s="2"/>
      <c r="K772" s="2"/>
    </row>
    <row r="773" spans="1:11" ht="15.75" customHeight="1" x14ac:dyDescent="0.25">
      <c r="A773" s="164"/>
      <c r="B773" s="4"/>
      <c r="C773" s="4"/>
      <c r="E773" s="2"/>
      <c r="F773" s="2"/>
      <c r="G773" s="2"/>
      <c r="H773" s="2"/>
      <c r="I773" s="2"/>
      <c r="J773" s="2"/>
      <c r="K773" s="2"/>
    </row>
    <row r="774" spans="1:11" ht="15.75" customHeight="1" x14ac:dyDescent="0.25">
      <c r="A774" s="164"/>
      <c r="B774" s="4"/>
      <c r="C774" s="4"/>
      <c r="E774" s="2"/>
      <c r="F774" s="2"/>
      <c r="G774" s="2"/>
      <c r="H774" s="2"/>
      <c r="I774" s="2"/>
      <c r="J774" s="2"/>
      <c r="K774" s="2"/>
    </row>
    <row r="775" spans="1:11" ht="15.75" customHeight="1" x14ac:dyDescent="0.25">
      <c r="A775" s="164"/>
      <c r="B775" s="4"/>
      <c r="C775" s="4"/>
      <c r="E775" s="2"/>
      <c r="F775" s="2"/>
      <c r="G775" s="2"/>
      <c r="H775" s="2"/>
      <c r="I775" s="2"/>
      <c r="J775" s="2"/>
      <c r="K775" s="2"/>
    </row>
    <row r="776" spans="1:11" ht="15.75" customHeight="1" x14ac:dyDescent="0.25">
      <c r="A776" s="164"/>
      <c r="B776" s="4"/>
      <c r="C776" s="4"/>
      <c r="E776" s="2"/>
      <c r="F776" s="2"/>
      <c r="G776" s="2"/>
      <c r="H776" s="2"/>
      <c r="I776" s="2"/>
      <c r="J776" s="2"/>
      <c r="K776" s="2"/>
    </row>
    <row r="777" spans="1:11" ht="15.75" customHeight="1" x14ac:dyDescent="0.25">
      <c r="A777" s="164"/>
      <c r="B777" s="4"/>
      <c r="C777" s="4"/>
      <c r="E777" s="2"/>
      <c r="F777" s="2"/>
      <c r="G777" s="2"/>
      <c r="H777" s="2"/>
      <c r="I777" s="2"/>
      <c r="J777" s="2"/>
      <c r="K777" s="2"/>
    </row>
    <row r="778" spans="1:11" ht="15.75" customHeight="1" x14ac:dyDescent="0.25">
      <c r="A778" s="164"/>
      <c r="B778" s="4"/>
      <c r="C778" s="4"/>
      <c r="E778" s="2"/>
      <c r="F778" s="2"/>
      <c r="G778" s="2"/>
      <c r="H778" s="2"/>
      <c r="I778" s="2"/>
      <c r="J778" s="2"/>
      <c r="K778" s="2"/>
    </row>
    <row r="779" spans="1:11" ht="15.75" customHeight="1" x14ac:dyDescent="0.25">
      <c r="A779" s="164"/>
      <c r="B779" s="4"/>
      <c r="C779" s="4"/>
      <c r="E779" s="2"/>
      <c r="F779" s="2"/>
      <c r="G779" s="2"/>
      <c r="H779" s="2"/>
      <c r="I779" s="2"/>
      <c r="J779" s="2"/>
      <c r="K779" s="2"/>
    </row>
    <row r="780" spans="1:11" ht="15.75" customHeight="1" x14ac:dyDescent="0.25">
      <c r="A780" s="164"/>
      <c r="B780" s="4"/>
      <c r="C780" s="4"/>
      <c r="E780" s="2"/>
      <c r="F780" s="2"/>
      <c r="G780" s="2"/>
      <c r="H780" s="2"/>
      <c r="I780" s="2"/>
      <c r="J780" s="2"/>
      <c r="K780" s="2"/>
    </row>
    <row r="781" spans="1:11" ht="15.75" customHeight="1" x14ac:dyDescent="0.25">
      <c r="A781" s="164"/>
      <c r="B781" s="4"/>
      <c r="C781" s="4"/>
      <c r="E781" s="2"/>
      <c r="F781" s="2"/>
      <c r="G781" s="2"/>
      <c r="H781" s="2"/>
      <c r="I781" s="2"/>
      <c r="J781" s="2"/>
      <c r="K781" s="2"/>
    </row>
    <row r="782" spans="1:11" ht="15.75" customHeight="1" x14ac:dyDescent="0.25">
      <c r="A782" s="164"/>
      <c r="B782" s="4"/>
      <c r="C782" s="4"/>
      <c r="E782" s="2"/>
      <c r="F782" s="2"/>
      <c r="G782" s="2"/>
      <c r="H782" s="2"/>
      <c r="I782" s="2"/>
      <c r="J782" s="2"/>
      <c r="K782" s="2"/>
    </row>
    <row r="783" spans="1:11" ht="15.75" customHeight="1" x14ac:dyDescent="0.25">
      <c r="A783" s="164"/>
      <c r="B783" s="4"/>
      <c r="C783" s="4"/>
      <c r="E783" s="2"/>
      <c r="F783" s="2"/>
      <c r="G783" s="2"/>
      <c r="H783" s="2"/>
      <c r="I783" s="2"/>
      <c r="J783" s="2"/>
      <c r="K783" s="2"/>
    </row>
    <row r="784" spans="1:11" ht="15.75" customHeight="1" x14ac:dyDescent="0.25">
      <c r="A784" s="164"/>
      <c r="B784" s="4"/>
      <c r="C784" s="4"/>
      <c r="E784" s="2"/>
      <c r="F784" s="2"/>
      <c r="G784" s="2"/>
      <c r="H784" s="2"/>
      <c r="I784" s="2"/>
      <c r="J784" s="2"/>
      <c r="K784" s="2"/>
    </row>
    <row r="785" spans="1:11" ht="15.75" customHeight="1" x14ac:dyDescent="0.25">
      <c r="A785" s="164"/>
      <c r="B785" s="4"/>
      <c r="C785" s="4"/>
      <c r="E785" s="2"/>
      <c r="F785" s="2"/>
      <c r="G785" s="2"/>
      <c r="H785" s="2"/>
      <c r="I785" s="2"/>
      <c r="J785" s="2"/>
      <c r="K785" s="2"/>
    </row>
    <row r="786" spans="1:11" ht="15.75" customHeight="1" x14ac:dyDescent="0.25">
      <c r="A786" s="164"/>
      <c r="B786" s="4"/>
      <c r="C786" s="4"/>
      <c r="E786" s="2"/>
      <c r="F786" s="2"/>
      <c r="G786" s="2"/>
      <c r="H786" s="2"/>
      <c r="I786" s="2"/>
      <c r="J786" s="2"/>
      <c r="K786" s="2"/>
    </row>
    <row r="787" spans="1:11" ht="15.75" customHeight="1" x14ac:dyDescent="0.25">
      <c r="A787" s="164"/>
      <c r="B787" s="4"/>
      <c r="C787" s="4"/>
      <c r="E787" s="2"/>
      <c r="F787" s="2"/>
      <c r="G787" s="2"/>
      <c r="H787" s="2"/>
      <c r="I787" s="2"/>
      <c r="J787" s="2"/>
      <c r="K787" s="2"/>
    </row>
    <row r="788" spans="1:11" ht="15.75" customHeight="1" x14ac:dyDescent="0.25">
      <c r="A788" s="164"/>
      <c r="B788" s="4"/>
      <c r="C788" s="4"/>
      <c r="E788" s="2"/>
      <c r="F788" s="2"/>
      <c r="G788" s="2"/>
      <c r="H788" s="2"/>
      <c r="I788" s="2"/>
      <c r="J788" s="2"/>
      <c r="K788" s="2"/>
    </row>
    <row r="789" spans="1:11" ht="15.75" customHeight="1" x14ac:dyDescent="0.25">
      <c r="A789" s="164"/>
      <c r="B789" s="4"/>
      <c r="C789" s="4"/>
      <c r="E789" s="2"/>
      <c r="F789" s="2"/>
      <c r="G789" s="2"/>
      <c r="H789" s="2"/>
      <c r="I789" s="2"/>
      <c r="J789" s="2"/>
      <c r="K789" s="2"/>
    </row>
    <row r="790" spans="1:11" ht="15.75" customHeight="1" x14ac:dyDescent="0.25">
      <c r="A790" s="164"/>
      <c r="B790" s="4"/>
      <c r="C790" s="4"/>
      <c r="E790" s="2"/>
      <c r="F790" s="2"/>
      <c r="G790" s="2"/>
      <c r="H790" s="2"/>
      <c r="I790" s="2"/>
      <c r="J790" s="2"/>
      <c r="K790" s="2"/>
    </row>
    <row r="791" spans="1:11" ht="15.75" customHeight="1" x14ac:dyDescent="0.25">
      <c r="A791" s="164"/>
      <c r="B791" s="4"/>
      <c r="C791" s="4"/>
      <c r="E791" s="2"/>
      <c r="F791" s="2"/>
      <c r="G791" s="2"/>
      <c r="H791" s="2"/>
      <c r="I791" s="2"/>
      <c r="J791" s="2"/>
      <c r="K791" s="2"/>
    </row>
    <row r="792" spans="1:11" ht="15.75" customHeight="1" x14ac:dyDescent="0.25">
      <c r="A792" s="164"/>
      <c r="B792" s="4"/>
      <c r="C792" s="4"/>
      <c r="E792" s="2"/>
      <c r="F792" s="2"/>
      <c r="G792" s="2"/>
      <c r="H792" s="2"/>
      <c r="I792" s="2"/>
      <c r="J792" s="2"/>
      <c r="K792" s="2"/>
    </row>
    <row r="793" spans="1:11" ht="15.75" customHeight="1" x14ac:dyDescent="0.25">
      <c r="A793" s="164"/>
      <c r="B793" s="4"/>
      <c r="C793" s="4"/>
      <c r="E793" s="2"/>
      <c r="F793" s="2"/>
      <c r="G793" s="2"/>
      <c r="H793" s="2"/>
      <c r="I793" s="2"/>
      <c r="J793" s="2"/>
      <c r="K793" s="2"/>
    </row>
    <row r="794" spans="1:11" ht="15.75" customHeight="1" x14ac:dyDescent="0.25">
      <c r="A794" s="164"/>
      <c r="B794" s="4"/>
      <c r="C794" s="4"/>
      <c r="E794" s="2"/>
      <c r="F794" s="2"/>
      <c r="G794" s="2"/>
      <c r="H794" s="2"/>
      <c r="I794" s="2"/>
      <c r="J794" s="2"/>
      <c r="K794" s="2"/>
    </row>
    <row r="795" spans="1:11" ht="15.75" customHeight="1" x14ac:dyDescent="0.25">
      <c r="A795" s="164"/>
      <c r="B795" s="4"/>
      <c r="C795" s="4"/>
      <c r="E795" s="2"/>
      <c r="F795" s="2"/>
      <c r="G795" s="2"/>
      <c r="H795" s="2"/>
      <c r="I795" s="2"/>
      <c r="J795" s="2"/>
      <c r="K795" s="2"/>
    </row>
    <row r="796" spans="1:11" ht="15.75" customHeight="1" x14ac:dyDescent="0.25">
      <c r="A796" s="164"/>
      <c r="B796" s="4"/>
      <c r="C796" s="4"/>
      <c r="E796" s="2"/>
      <c r="F796" s="2"/>
      <c r="G796" s="2"/>
      <c r="H796" s="2"/>
      <c r="I796" s="2"/>
      <c r="J796" s="2"/>
      <c r="K796" s="2"/>
    </row>
    <row r="797" spans="1:11" ht="15.75" customHeight="1" x14ac:dyDescent="0.25">
      <c r="A797" s="164"/>
      <c r="B797" s="4"/>
      <c r="C797" s="4"/>
      <c r="E797" s="2"/>
      <c r="F797" s="2"/>
      <c r="G797" s="2"/>
      <c r="H797" s="2"/>
      <c r="I797" s="2"/>
      <c r="J797" s="2"/>
      <c r="K797" s="2"/>
    </row>
    <row r="798" spans="1:11" ht="15.75" customHeight="1" x14ac:dyDescent="0.25">
      <c r="A798" s="164"/>
      <c r="B798" s="4"/>
      <c r="C798" s="4"/>
      <c r="E798" s="2"/>
      <c r="F798" s="2"/>
      <c r="G798" s="2"/>
      <c r="H798" s="2"/>
      <c r="I798" s="2"/>
      <c r="J798" s="2"/>
      <c r="K798" s="2"/>
    </row>
    <row r="799" spans="1:11" ht="15.75" customHeight="1" x14ac:dyDescent="0.25">
      <c r="A799" s="164"/>
      <c r="B799" s="4"/>
      <c r="C799" s="4"/>
      <c r="E799" s="2"/>
      <c r="F799" s="2"/>
      <c r="G799" s="2"/>
      <c r="H799" s="2"/>
      <c r="I799" s="2"/>
      <c r="J799" s="2"/>
      <c r="K799" s="2"/>
    </row>
    <row r="800" spans="1:11" ht="15.75" customHeight="1" x14ac:dyDescent="0.25">
      <c r="A800" s="164"/>
      <c r="B800" s="4"/>
      <c r="C800" s="4"/>
      <c r="E800" s="2"/>
      <c r="F800" s="2"/>
      <c r="G800" s="2"/>
      <c r="H800" s="2"/>
      <c r="I800" s="2"/>
      <c r="J800" s="2"/>
      <c r="K800" s="2"/>
    </row>
    <row r="801" spans="1:11" ht="15.75" customHeight="1" x14ac:dyDescent="0.25">
      <c r="A801" s="164"/>
      <c r="B801" s="4"/>
      <c r="C801" s="4"/>
      <c r="E801" s="2"/>
      <c r="F801" s="2"/>
      <c r="G801" s="2"/>
      <c r="H801" s="2"/>
      <c r="I801" s="2"/>
      <c r="J801" s="2"/>
      <c r="K801" s="2"/>
    </row>
    <row r="802" spans="1:11" ht="15.75" customHeight="1" x14ac:dyDescent="0.25">
      <c r="A802" s="164"/>
      <c r="B802" s="4"/>
      <c r="C802" s="4"/>
      <c r="E802" s="2"/>
      <c r="F802" s="2"/>
      <c r="G802" s="2"/>
      <c r="H802" s="2"/>
      <c r="I802" s="2"/>
      <c r="J802" s="2"/>
      <c r="K802" s="2"/>
    </row>
    <row r="803" spans="1:11" ht="15.75" customHeight="1" x14ac:dyDescent="0.25">
      <c r="A803" s="164"/>
      <c r="B803" s="4"/>
      <c r="C803" s="4"/>
      <c r="E803" s="2"/>
      <c r="F803" s="2"/>
      <c r="G803" s="2"/>
      <c r="H803" s="2"/>
      <c r="I803" s="2"/>
      <c r="J803" s="2"/>
      <c r="K803" s="2"/>
    </row>
    <row r="804" spans="1:11" ht="15.75" customHeight="1" x14ac:dyDescent="0.25">
      <c r="A804" s="164"/>
      <c r="B804" s="4"/>
      <c r="C804" s="4"/>
      <c r="E804" s="2"/>
      <c r="F804" s="2"/>
      <c r="G804" s="2"/>
      <c r="H804" s="2"/>
      <c r="I804" s="2"/>
      <c r="J804" s="2"/>
      <c r="K804" s="2"/>
    </row>
    <row r="805" spans="1:11" ht="15.75" customHeight="1" x14ac:dyDescent="0.25">
      <c r="A805" s="164"/>
      <c r="B805" s="4"/>
      <c r="C805" s="4"/>
      <c r="E805" s="2"/>
      <c r="F805" s="2"/>
      <c r="G805" s="2"/>
      <c r="H805" s="2"/>
      <c r="I805" s="2"/>
      <c r="J805" s="2"/>
      <c r="K805" s="2"/>
    </row>
    <row r="806" spans="1:11" ht="15.75" customHeight="1" x14ac:dyDescent="0.25">
      <c r="A806" s="164"/>
      <c r="B806" s="4"/>
      <c r="C806" s="4"/>
      <c r="E806" s="2"/>
      <c r="F806" s="2"/>
      <c r="G806" s="2"/>
      <c r="H806" s="2"/>
      <c r="I806" s="2"/>
      <c r="J806" s="2"/>
      <c r="K806" s="2"/>
    </row>
    <row r="807" spans="1:11" ht="15.75" customHeight="1" x14ac:dyDescent="0.25">
      <c r="A807" s="164"/>
      <c r="B807" s="4"/>
      <c r="C807" s="4"/>
      <c r="E807" s="2"/>
      <c r="F807" s="2"/>
      <c r="G807" s="2"/>
      <c r="H807" s="2"/>
      <c r="I807" s="2"/>
      <c r="J807" s="2"/>
      <c r="K807" s="2"/>
    </row>
    <row r="808" spans="1:11" ht="15.75" customHeight="1" x14ac:dyDescent="0.25">
      <c r="A808" s="164"/>
      <c r="B808" s="4"/>
      <c r="C808" s="4"/>
      <c r="E808" s="2"/>
      <c r="F808" s="2"/>
      <c r="G808" s="2"/>
      <c r="H808" s="2"/>
      <c r="I808" s="2"/>
      <c r="J808" s="2"/>
      <c r="K808" s="2"/>
    </row>
    <row r="809" spans="1:11" ht="15.75" customHeight="1" x14ac:dyDescent="0.25">
      <c r="A809" s="164"/>
      <c r="B809" s="4"/>
      <c r="C809" s="4"/>
      <c r="E809" s="2"/>
      <c r="F809" s="2"/>
      <c r="G809" s="2"/>
      <c r="H809" s="2"/>
      <c r="I809" s="2"/>
      <c r="J809" s="2"/>
      <c r="K809" s="2"/>
    </row>
    <row r="810" spans="1:11" ht="15.75" customHeight="1" x14ac:dyDescent="0.25">
      <c r="A810" s="164"/>
      <c r="B810" s="4"/>
      <c r="C810" s="4"/>
      <c r="E810" s="2"/>
      <c r="F810" s="2"/>
      <c r="G810" s="2"/>
      <c r="H810" s="2"/>
      <c r="I810" s="2"/>
      <c r="J810" s="2"/>
      <c r="K810" s="2"/>
    </row>
    <row r="811" spans="1:11" ht="15.75" customHeight="1" x14ac:dyDescent="0.25">
      <c r="A811" s="164"/>
      <c r="B811" s="4"/>
      <c r="C811" s="4"/>
      <c r="E811" s="2"/>
      <c r="F811" s="2"/>
      <c r="G811" s="2"/>
      <c r="H811" s="2"/>
      <c r="I811" s="2"/>
      <c r="J811" s="2"/>
      <c r="K811" s="2"/>
    </row>
    <row r="812" spans="1:11" ht="15.75" customHeight="1" x14ac:dyDescent="0.25">
      <c r="A812" s="164"/>
      <c r="B812" s="4"/>
      <c r="C812" s="4"/>
      <c r="E812" s="2"/>
      <c r="F812" s="2"/>
      <c r="G812" s="2"/>
      <c r="H812" s="2"/>
      <c r="I812" s="2"/>
      <c r="J812" s="2"/>
      <c r="K812" s="2"/>
    </row>
    <row r="813" spans="1:11" ht="15.75" customHeight="1" x14ac:dyDescent="0.25">
      <c r="A813" s="164"/>
      <c r="B813" s="4"/>
      <c r="C813" s="4"/>
      <c r="E813" s="2"/>
      <c r="F813" s="2"/>
      <c r="G813" s="2"/>
      <c r="H813" s="2"/>
      <c r="I813" s="2"/>
      <c r="J813" s="2"/>
      <c r="K813" s="2"/>
    </row>
    <row r="814" spans="1:11" ht="15.75" customHeight="1" x14ac:dyDescent="0.25">
      <c r="A814" s="164"/>
      <c r="B814" s="4"/>
      <c r="C814" s="4"/>
      <c r="E814" s="2"/>
      <c r="F814" s="2"/>
      <c r="G814" s="2"/>
      <c r="H814" s="2"/>
      <c r="I814" s="2"/>
      <c r="J814" s="2"/>
      <c r="K814" s="2"/>
    </row>
    <row r="815" spans="1:11" ht="15.75" customHeight="1" x14ac:dyDescent="0.25">
      <c r="A815" s="164"/>
      <c r="B815" s="4"/>
      <c r="C815" s="4"/>
      <c r="E815" s="2"/>
      <c r="F815" s="2"/>
      <c r="G815" s="2"/>
      <c r="H815" s="2"/>
      <c r="I815" s="2"/>
      <c r="J815" s="2"/>
      <c r="K815" s="2"/>
    </row>
    <row r="816" spans="1:11" ht="15.75" customHeight="1" x14ac:dyDescent="0.25">
      <c r="A816" s="164"/>
      <c r="B816" s="4"/>
      <c r="C816" s="4"/>
      <c r="E816" s="2"/>
      <c r="F816" s="2"/>
      <c r="G816" s="2"/>
      <c r="H816" s="2"/>
      <c r="I816" s="2"/>
      <c r="J816" s="2"/>
      <c r="K816" s="2"/>
    </row>
    <row r="817" spans="1:11" ht="15.75" customHeight="1" x14ac:dyDescent="0.25">
      <c r="A817" s="164"/>
      <c r="B817" s="4"/>
      <c r="C817" s="4"/>
      <c r="E817" s="2"/>
      <c r="F817" s="2"/>
      <c r="G817" s="2"/>
      <c r="H817" s="2"/>
      <c r="I817" s="2"/>
      <c r="J817" s="2"/>
      <c r="K817" s="2"/>
    </row>
    <row r="818" spans="1:11" ht="15.75" customHeight="1" x14ac:dyDescent="0.25">
      <c r="A818" s="164"/>
      <c r="B818" s="4"/>
      <c r="C818" s="4"/>
      <c r="E818" s="2"/>
      <c r="F818" s="2"/>
      <c r="G818" s="2"/>
      <c r="H818" s="2"/>
      <c r="I818" s="2"/>
      <c r="J818" s="2"/>
      <c r="K818" s="2"/>
    </row>
    <row r="819" spans="1:11" ht="15.75" customHeight="1" x14ac:dyDescent="0.25">
      <c r="A819" s="164"/>
      <c r="B819" s="4"/>
      <c r="C819" s="4"/>
      <c r="E819" s="2"/>
      <c r="F819" s="2"/>
      <c r="G819" s="2"/>
      <c r="H819" s="2"/>
      <c r="I819" s="2"/>
      <c r="J819" s="2"/>
      <c r="K819" s="2"/>
    </row>
    <row r="820" spans="1:11" ht="15.75" customHeight="1" x14ac:dyDescent="0.25">
      <c r="A820" s="164"/>
      <c r="B820" s="4"/>
      <c r="C820" s="4"/>
      <c r="E820" s="2"/>
      <c r="F820" s="2"/>
      <c r="G820" s="2"/>
      <c r="H820" s="2"/>
      <c r="I820" s="2"/>
      <c r="J820" s="2"/>
      <c r="K820" s="2"/>
    </row>
    <row r="821" spans="1:11" ht="15.75" customHeight="1" x14ac:dyDescent="0.25">
      <c r="A821" s="164"/>
      <c r="B821" s="4"/>
      <c r="C821" s="4"/>
      <c r="E821" s="2"/>
      <c r="F821" s="2"/>
      <c r="G821" s="2"/>
      <c r="H821" s="2"/>
      <c r="I821" s="2"/>
      <c r="J821" s="2"/>
      <c r="K821" s="2"/>
    </row>
    <row r="822" spans="1:11" ht="15.75" customHeight="1" x14ac:dyDescent="0.25">
      <c r="A822" s="164"/>
      <c r="B822" s="4"/>
      <c r="C822" s="4"/>
      <c r="E822" s="2"/>
      <c r="F822" s="2"/>
      <c r="G822" s="2"/>
      <c r="H822" s="2"/>
      <c r="I822" s="2"/>
      <c r="J822" s="2"/>
      <c r="K822" s="2"/>
    </row>
    <row r="823" spans="1:11" ht="15.75" customHeight="1" x14ac:dyDescent="0.25">
      <c r="A823" s="164"/>
      <c r="B823" s="4"/>
      <c r="C823" s="4"/>
      <c r="E823" s="2"/>
      <c r="F823" s="2"/>
      <c r="G823" s="2"/>
      <c r="H823" s="2"/>
      <c r="I823" s="2"/>
      <c r="J823" s="2"/>
      <c r="K823" s="2"/>
    </row>
    <row r="824" spans="1:11" ht="15.75" customHeight="1" x14ac:dyDescent="0.25">
      <c r="A824" s="164"/>
      <c r="B824" s="4"/>
      <c r="C824" s="4"/>
      <c r="E824" s="2"/>
      <c r="F824" s="2"/>
      <c r="G824" s="2"/>
      <c r="H824" s="2"/>
      <c r="I824" s="2"/>
      <c r="J824" s="2"/>
      <c r="K824" s="2"/>
    </row>
    <row r="825" spans="1:11" ht="15.75" customHeight="1" x14ac:dyDescent="0.25">
      <c r="A825" s="164"/>
      <c r="B825" s="4"/>
      <c r="C825" s="4"/>
      <c r="E825" s="2"/>
      <c r="F825" s="2"/>
      <c r="G825" s="2"/>
      <c r="H825" s="2"/>
      <c r="I825" s="2"/>
      <c r="J825" s="2"/>
      <c r="K825" s="2"/>
    </row>
    <row r="826" spans="1:11" ht="15.75" customHeight="1" x14ac:dyDescent="0.25">
      <c r="A826" s="164"/>
      <c r="B826" s="4"/>
      <c r="C826" s="4"/>
      <c r="E826" s="2"/>
      <c r="F826" s="2"/>
      <c r="G826" s="2"/>
      <c r="H826" s="2"/>
      <c r="I826" s="2"/>
      <c r="J826" s="2"/>
      <c r="K826" s="2"/>
    </row>
    <row r="827" spans="1:11" ht="15.75" customHeight="1" x14ac:dyDescent="0.25">
      <c r="A827" s="164"/>
      <c r="B827" s="4"/>
      <c r="C827" s="4"/>
      <c r="E827" s="2"/>
      <c r="F827" s="2"/>
      <c r="G827" s="2"/>
      <c r="H827" s="2"/>
      <c r="I827" s="2"/>
      <c r="J827" s="2"/>
      <c r="K827" s="2"/>
    </row>
    <row r="828" spans="1:11" ht="15.75" customHeight="1" x14ac:dyDescent="0.25">
      <c r="A828" s="164"/>
      <c r="B828" s="4"/>
      <c r="C828" s="4"/>
      <c r="E828" s="2"/>
      <c r="F828" s="2"/>
      <c r="G828" s="2"/>
      <c r="H828" s="2"/>
      <c r="I828" s="2"/>
      <c r="J828" s="2"/>
      <c r="K828" s="2"/>
    </row>
    <row r="829" spans="1:11" ht="15.75" customHeight="1" x14ac:dyDescent="0.25">
      <c r="A829" s="164"/>
      <c r="B829" s="4"/>
      <c r="C829" s="4"/>
      <c r="E829" s="2"/>
      <c r="F829" s="2"/>
      <c r="G829" s="2"/>
      <c r="H829" s="2"/>
      <c r="I829" s="2"/>
      <c r="J829" s="2"/>
      <c r="K829" s="2"/>
    </row>
    <row r="830" spans="1:11" ht="15.75" customHeight="1" x14ac:dyDescent="0.25">
      <c r="A830" s="164"/>
      <c r="B830" s="4"/>
      <c r="C830" s="4"/>
      <c r="E830" s="2"/>
      <c r="F830" s="2"/>
      <c r="G830" s="2"/>
      <c r="H830" s="2"/>
      <c r="I830" s="2"/>
      <c r="J830" s="2"/>
      <c r="K830" s="2"/>
    </row>
    <row r="831" spans="1:11" ht="15.75" customHeight="1" x14ac:dyDescent="0.25">
      <c r="A831" s="164"/>
      <c r="B831" s="4"/>
      <c r="C831" s="4"/>
      <c r="E831" s="2"/>
      <c r="F831" s="2"/>
      <c r="G831" s="2"/>
      <c r="H831" s="2"/>
      <c r="I831" s="2"/>
      <c r="J831" s="2"/>
      <c r="K831" s="2"/>
    </row>
    <row r="832" spans="1:11" ht="15.75" customHeight="1" x14ac:dyDescent="0.25">
      <c r="A832" s="164"/>
      <c r="B832" s="4"/>
      <c r="C832" s="4"/>
      <c r="E832" s="2"/>
      <c r="F832" s="2"/>
      <c r="G832" s="2"/>
      <c r="H832" s="2"/>
      <c r="I832" s="2"/>
      <c r="J832" s="2"/>
      <c r="K832" s="2"/>
    </row>
    <row r="833" spans="1:11" ht="15.75" customHeight="1" x14ac:dyDescent="0.25">
      <c r="A833" s="164"/>
      <c r="B833" s="4"/>
      <c r="C833" s="4"/>
      <c r="E833" s="2"/>
      <c r="F833" s="2"/>
      <c r="G833" s="2"/>
      <c r="H833" s="2"/>
      <c r="I833" s="2"/>
      <c r="J833" s="2"/>
      <c r="K833" s="2"/>
    </row>
    <row r="834" spans="1:11" ht="15.75" customHeight="1" x14ac:dyDescent="0.25">
      <c r="A834" s="164"/>
      <c r="B834" s="4"/>
      <c r="C834" s="4"/>
      <c r="E834" s="2"/>
      <c r="F834" s="2"/>
      <c r="G834" s="2"/>
      <c r="H834" s="2"/>
      <c r="I834" s="2"/>
      <c r="J834" s="2"/>
      <c r="K834" s="2"/>
    </row>
    <row r="835" spans="1:11" ht="15.75" customHeight="1" x14ac:dyDescent="0.25">
      <c r="A835" s="164"/>
      <c r="B835" s="4"/>
      <c r="C835" s="4"/>
      <c r="E835" s="2"/>
      <c r="F835" s="2"/>
      <c r="G835" s="2"/>
      <c r="H835" s="2"/>
      <c r="I835" s="2"/>
      <c r="J835" s="2"/>
      <c r="K835" s="2"/>
    </row>
    <row r="836" spans="1:11" ht="15.75" customHeight="1" x14ac:dyDescent="0.25">
      <c r="A836" s="164"/>
      <c r="B836" s="4"/>
      <c r="C836" s="4"/>
      <c r="E836" s="2"/>
      <c r="F836" s="2"/>
      <c r="G836" s="2"/>
      <c r="H836" s="2"/>
      <c r="I836" s="2"/>
      <c r="J836" s="2"/>
      <c r="K836" s="2"/>
    </row>
    <row r="837" spans="1:11" ht="15.75" customHeight="1" x14ac:dyDescent="0.25">
      <c r="A837" s="164"/>
      <c r="B837" s="4"/>
      <c r="C837" s="4"/>
      <c r="E837" s="2"/>
      <c r="F837" s="2"/>
      <c r="G837" s="2"/>
      <c r="H837" s="2"/>
      <c r="I837" s="2"/>
      <c r="J837" s="2"/>
      <c r="K837" s="2"/>
    </row>
    <row r="838" spans="1:11" ht="15.75" customHeight="1" x14ac:dyDescent="0.25">
      <c r="A838" s="164"/>
      <c r="B838" s="4"/>
      <c r="C838" s="4"/>
      <c r="E838" s="2"/>
      <c r="F838" s="2"/>
      <c r="G838" s="2"/>
      <c r="H838" s="2"/>
      <c r="I838" s="2"/>
      <c r="J838" s="2"/>
      <c r="K838" s="2"/>
    </row>
    <row r="839" spans="1:11" ht="15.75" customHeight="1" x14ac:dyDescent="0.25">
      <c r="A839" s="164"/>
      <c r="B839" s="4"/>
      <c r="C839" s="4"/>
      <c r="E839" s="2"/>
      <c r="F839" s="2"/>
      <c r="G839" s="2"/>
      <c r="H839" s="2"/>
      <c r="I839" s="2"/>
      <c r="J839" s="2"/>
      <c r="K839" s="2"/>
    </row>
    <row r="840" spans="1:11" ht="15.75" customHeight="1" x14ac:dyDescent="0.25">
      <c r="A840" s="164"/>
      <c r="B840" s="4"/>
      <c r="C840" s="4"/>
      <c r="E840" s="2"/>
      <c r="F840" s="2"/>
      <c r="G840" s="2"/>
      <c r="H840" s="2"/>
      <c r="I840" s="2"/>
      <c r="J840" s="2"/>
      <c r="K840" s="2"/>
    </row>
    <row r="841" spans="1:11" ht="15.75" customHeight="1" x14ac:dyDescent="0.25">
      <c r="A841" s="164"/>
      <c r="B841" s="4"/>
      <c r="C841" s="4"/>
      <c r="E841" s="2"/>
      <c r="F841" s="2"/>
      <c r="G841" s="2"/>
      <c r="H841" s="2"/>
      <c r="I841" s="2"/>
      <c r="J841" s="2"/>
      <c r="K841" s="2"/>
    </row>
    <row r="842" spans="1:11" ht="15.75" customHeight="1" x14ac:dyDescent="0.25">
      <c r="A842" s="164"/>
      <c r="B842" s="4"/>
      <c r="C842" s="4"/>
      <c r="E842" s="2"/>
      <c r="F842" s="2"/>
      <c r="G842" s="2"/>
      <c r="H842" s="2"/>
      <c r="I842" s="2"/>
      <c r="J842" s="2"/>
      <c r="K842" s="2"/>
    </row>
    <row r="843" spans="1:11" ht="15.75" customHeight="1" x14ac:dyDescent="0.25">
      <c r="A843" s="164"/>
      <c r="B843" s="4"/>
      <c r="C843" s="4"/>
      <c r="E843" s="2"/>
      <c r="F843" s="2"/>
      <c r="G843" s="2"/>
      <c r="H843" s="2"/>
      <c r="I843" s="2"/>
      <c r="J843" s="2"/>
      <c r="K843" s="2"/>
    </row>
    <row r="844" spans="1:11" ht="15.75" customHeight="1" x14ac:dyDescent="0.25">
      <c r="A844" s="164"/>
      <c r="B844" s="4"/>
      <c r="C844" s="4"/>
      <c r="E844" s="2"/>
      <c r="F844" s="2"/>
      <c r="G844" s="2"/>
      <c r="H844" s="2"/>
      <c r="I844" s="2"/>
      <c r="J844" s="2"/>
      <c r="K844" s="2"/>
    </row>
    <row r="845" spans="1:11" ht="15.75" customHeight="1" x14ac:dyDescent="0.25">
      <c r="A845" s="164"/>
      <c r="B845" s="4"/>
      <c r="C845" s="4"/>
      <c r="E845" s="2"/>
      <c r="F845" s="2"/>
      <c r="G845" s="2"/>
      <c r="H845" s="2"/>
      <c r="I845" s="2"/>
      <c r="J845" s="2"/>
      <c r="K845" s="2"/>
    </row>
    <row r="846" spans="1:11" ht="15.75" customHeight="1" x14ac:dyDescent="0.25">
      <c r="A846" s="164"/>
      <c r="B846" s="4"/>
      <c r="C846" s="4"/>
      <c r="E846" s="2"/>
      <c r="F846" s="2"/>
      <c r="G846" s="2"/>
      <c r="H846" s="2"/>
      <c r="I846" s="2"/>
      <c r="J846" s="2"/>
      <c r="K846" s="2"/>
    </row>
    <row r="847" spans="1:11" ht="15.75" customHeight="1" x14ac:dyDescent="0.25">
      <c r="A847" s="164"/>
      <c r="B847" s="4"/>
      <c r="C847" s="4"/>
      <c r="E847" s="2"/>
      <c r="F847" s="2"/>
      <c r="G847" s="2"/>
      <c r="H847" s="2"/>
      <c r="I847" s="2"/>
      <c r="J847" s="2"/>
      <c r="K847" s="2"/>
    </row>
    <row r="848" spans="1:11" ht="15.75" customHeight="1" x14ac:dyDescent="0.25">
      <c r="A848" s="164"/>
      <c r="B848" s="4"/>
      <c r="C848" s="4"/>
      <c r="E848" s="2"/>
      <c r="F848" s="2"/>
      <c r="G848" s="2"/>
      <c r="H848" s="2"/>
      <c r="I848" s="2"/>
      <c r="J848" s="2"/>
      <c r="K848" s="2"/>
    </row>
    <row r="849" spans="1:11" ht="15.75" customHeight="1" x14ac:dyDescent="0.25">
      <c r="A849" s="164"/>
      <c r="B849" s="4"/>
      <c r="C849" s="4"/>
      <c r="E849" s="2"/>
      <c r="F849" s="2"/>
      <c r="G849" s="2"/>
      <c r="H849" s="2"/>
      <c r="I849" s="2"/>
      <c r="J849" s="2"/>
      <c r="K849" s="2"/>
    </row>
    <row r="850" spans="1:11" ht="15.75" customHeight="1" x14ac:dyDescent="0.25">
      <c r="A850" s="164"/>
      <c r="B850" s="4"/>
      <c r="C850" s="4"/>
      <c r="E850" s="2"/>
      <c r="F850" s="2"/>
      <c r="G850" s="2"/>
      <c r="H850" s="2"/>
      <c r="I850" s="2"/>
      <c r="J850" s="2"/>
      <c r="K850" s="2"/>
    </row>
    <row r="851" spans="1:11" ht="15.75" customHeight="1" x14ac:dyDescent="0.25">
      <c r="A851" s="164"/>
      <c r="B851" s="4"/>
      <c r="C851" s="4"/>
      <c r="E851" s="2"/>
      <c r="F851" s="2"/>
      <c r="G851" s="2"/>
      <c r="H851" s="2"/>
      <c r="I851" s="2"/>
      <c r="J851" s="2"/>
      <c r="K851" s="2"/>
    </row>
    <row r="852" spans="1:11" ht="15.75" customHeight="1" x14ac:dyDescent="0.25">
      <c r="A852" s="164"/>
      <c r="B852" s="4"/>
      <c r="C852" s="4"/>
      <c r="E852" s="2"/>
      <c r="F852" s="2"/>
      <c r="G852" s="2"/>
      <c r="H852" s="2"/>
      <c r="I852" s="2"/>
      <c r="J852" s="2"/>
      <c r="K852" s="2"/>
    </row>
    <row r="853" spans="1:11" ht="15.75" customHeight="1" x14ac:dyDescent="0.25">
      <c r="A853" s="164"/>
      <c r="B853" s="4"/>
      <c r="C853" s="4"/>
      <c r="E853" s="2"/>
      <c r="F853" s="2"/>
      <c r="G853" s="2"/>
      <c r="H853" s="2"/>
      <c r="I853" s="2"/>
      <c r="J853" s="2"/>
      <c r="K853" s="2"/>
    </row>
    <row r="854" spans="1:11" ht="15.75" customHeight="1" x14ac:dyDescent="0.25">
      <c r="A854" s="164"/>
      <c r="B854" s="4"/>
      <c r="C854" s="4"/>
      <c r="E854" s="2"/>
      <c r="F854" s="2"/>
      <c r="G854" s="2"/>
      <c r="H854" s="2"/>
      <c r="I854" s="2"/>
      <c r="J854" s="2"/>
      <c r="K854" s="2"/>
    </row>
    <row r="855" spans="1:11" ht="15.75" customHeight="1" x14ac:dyDescent="0.25">
      <c r="A855" s="164"/>
      <c r="B855" s="4"/>
      <c r="C855" s="4"/>
      <c r="E855" s="2"/>
      <c r="F855" s="2"/>
      <c r="G855" s="2"/>
      <c r="H855" s="2"/>
      <c r="I855" s="2"/>
      <c r="J855" s="2"/>
      <c r="K855" s="2"/>
    </row>
    <row r="856" spans="1:11" ht="15.75" customHeight="1" x14ac:dyDescent="0.25">
      <c r="A856" s="164"/>
      <c r="B856" s="4"/>
      <c r="C856" s="4"/>
      <c r="E856" s="2"/>
      <c r="F856" s="2"/>
      <c r="G856" s="2"/>
      <c r="H856" s="2"/>
      <c r="I856" s="2"/>
      <c r="J856" s="2"/>
      <c r="K856" s="2"/>
    </row>
    <row r="857" spans="1:11" ht="15.75" customHeight="1" x14ac:dyDescent="0.25">
      <c r="A857" s="164"/>
      <c r="B857" s="4"/>
      <c r="C857" s="4"/>
      <c r="E857" s="2"/>
      <c r="F857" s="2"/>
      <c r="G857" s="2"/>
      <c r="H857" s="2"/>
      <c r="I857" s="2"/>
      <c r="J857" s="2"/>
      <c r="K857" s="2"/>
    </row>
    <row r="858" spans="1:11" ht="15.75" customHeight="1" x14ac:dyDescent="0.25">
      <c r="A858" s="164"/>
      <c r="B858" s="4"/>
      <c r="C858" s="4"/>
      <c r="E858" s="2"/>
      <c r="F858" s="2"/>
      <c r="G858" s="2"/>
      <c r="H858" s="2"/>
      <c r="I858" s="2"/>
      <c r="J858" s="2"/>
      <c r="K858" s="2"/>
    </row>
    <row r="859" spans="1:11" ht="15.75" customHeight="1" x14ac:dyDescent="0.25">
      <c r="A859" s="164"/>
      <c r="B859" s="4"/>
      <c r="C859" s="4"/>
      <c r="E859" s="2"/>
      <c r="F859" s="2"/>
      <c r="G859" s="2"/>
      <c r="H859" s="2"/>
      <c r="I859" s="2"/>
      <c r="J859" s="2"/>
      <c r="K859" s="2"/>
    </row>
    <row r="860" spans="1:11" ht="15.75" customHeight="1" x14ac:dyDescent="0.25">
      <c r="A860" s="164"/>
      <c r="B860" s="4"/>
      <c r="C860" s="4"/>
      <c r="E860" s="2"/>
      <c r="F860" s="2"/>
      <c r="G860" s="2"/>
      <c r="H860" s="2"/>
      <c r="I860" s="2"/>
      <c r="J860" s="2"/>
      <c r="K860" s="2"/>
    </row>
    <row r="861" spans="1:11" ht="15.75" customHeight="1" x14ac:dyDescent="0.25">
      <c r="A861" s="164"/>
      <c r="B861" s="4"/>
      <c r="C861" s="4"/>
      <c r="E861" s="2"/>
      <c r="F861" s="2"/>
      <c r="G861" s="2"/>
      <c r="H861" s="2"/>
      <c r="I861" s="2"/>
      <c r="J861" s="2"/>
      <c r="K861" s="2"/>
    </row>
    <row r="862" spans="1:11" ht="15.75" customHeight="1" x14ac:dyDescent="0.25">
      <c r="A862" s="164"/>
      <c r="B862" s="4"/>
      <c r="C862" s="4"/>
      <c r="E862" s="2"/>
      <c r="F862" s="2"/>
      <c r="G862" s="2"/>
      <c r="H862" s="2"/>
      <c r="I862" s="2"/>
      <c r="J862" s="2"/>
      <c r="K862" s="2"/>
    </row>
    <row r="863" spans="1:11" ht="15.75" customHeight="1" x14ac:dyDescent="0.25">
      <c r="A863" s="164"/>
      <c r="B863" s="4"/>
      <c r="C863" s="4"/>
      <c r="E863" s="2"/>
      <c r="F863" s="2"/>
      <c r="G863" s="2"/>
      <c r="H863" s="2"/>
      <c r="I863" s="2"/>
      <c r="J863" s="2"/>
      <c r="K863" s="2"/>
    </row>
    <row r="864" spans="1:11" ht="15.75" customHeight="1" x14ac:dyDescent="0.25">
      <c r="A864" s="164"/>
      <c r="B864" s="4"/>
      <c r="C864" s="4"/>
      <c r="E864" s="2"/>
      <c r="F864" s="2"/>
      <c r="G864" s="2"/>
      <c r="H864" s="2"/>
      <c r="I864" s="2"/>
      <c r="J864" s="2"/>
      <c r="K864" s="2"/>
    </row>
    <row r="865" spans="1:11" ht="15.75" customHeight="1" x14ac:dyDescent="0.25">
      <c r="A865" s="164"/>
      <c r="B865" s="4"/>
      <c r="C865" s="4"/>
      <c r="E865" s="2"/>
      <c r="F865" s="2"/>
      <c r="G865" s="2"/>
      <c r="H865" s="2"/>
      <c r="I865" s="2"/>
      <c r="J865" s="2"/>
      <c r="K865" s="2"/>
    </row>
    <row r="866" spans="1:11" ht="15.75" customHeight="1" x14ac:dyDescent="0.25">
      <c r="A866" s="164"/>
      <c r="B866" s="4"/>
      <c r="C866" s="4"/>
      <c r="E866" s="2"/>
      <c r="F866" s="2"/>
      <c r="G866" s="2"/>
      <c r="H866" s="2"/>
      <c r="I866" s="2"/>
      <c r="J866" s="2"/>
      <c r="K866" s="2"/>
    </row>
    <row r="867" spans="1:11" ht="15.75" customHeight="1" x14ac:dyDescent="0.25">
      <c r="A867" s="164"/>
      <c r="B867" s="4"/>
      <c r="C867" s="4"/>
      <c r="E867" s="2"/>
      <c r="F867" s="2"/>
      <c r="G867" s="2"/>
      <c r="H867" s="2"/>
      <c r="I867" s="2"/>
      <c r="J867" s="2"/>
      <c r="K867" s="2"/>
    </row>
    <row r="868" spans="1:11" ht="15.75" customHeight="1" x14ac:dyDescent="0.25">
      <c r="A868" s="164"/>
      <c r="B868" s="4"/>
      <c r="C868" s="4"/>
      <c r="E868" s="2"/>
      <c r="F868" s="2"/>
      <c r="G868" s="2"/>
      <c r="H868" s="2"/>
      <c r="I868" s="2"/>
      <c r="J868" s="2"/>
      <c r="K868" s="2"/>
    </row>
    <row r="869" spans="1:11" ht="15.75" customHeight="1" x14ac:dyDescent="0.25">
      <c r="A869" s="164"/>
      <c r="B869" s="4"/>
      <c r="C869" s="4"/>
      <c r="E869" s="2"/>
      <c r="F869" s="2"/>
      <c r="G869" s="2"/>
      <c r="H869" s="2"/>
      <c r="I869" s="2"/>
      <c r="J869" s="2"/>
      <c r="K869" s="2"/>
    </row>
    <row r="870" spans="1:11" ht="15.75" customHeight="1" x14ac:dyDescent="0.25">
      <c r="A870" s="164"/>
      <c r="B870" s="4"/>
      <c r="C870" s="4"/>
      <c r="E870" s="2"/>
      <c r="F870" s="2"/>
      <c r="G870" s="2"/>
      <c r="H870" s="2"/>
      <c r="I870" s="2"/>
      <c r="J870" s="2"/>
      <c r="K870" s="2"/>
    </row>
    <row r="871" spans="1:11" ht="15.75" customHeight="1" x14ac:dyDescent="0.25">
      <c r="A871" s="164"/>
      <c r="B871" s="4"/>
      <c r="C871" s="4"/>
      <c r="E871" s="2"/>
      <c r="F871" s="2"/>
      <c r="G871" s="2"/>
      <c r="H871" s="2"/>
      <c r="I871" s="2"/>
      <c r="J871" s="2"/>
      <c r="K871" s="2"/>
    </row>
    <row r="872" spans="1:11" ht="15.75" customHeight="1" x14ac:dyDescent="0.25">
      <c r="A872" s="164"/>
      <c r="B872" s="4"/>
      <c r="C872" s="4"/>
      <c r="E872" s="2"/>
      <c r="F872" s="2"/>
      <c r="G872" s="2"/>
      <c r="H872" s="2"/>
      <c r="I872" s="2"/>
      <c r="J872" s="2"/>
      <c r="K872" s="2"/>
    </row>
    <row r="873" spans="1:11" ht="15.75" customHeight="1" x14ac:dyDescent="0.25">
      <c r="A873" s="164"/>
      <c r="B873" s="4"/>
      <c r="C873" s="4"/>
      <c r="E873" s="2"/>
      <c r="F873" s="2"/>
      <c r="G873" s="2"/>
      <c r="H873" s="2"/>
      <c r="I873" s="2"/>
      <c r="J873" s="2"/>
      <c r="K873" s="2"/>
    </row>
    <row r="874" spans="1:11" ht="15.75" customHeight="1" x14ac:dyDescent="0.25">
      <c r="A874" s="164"/>
      <c r="B874" s="4"/>
      <c r="C874" s="4"/>
      <c r="E874" s="2"/>
      <c r="F874" s="2"/>
      <c r="G874" s="2"/>
      <c r="H874" s="2"/>
      <c r="I874" s="2"/>
      <c r="J874" s="2"/>
      <c r="K874" s="2"/>
    </row>
    <row r="875" spans="1:11" ht="15.75" customHeight="1" x14ac:dyDescent="0.25">
      <c r="A875" s="164"/>
      <c r="B875" s="4"/>
      <c r="C875" s="4"/>
      <c r="E875" s="2"/>
      <c r="F875" s="2"/>
      <c r="G875" s="2"/>
      <c r="H875" s="2"/>
      <c r="I875" s="2"/>
      <c r="J875" s="2"/>
      <c r="K875" s="2"/>
    </row>
    <row r="876" spans="1:11" ht="15.75" customHeight="1" x14ac:dyDescent="0.25">
      <c r="A876" s="164"/>
      <c r="B876" s="4"/>
      <c r="C876" s="4"/>
      <c r="E876" s="2"/>
      <c r="F876" s="2"/>
      <c r="G876" s="2"/>
      <c r="H876" s="2"/>
      <c r="I876" s="2"/>
      <c r="J876" s="2"/>
      <c r="K876" s="2"/>
    </row>
    <row r="877" spans="1:11" ht="15.75" customHeight="1" x14ac:dyDescent="0.25">
      <c r="A877" s="164"/>
      <c r="B877" s="4"/>
      <c r="C877" s="4"/>
      <c r="E877" s="2"/>
      <c r="F877" s="2"/>
      <c r="G877" s="2"/>
      <c r="H877" s="2"/>
      <c r="I877" s="2"/>
      <c r="J877" s="2"/>
      <c r="K877" s="2"/>
    </row>
    <row r="878" spans="1:11" ht="15.75" customHeight="1" x14ac:dyDescent="0.25">
      <c r="A878" s="164"/>
      <c r="B878" s="4"/>
      <c r="C878" s="4"/>
      <c r="E878" s="2"/>
      <c r="F878" s="2"/>
      <c r="G878" s="2"/>
      <c r="H878" s="2"/>
      <c r="I878" s="2"/>
      <c r="J878" s="2"/>
      <c r="K878" s="2"/>
    </row>
    <row r="879" spans="1:11" ht="15.75" customHeight="1" x14ac:dyDescent="0.25">
      <c r="A879" s="164"/>
      <c r="B879" s="4"/>
      <c r="C879" s="4"/>
      <c r="E879" s="2"/>
      <c r="F879" s="2"/>
      <c r="G879" s="2"/>
      <c r="H879" s="2"/>
      <c r="I879" s="2"/>
      <c r="J879" s="2"/>
      <c r="K879" s="2"/>
    </row>
    <row r="880" spans="1:11" ht="15.75" customHeight="1" x14ac:dyDescent="0.25">
      <c r="A880" s="164"/>
      <c r="B880" s="4"/>
      <c r="C880" s="4"/>
      <c r="E880" s="2"/>
      <c r="F880" s="2"/>
      <c r="G880" s="2"/>
      <c r="H880" s="2"/>
      <c r="I880" s="2"/>
      <c r="J880" s="2"/>
      <c r="K880" s="2"/>
    </row>
    <row r="881" spans="1:11" ht="15.75" customHeight="1" x14ac:dyDescent="0.25">
      <c r="A881" s="164"/>
      <c r="B881" s="4"/>
      <c r="C881" s="4"/>
      <c r="E881" s="2"/>
      <c r="F881" s="2"/>
      <c r="G881" s="2"/>
      <c r="H881" s="2"/>
      <c r="I881" s="2"/>
      <c r="J881" s="2"/>
      <c r="K881" s="2"/>
    </row>
    <row r="882" spans="1:11" ht="15.75" customHeight="1" x14ac:dyDescent="0.25">
      <c r="A882" s="164"/>
      <c r="B882" s="4"/>
      <c r="C882" s="4"/>
      <c r="E882" s="2"/>
      <c r="F882" s="2"/>
      <c r="G882" s="2"/>
      <c r="H882" s="2"/>
      <c r="I882" s="2"/>
      <c r="J882" s="2"/>
      <c r="K882" s="2"/>
    </row>
    <row r="883" spans="1:11" ht="15.75" customHeight="1" x14ac:dyDescent="0.25">
      <c r="A883" s="164"/>
      <c r="B883" s="4"/>
      <c r="C883" s="4"/>
      <c r="E883" s="2"/>
      <c r="F883" s="2"/>
      <c r="G883" s="2"/>
      <c r="H883" s="2"/>
      <c r="I883" s="2"/>
      <c r="J883" s="2"/>
      <c r="K883" s="2"/>
    </row>
    <row r="884" spans="1:11" ht="15.75" customHeight="1" x14ac:dyDescent="0.25">
      <c r="A884" s="164"/>
      <c r="B884" s="4"/>
      <c r="C884" s="4"/>
      <c r="E884" s="2"/>
      <c r="F884" s="2"/>
      <c r="G884" s="2"/>
      <c r="H884" s="2"/>
      <c r="I884" s="2"/>
      <c r="J884" s="2"/>
      <c r="K884" s="2"/>
    </row>
    <row r="885" spans="1:11" ht="15.75" customHeight="1" x14ac:dyDescent="0.25">
      <c r="A885" s="164"/>
      <c r="B885" s="4"/>
      <c r="C885" s="4"/>
      <c r="E885" s="2"/>
      <c r="F885" s="2"/>
      <c r="G885" s="2"/>
      <c r="H885" s="2"/>
      <c r="I885" s="2"/>
      <c r="J885" s="2"/>
      <c r="K885" s="2"/>
    </row>
    <row r="886" spans="1:11" ht="15.75" customHeight="1" x14ac:dyDescent="0.25">
      <c r="A886" s="164"/>
      <c r="B886" s="4"/>
      <c r="C886" s="4"/>
      <c r="E886" s="2"/>
      <c r="F886" s="2"/>
      <c r="G886" s="2"/>
      <c r="H886" s="2"/>
      <c r="I886" s="2"/>
      <c r="J886" s="2"/>
      <c r="K886" s="2"/>
    </row>
    <row r="887" spans="1:11" ht="15.75" customHeight="1" x14ac:dyDescent="0.25">
      <c r="A887" s="164"/>
      <c r="B887" s="4"/>
      <c r="C887" s="4"/>
      <c r="E887" s="2"/>
      <c r="F887" s="2"/>
      <c r="G887" s="2"/>
      <c r="H887" s="2"/>
      <c r="I887" s="2"/>
      <c r="J887" s="2"/>
      <c r="K887" s="2"/>
    </row>
    <row r="888" spans="1:11" ht="15.75" customHeight="1" x14ac:dyDescent="0.25">
      <c r="A888" s="164"/>
      <c r="B888" s="4"/>
      <c r="C888" s="4"/>
      <c r="E888" s="2"/>
      <c r="F888" s="2"/>
      <c r="G888" s="2"/>
      <c r="H888" s="2"/>
      <c r="I888" s="2"/>
      <c r="J888" s="2"/>
      <c r="K888" s="2"/>
    </row>
    <row r="889" spans="1:11" ht="15.75" customHeight="1" x14ac:dyDescent="0.25">
      <c r="A889" s="164"/>
      <c r="B889" s="4"/>
      <c r="C889" s="4"/>
      <c r="E889" s="2"/>
      <c r="F889" s="2"/>
      <c r="G889" s="2"/>
      <c r="H889" s="2"/>
      <c r="I889" s="2"/>
      <c r="J889" s="2"/>
      <c r="K889" s="2"/>
    </row>
    <row r="890" spans="1:11" ht="15.75" customHeight="1" x14ac:dyDescent="0.25">
      <c r="A890" s="164"/>
      <c r="B890" s="4"/>
      <c r="C890" s="4"/>
      <c r="E890" s="2"/>
      <c r="F890" s="2"/>
      <c r="G890" s="2"/>
      <c r="H890" s="2"/>
      <c r="I890" s="2"/>
      <c r="J890" s="2"/>
      <c r="K890" s="2"/>
    </row>
    <row r="891" spans="1:11" ht="15.75" customHeight="1" x14ac:dyDescent="0.25">
      <c r="A891" s="164"/>
      <c r="B891" s="4"/>
      <c r="C891" s="4"/>
      <c r="E891" s="2"/>
      <c r="F891" s="2"/>
      <c r="G891" s="2"/>
      <c r="H891" s="2"/>
      <c r="I891" s="2"/>
      <c r="J891" s="2"/>
      <c r="K891" s="2"/>
    </row>
    <row r="892" spans="1:11" ht="15.75" customHeight="1" x14ac:dyDescent="0.25">
      <c r="A892" s="164"/>
      <c r="B892" s="4"/>
      <c r="C892" s="4"/>
      <c r="E892" s="2"/>
      <c r="F892" s="2"/>
      <c r="G892" s="2"/>
      <c r="H892" s="2"/>
      <c r="I892" s="2"/>
      <c r="J892" s="2"/>
      <c r="K892" s="2"/>
    </row>
    <row r="893" spans="1:11" ht="15.75" customHeight="1" x14ac:dyDescent="0.25">
      <c r="A893" s="164"/>
      <c r="B893" s="4"/>
      <c r="C893" s="4"/>
      <c r="E893" s="2"/>
      <c r="F893" s="2"/>
      <c r="G893" s="2"/>
      <c r="H893" s="2"/>
      <c r="I893" s="2"/>
      <c r="J893" s="2"/>
      <c r="K893" s="2"/>
    </row>
    <row r="894" spans="1:11" ht="15.75" customHeight="1" x14ac:dyDescent="0.25">
      <c r="A894" s="164"/>
      <c r="B894" s="4"/>
      <c r="C894" s="4"/>
      <c r="E894" s="2"/>
      <c r="F894" s="2"/>
      <c r="G894" s="2"/>
      <c r="H894" s="2"/>
      <c r="I894" s="2"/>
      <c r="J894" s="2"/>
      <c r="K894" s="2"/>
    </row>
    <row r="895" spans="1:11" ht="15.75" customHeight="1" x14ac:dyDescent="0.25">
      <c r="A895" s="164"/>
      <c r="B895" s="4"/>
      <c r="C895" s="4"/>
      <c r="E895" s="2"/>
      <c r="F895" s="2"/>
      <c r="G895" s="2"/>
      <c r="H895" s="2"/>
      <c r="I895" s="2"/>
      <c r="J895" s="2"/>
      <c r="K895" s="2"/>
    </row>
    <row r="896" spans="1:11" ht="15.75" customHeight="1" x14ac:dyDescent="0.25">
      <c r="A896" s="164"/>
      <c r="B896" s="4"/>
      <c r="C896" s="4"/>
      <c r="E896" s="2"/>
      <c r="F896" s="2"/>
      <c r="G896" s="2"/>
      <c r="H896" s="2"/>
      <c r="I896" s="2"/>
      <c r="J896" s="2"/>
      <c r="K896" s="2"/>
    </row>
    <row r="897" spans="1:11" ht="15.75" customHeight="1" x14ac:dyDescent="0.25">
      <c r="A897" s="164"/>
      <c r="B897" s="4"/>
      <c r="C897" s="4"/>
      <c r="E897" s="2"/>
      <c r="F897" s="2"/>
      <c r="G897" s="2"/>
      <c r="H897" s="2"/>
      <c r="I897" s="2"/>
      <c r="J897" s="2"/>
      <c r="K897" s="2"/>
    </row>
    <row r="898" spans="1:11" ht="15.75" customHeight="1" x14ac:dyDescent="0.25">
      <c r="A898" s="164"/>
      <c r="B898" s="4"/>
      <c r="C898" s="4"/>
      <c r="E898" s="2"/>
      <c r="F898" s="2"/>
      <c r="G898" s="2"/>
      <c r="H898" s="2"/>
      <c r="I898" s="2"/>
      <c r="J898" s="2"/>
      <c r="K898" s="2"/>
    </row>
    <row r="899" spans="1:11" ht="15.75" customHeight="1" x14ac:dyDescent="0.25">
      <c r="A899" s="164"/>
      <c r="B899" s="4"/>
      <c r="C899" s="4"/>
      <c r="E899" s="2"/>
      <c r="F899" s="2"/>
      <c r="G899" s="2"/>
      <c r="H899" s="2"/>
      <c r="I899" s="2"/>
      <c r="J899" s="2"/>
      <c r="K899" s="2"/>
    </row>
    <row r="900" spans="1:11" ht="15.75" customHeight="1" x14ac:dyDescent="0.25">
      <c r="A900" s="164"/>
      <c r="B900" s="4"/>
      <c r="C900" s="4"/>
      <c r="E900" s="2"/>
      <c r="F900" s="2"/>
      <c r="G900" s="2"/>
      <c r="H900" s="2"/>
      <c r="I900" s="2"/>
      <c r="J900" s="2"/>
      <c r="K900" s="2"/>
    </row>
    <row r="901" spans="1:11" ht="15.75" customHeight="1" x14ac:dyDescent="0.25">
      <c r="A901" s="164"/>
      <c r="B901" s="4"/>
      <c r="C901" s="4"/>
      <c r="E901" s="2"/>
      <c r="F901" s="2"/>
      <c r="G901" s="2"/>
      <c r="H901" s="2"/>
      <c r="I901" s="2"/>
      <c r="J901" s="2"/>
      <c r="K901" s="2"/>
    </row>
    <row r="902" spans="1:11" ht="15.75" customHeight="1" x14ac:dyDescent="0.25">
      <c r="A902" s="164"/>
      <c r="B902" s="4"/>
      <c r="C902" s="4"/>
      <c r="E902" s="2"/>
      <c r="F902" s="2"/>
      <c r="G902" s="2"/>
      <c r="H902" s="2"/>
      <c r="I902" s="2"/>
      <c r="J902" s="2"/>
      <c r="K902" s="2"/>
    </row>
    <row r="903" spans="1:11" ht="15.75" customHeight="1" x14ac:dyDescent="0.25">
      <c r="A903" s="164"/>
      <c r="B903" s="4"/>
      <c r="C903" s="4"/>
      <c r="E903" s="2"/>
      <c r="F903" s="2"/>
      <c r="G903" s="2"/>
      <c r="H903" s="2"/>
      <c r="I903" s="2"/>
      <c r="J903" s="2"/>
      <c r="K903" s="2"/>
    </row>
    <row r="904" spans="1:11" ht="15.75" customHeight="1" x14ac:dyDescent="0.25">
      <c r="A904" s="164"/>
      <c r="B904" s="4"/>
      <c r="C904" s="4"/>
      <c r="E904" s="2"/>
      <c r="F904" s="2"/>
      <c r="G904" s="2"/>
      <c r="H904" s="2"/>
      <c r="I904" s="2"/>
      <c r="J904" s="2"/>
      <c r="K904" s="2"/>
    </row>
    <row r="905" spans="1:11" ht="15.75" customHeight="1" x14ac:dyDescent="0.25">
      <c r="A905" s="164"/>
      <c r="B905" s="4"/>
      <c r="C905" s="4"/>
      <c r="E905" s="2"/>
      <c r="F905" s="2"/>
      <c r="G905" s="2"/>
      <c r="H905" s="2"/>
      <c r="I905" s="2"/>
      <c r="J905" s="2"/>
      <c r="K905" s="2"/>
    </row>
    <row r="906" spans="1:11" ht="15.75" customHeight="1" x14ac:dyDescent="0.25">
      <c r="A906" s="164"/>
      <c r="B906" s="4"/>
      <c r="C906" s="4"/>
      <c r="E906" s="2"/>
      <c r="F906" s="2"/>
      <c r="G906" s="2"/>
      <c r="H906" s="2"/>
      <c r="I906" s="2"/>
      <c r="J906" s="2"/>
      <c r="K906" s="2"/>
    </row>
    <row r="907" spans="1:11" ht="15.75" customHeight="1" x14ac:dyDescent="0.25">
      <c r="A907" s="164"/>
      <c r="B907" s="4"/>
      <c r="C907" s="4"/>
      <c r="E907" s="2"/>
      <c r="F907" s="2"/>
      <c r="G907" s="2"/>
      <c r="H907" s="2"/>
      <c r="I907" s="2"/>
      <c r="J907" s="2"/>
      <c r="K907" s="2"/>
    </row>
    <row r="908" spans="1:11" ht="15.75" customHeight="1" x14ac:dyDescent="0.25">
      <c r="A908" s="164"/>
      <c r="B908" s="4"/>
      <c r="C908" s="4"/>
      <c r="E908" s="2"/>
      <c r="F908" s="2"/>
      <c r="G908" s="2"/>
      <c r="H908" s="2"/>
      <c r="I908" s="2"/>
      <c r="J908" s="2"/>
      <c r="K908" s="2"/>
    </row>
    <row r="909" spans="1:11" ht="15.75" customHeight="1" x14ac:dyDescent="0.25">
      <c r="A909" s="164"/>
      <c r="B909" s="4"/>
      <c r="C909" s="4"/>
      <c r="E909" s="2"/>
      <c r="F909" s="2"/>
      <c r="G909" s="2"/>
      <c r="H909" s="2"/>
      <c r="I909" s="2"/>
      <c r="J909" s="2"/>
      <c r="K909" s="2"/>
    </row>
    <row r="910" spans="1:11" ht="15.75" customHeight="1" x14ac:dyDescent="0.25">
      <c r="A910" s="164"/>
      <c r="B910" s="4"/>
      <c r="C910" s="4"/>
      <c r="E910" s="2"/>
      <c r="F910" s="2"/>
      <c r="G910" s="2"/>
      <c r="H910" s="2"/>
      <c r="I910" s="2"/>
      <c r="J910" s="2"/>
      <c r="K910" s="2"/>
    </row>
    <row r="911" spans="1:11" ht="15.75" customHeight="1" x14ac:dyDescent="0.25">
      <c r="A911" s="164"/>
      <c r="B911" s="4"/>
      <c r="C911" s="4"/>
      <c r="E911" s="2"/>
      <c r="F911" s="2"/>
      <c r="G911" s="2"/>
      <c r="H911" s="2"/>
      <c r="I911" s="2"/>
      <c r="J911" s="2"/>
      <c r="K911" s="2"/>
    </row>
    <row r="912" spans="1:11" ht="15.75" customHeight="1" x14ac:dyDescent="0.25">
      <c r="A912" s="164"/>
      <c r="B912" s="4"/>
      <c r="C912" s="4"/>
      <c r="E912" s="2"/>
      <c r="F912" s="2"/>
      <c r="G912" s="2"/>
      <c r="H912" s="2"/>
      <c r="I912" s="2"/>
      <c r="J912" s="2"/>
      <c r="K912" s="2"/>
    </row>
    <row r="913" spans="1:11" ht="15.75" customHeight="1" x14ac:dyDescent="0.25">
      <c r="A913" s="164"/>
      <c r="B913" s="4"/>
      <c r="C913" s="4"/>
      <c r="E913" s="2"/>
      <c r="F913" s="2"/>
      <c r="G913" s="2"/>
      <c r="H913" s="2"/>
      <c r="I913" s="2"/>
      <c r="J913" s="2"/>
      <c r="K913" s="2"/>
    </row>
    <row r="914" spans="1:11" ht="15.75" customHeight="1" x14ac:dyDescent="0.25">
      <c r="A914" s="164"/>
      <c r="B914" s="4"/>
      <c r="C914" s="4"/>
      <c r="E914" s="2"/>
      <c r="F914" s="2"/>
      <c r="G914" s="2"/>
      <c r="H914" s="2"/>
      <c r="I914" s="2"/>
      <c r="J914" s="2"/>
      <c r="K914" s="2"/>
    </row>
    <row r="915" spans="1:11" ht="15.75" customHeight="1" x14ac:dyDescent="0.25">
      <c r="A915" s="164"/>
      <c r="B915" s="4"/>
      <c r="C915" s="4"/>
      <c r="E915" s="2"/>
      <c r="F915" s="2"/>
      <c r="G915" s="2"/>
      <c r="H915" s="2"/>
      <c r="I915" s="2"/>
      <c r="J915" s="2"/>
      <c r="K915" s="2"/>
    </row>
    <row r="916" spans="1:11" ht="15.75" customHeight="1" x14ac:dyDescent="0.25">
      <c r="A916" s="164"/>
      <c r="B916" s="4"/>
      <c r="C916" s="4"/>
      <c r="E916" s="2"/>
      <c r="F916" s="2"/>
      <c r="G916" s="2"/>
      <c r="H916" s="2"/>
      <c r="I916" s="2"/>
      <c r="J916" s="2"/>
      <c r="K916" s="2"/>
    </row>
    <row r="917" spans="1:11" ht="15.75" customHeight="1" x14ac:dyDescent="0.25">
      <c r="A917" s="164"/>
      <c r="B917" s="4"/>
      <c r="C917" s="4"/>
      <c r="E917" s="2"/>
      <c r="F917" s="2"/>
      <c r="G917" s="2"/>
      <c r="H917" s="2"/>
      <c r="I917" s="2"/>
      <c r="J917" s="2"/>
      <c r="K917" s="2"/>
    </row>
    <row r="918" spans="1:11" ht="15.75" customHeight="1" x14ac:dyDescent="0.25">
      <c r="A918" s="164"/>
      <c r="B918" s="4"/>
      <c r="C918" s="4"/>
      <c r="E918" s="2"/>
      <c r="F918" s="2"/>
      <c r="G918" s="2"/>
      <c r="H918" s="2"/>
      <c r="I918" s="2"/>
      <c r="J918" s="2"/>
      <c r="K918" s="2"/>
    </row>
    <row r="919" spans="1:11" ht="15.75" customHeight="1" x14ac:dyDescent="0.25">
      <c r="A919" s="164"/>
      <c r="B919" s="4"/>
      <c r="C919" s="4"/>
      <c r="E919" s="2"/>
      <c r="F919" s="2"/>
      <c r="G919" s="2"/>
      <c r="H919" s="2"/>
      <c r="I919" s="2"/>
      <c r="J919" s="2"/>
      <c r="K919" s="2"/>
    </row>
    <row r="920" spans="1:11" ht="15.75" customHeight="1" x14ac:dyDescent="0.25">
      <c r="A920" s="164"/>
      <c r="B920" s="4"/>
      <c r="C920" s="4"/>
      <c r="E920" s="2"/>
      <c r="F920" s="2"/>
      <c r="G920" s="2"/>
      <c r="H920" s="2"/>
      <c r="I920" s="2"/>
      <c r="J920" s="2"/>
      <c r="K920" s="2"/>
    </row>
    <row r="921" spans="1:11" ht="15.75" customHeight="1" x14ac:dyDescent="0.25">
      <c r="A921" s="164"/>
      <c r="B921" s="4"/>
      <c r="C921" s="4"/>
      <c r="E921" s="2"/>
      <c r="F921" s="2"/>
      <c r="G921" s="2"/>
      <c r="H921" s="2"/>
      <c r="I921" s="2"/>
      <c r="J921" s="2"/>
      <c r="K921" s="2"/>
    </row>
    <row r="922" spans="1:11" ht="15.75" customHeight="1" x14ac:dyDescent="0.25">
      <c r="A922" s="164"/>
      <c r="B922" s="4"/>
      <c r="C922" s="4"/>
      <c r="E922" s="2"/>
      <c r="F922" s="2"/>
      <c r="G922" s="2"/>
      <c r="H922" s="2"/>
      <c r="I922" s="2"/>
      <c r="J922" s="2"/>
      <c r="K922" s="2"/>
    </row>
    <row r="923" spans="1:11" ht="15.75" customHeight="1" x14ac:dyDescent="0.25">
      <c r="A923" s="164"/>
      <c r="B923" s="4"/>
      <c r="C923" s="4"/>
      <c r="E923" s="2"/>
      <c r="F923" s="2"/>
      <c r="G923" s="2"/>
      <c r="H923" s="2"/>
      <c r="I923" s="2"/>
      <c r="J923" s="2"/>
      <c r="K923" s="2"/>
    </row>
    <row r="924" spans="1:11" ht="15.75" customHeight="1" x14ac:dyDescent="0.25">
      <c r="A924" s="164"/>
      <c r="B924" s="4"/>
      <c r="C924" s="4"/>
      <c r="E924" s="2"/>
      <c r="F924" s="2"/>
      <c r="G924" s="2"/>
      <c r="H924" s="2"/>
      <c r="I924" s="2"/>
      <c r="J924" s="2"/>
      <c r="K924" s="2"/>
    </row>
    <row r="925" spans="1:11" ht="15.75" customHeight="1" x14ac:dyDescent="0.25">
      <c r="A925" s="164"/>
      <c r="B925" s="4"/>
      <c r="C925" s="4"/>
      <c r="E925" s="2"/>
      <c r="F925" s="2"/>
      <c r="G925" s="2"/>
      <c r="H925" s="2"/>
      <c r="I925" s="2"/>
      <c r="J925" s="2"/>
      <c r="K925" s="2"/>
    </row>
    <row r="926" spans="1:11" ht="15.75" customHeight="1" x14ac:dyDescent="0.25">
      <c r="A926" s="164"/>
      <c r="B926" s="4"/>
      <c r="C926" s="4"/>
      <c r="E926" s="2"/>
      <c r="F926" s="2"/>
      <c r="G926" s="2"/>
      <c r="H926" s="2"/>
      <c r="I926" s="2"/>
      <c r="J926" s="2"/>
      <c r="K926" s="2"/>
    </row>
    <row r="927" spans="1:11" ht="15.75" customHeight="1" x14ac:dyDescent="0.25">
      <c r="A927" s="164"/>
      <c r="B927" s="4"/>
      <c r="C927" s="4"/>
      <c r="E927" s="2"/>
      <c r="F927" s="2"/>
      <c r="G927" s="2"/>
      <c r="H927" s="2"/>
      <c r="I927" s="2"/>
      <c r="J927" s="2"/>
      <c r="K927" s="2"/>
    </row>
    <row r="928" spans="1:11" ht="15.75" customHeight="1" x14ac:dyDescent="0.25">
      <c r="A928" s="164"/>
      <c r="B928" s="4"/>
      <c r="C928" s="4"/>
      <c r="E928" s="2"/>
      <c r="F928" s="2"/>
      <c r="G928" s="2"/>
      <c r="H928" s="2"/>
      <c r="I928" s="2"/>
      <c r="J928" s="2"/>
      <c r="K928" s="2"/>
    </row>
    <row r="929" spans="1:11" ht="15.75" customHeight="1" x14ac:dyDescent="0.25">
      <c r="A929" s="164"/>
      <c r="B929" s="4"/>
      <c r="C929" s="4"/>
      <c r="E929" s="2"/>
      <c r="F929" s="2"/>
      <c r="G929" s="2"/>
      <c r="H929" s="2"/>
      <c r="I929" s="2"/>
      <c r="J929" s="2"/>
      <c r="K929" s="2"/>
    </row>
    <row r="930" spans="1:11" ht="15.75" customHeight="1" x14ac:dyDescent="0.25">
      <c r="A930" s="164"/>
      <c r="B930" s="4"/>
      <c r="C930" s="4"/>
      <c r="E930" s="2"/>
      <c r="F930" s="2"/>
      <c r="G930" s="2"/>
      <c r="H930" s="2"/>
      <c r="I930" s="2"/>
      <c r="J930" s="2"/>
      <c r="K930" s="2"/>
    </row>
    <row r="931" spans="1:11" ht="15.75" customHeight="1" x14ac:dyDescent="0.25">
      <c r="A931" s="164"/>
      <c r="B931" s="4"/>
      <c r="C931" s="4"/>
      <c r="E931" s="2"/>
      <c r="F931" s="2"/>
      <c r="G931" s="2"/>
      <c r="H931" s="2"/>
      <c r="I931" s="2"/>
      <c r="J931" s="2"/>
      <c r="K931" s="2"/>
    </row>
    <row r="932" spans="1:11" ht="15.75" customHeight="1" x14ac:dyDescent="0.25">
      <c r="A932" s="164"/>
      <c r="B932" s="4"/>
      <c r="C932" s="4"/>
      <c r="E932" s="2"/>
      <c r="F932" s="2"/>
      <c r="G932" s="2"/>
      <c r="H932" s="2"/>
      <c r="I932" s="2"/>
      <c r="J932" s="2"/>
      <c r="K932" s="2"/>
    </row>
    <row r="933" spans="1:11" ht="15.75" customHeight="1" x14ac:dyDescent="0.25">
      <c r="A933" s="164"/>
      <c r="B933" s="4"/>
      <c r="C933" s="4"/>
      <c r="E933" s="2"/>
      <c r="F933" s="2"/>
      <c r="G933" s="2"/>
      <c r="H933" s="2"/>
      <c r="I933" s="2"/>
      <c r="J933" s="2"/>
      <c r="K933" s="2"/>
    </row>
    <row r="934" spans="1:11" ht="15.75" customHeight="1" x14ac:dyDescent="0.25">
      <c r="A934" s="164"/>
      <c r="B934" s="4"/>
      <c r="C934" s="4"/>
      <c r="E934" s="2"/>
      <c r="F934" s="2"/>
      <c r="G934" s="2"/>
      <c r="H934" s="2"/>
      <c r="I934" s="2"/>
      <c r="J934" s="2"/>
      <c r="K934" s="2"/>
    </row>
    <row r="935" spans="1:11" ht="15.75" customHeight="1" x14ac:dyDescent="0.25">
      <c r="A935" s="164"/>
      <c r="B935" s="4"/>
      <c r="C935" s="4"/>
      <c r="E935" s="2"/>
      <c r="F935" s="2"/>
      <c r="G935" s="2"/>
      <c r="H935" s="2"/>
      <c r="I935" s="2"/>
      <c r="J935" s="2"/>
      <c r="K935" s="2"/>
    </row>
    <row r="936" spans="1:11" ht="15.75" customHeight="1" x14ac:dyDescent="0.25">
      <c r="A936" s="164"/>
      <c r="B936" s="4"/>
      <c r="C936" s="4"/>
      <c r="E936" s="2"/>
      <c r="F936" s="2"/>
      <c r="G936" s="2"/>
      <c r="H936" s="2"/>
      <c r="I936" s="2"/>
      <c r="J936" s="2"/>
      <c r="K936" s="2"/>
    </row>
    <row r="937" spans="1:11" ht="15.75" customHeight="1" x14ac:dyDescent="0.25">
      <c r="A937" s="164"/>
      <c r="B937" s="4"/>
      <c r="C937" s="4"/>
      <c r="E937" s="2"/>
      <c r="F937" s="2"/>
      <c r="G937" s="2"/>
      <c r="H937" s="2"/>
      <c r="I937" s="2"/>
      <c r="J937" s="2"/>
      <c r="K937" s="2"/>
    </row>
    <row r="938" spans="1:11" ht="15.75" customHeight="1" x14ac:dyDescent="0.25">
      <c r="A938" s="164"/>
      <c r="B938" s="4"/>
      <c r="C938" s="4"/>
      <c r="E938" s="2"/>
      <c r="F938" s="2"/>
      <c r="G938" s="2"/>
      <c r="H938" s="2"/>
      <c r="I938" s="2"/>
      <c r="J938" s="2"/>
      <c r="K938" s="2"/>
    </row>
    <row r="939" spans="1:11" ht="15.75" customHeight="1" x14ac:dyDescent="0.25">
      <c r="A939" s="164"/>
      <c r="B939" s="4"/>
      <c r="C939" s="4"/>
      <c r="E939" s="2"/>
      <c r="F939" s="2"/>
      <c r="G939" s="2"/>
      <c r="H939" s="2"/>
      <c r="I939" s="2"/>
      <c r="J939" s="2"/>
      <c r="K939" s="2"/>
    </row>
    <row r="940" spans="1:11" ht="15.75" customHeight="1" x14ac:dyDescent="0.25">
      <c r="A940" s="164"/>
      <c r="B940" s="4"/>
      <c r="C940" s="4"/>
      <c r="E940" s="2"/>
      <c r="F940" s="2"/>
      <c r="G940" s="2"/>
      <c r="H940" s="2"/>
      <c r="I940" s="2"/>
      <c r="J940" s="2"/>
      <c r="K940" s="2"/>
    </row>
    <row r="941" spans="1:11" ht="15.75" customHeight="1" x14ac:dyDescent="0.25">
      <c r="A941" s="164"/>
      <c r="B941" s="4"/>
      <c r="C941" s="4"/>
      <c r="E941" s="2"/>
      <c r="F941" s="2"/>
      <c r="G941" s="2"/>
      <c r="H941" s="2"/>
      <c r="I941" s="2"/>
      <c r="J941" s="2"/>
      <c r="K941" s="2"/>
    </row>
    <row r="942" spans="1:11" ht="15.75" customHeight="1" x14ac:dyDescent="0.25">
      <c r="A942" s="164"/>
      <c r="B942" s="4"/>
      <c r="C942" s="4"/>
      <c r="E942" s="2"/>
      <c r="F942" s="2"/>
      <c r="G942" s="2"/>
      <c r="H942" s="2"/>
      <c r="I942" s="2"/>
      <c r="J942" s="2"/>
      <c r="K942" s="2"/>
    </row>
    <row r="943" spans="1:11" ht="15.75" customHeight="1" x14ac:dyDescent="0.25">
      <c r="A943" s="164"/>
      <c r="B943" s="4"/>
      <c r="C943" s="4"/>
      <c r="E943" s="2"/>
      <c r="F943" s="2"/>
      <c r="G943" s="2"/>
      <c r="H943" s="2"/>
      <c r="I943" s="2"/>
      <c r="J943" s="2"/>
      <c r="K943" s="2"/>
    </row>
    <row r="944" spans="1:11" ht="15.75" customHeight="1" x14ac:dyDescent="0.25">
      <c r="A944" s="164"/>
      <c r="B944" s="4"/>
      <c r="C944" s="4"/>
      <c r="E944" s="2"/>
      <c r="F944" s="2"/>
      <c r="G944" s="2"/>
      <c r="H944" s="2"/>
      <c r="I944" s="2"/>
      <c r="J944" s="2"/>
      <c r="K944" s="2"/>
    </row>
    <row r="945" spans="1:11" ht="15.75" customHeight="1" x14ac:dyDescent="0.25">
      <c r="A945" s="164"/>
      <c r="B945" s="4"/>
      <c r="C945" s="4"/>
      <c r="E945" s="2"/>
      <c r="F945" s="2"/>
      <c r="G945" s="2"/>
      <c r="H945" s="2"/>
      <c r="I945" s="2"/>
      <c r="J945" s="2"/>
      <c r="K945" s="2"/>
    </row>
    <row r="946" spans="1:11" ht="15.75" customHeight="1" x14ac:dyDescent="0.25">
      <c r="A946" s="164"/>
      <c r="B946" s="4"/>
      <c r="C946" s="4"/>
      <c r="E946" s="2"/>
      <c r="F946" s="2"/>
      <c r="G946" s="2"/>
      <c r="H946" s="2"/>
      <c r="I946" s="2"/>
      <c r="J946" s="2"/>
      <c r="K946" s="2"/>
    </row>
    <row r="947" spans="1:11" ht="15.75" customHeight="1" x14ac:dyDescent="0.25">
      <c r="A947" s="164"/>
      <c r="B947" s="4"/>
      <c r="C947" s="4"/>
      <c r="E947" s="2"/>
      <c r="F947" s="2"/>
      <c r="G947" s="2"/>
      <c r="H947" s="2"/>
      <c r="I947" s="2"/>
      <c r="J947" s="2"/>
      <c r="K947" s="2"/>
    </row>
    <row r="948" spans="1:11" ht="15.75" customHeight="1" x14ac:dyDescent="0.25">
      <c r="A948" s="164"/>
      <c r="B948" s="4"/>
      <c r="C948" s="4"/>
      <c r="E948" s="2"/>
      <c r="F948" s="2"/>
      <c r="G948" s="2"/>
      <c r="H948" s="2"/>
      <c r="I948" s="2"/>
      <c r="J948" s="2"/>
      <c r="K948" s="2"/>
    </row>
    <row r="949" spans="1:11" ht="15.75" customHeight="1" x14ac:dyDescent="0.25">
      <c r="A949" s="164"/>
      <c r="B949" s="4"/>
      <c r="C949" s="4"/>
      <c r="E949" s="2"/>
      <c r="F949" s="2"/>
      <c r="G949" s="2"/>
      <c r="H949" s="2"/>
      <c r="I949" s="2"/>
      <c r="J949" s="2"/>
      <c r="K949" s="2"/>
    </row>
    <row r="950" spans="1:11" ht="15.75" customHeight="1" x14ac:dyDescent="0.25">
      <c r="A950" s="164"/>
      <c r="B950" s="4"/>
      <c r="C950" s="4"/>
      <c r="E950" s="2"/>
      <c r="F950" s="2"/>
      <c r="G950" s="2"/>
      <c r="H950" s="2"/>
      <c r="I950" s="2"/>
      <c r="J950" s="2"/>
      <c r="K950" s="2"/>
    </row>
    <row r="951" spans="1:11" ht="15.75" customHeight="1" x14ac:dyDescent="0.25">
      <c r="A951" s="164"/>
      <c r="B951" s="4"/>
      <c r="C951" s="4"/>
      <c r="E951" s="2"/>
      <c r="F951" s="2"/>
      <c r="G951" s="2"/>
      <c r="H951" s="2"/>
      <c r="I951" s="2"/>
      <c r="J951" s="2"/>
      <c r="K951" s="2"/>
    </row>
    <row r="952" spans="1:11" ht="15.75" customHeight="1" x14ac:dyDescent="0.25">
      <c r="A952" s="164"/>
      <c r="B952" s="4"/>
      <c r="C952" s="4"/>
      <c r="E952" s="2"/>
      <c r="F952" s="2"/>
      <c r="G952" s="2"/>
      <c r="H952" s="2"/>
      <c r="I952" s="2"/>
      <c r="J952" s="2"/>
      <c r="K952" s="2"/>
    </row>
    <row r="953" spans="1:11" ht="15.75" customHeight="1" x14ac:dyDescent="0.25">
      <c r="A953" s="164"/>
      <c r="B953" s="4"/>
      <c r="C953" s="4"/>
      <c r="E953" s="2"/>
      <c r="F953" s="2"/>
      <c r="G953" s="2"/>
      <c r="H953" s="2"/>
      <c r="I953" s="2"/>
      <c r="J953" s="2"/>
      <c r="K953" s="2"/>
    </row>
    <row r="954" spans="1:11" ht="15.75" customHeight="1" x14ac:dyDescent="0.25">
      <c r="A954" s="164"/>
      <c r="B954" s="4"/>
      <c r="C954" s="4"/>
      <c r="E954" s="2"/>
      <c r="F954" s="2"/>
      <c r="G954" s="2"/>
      <c r="H954" s="2"/>
      <c r="I954" s="2"/>
      <c r="J954" s="2"/>
      <c r="K954" s="2"/>
    </row>
    <row r="955" spans="1:11" ht="15.75" customHeight="1" x14ac:dyDescent="0.25">
      <c r="A955" s="164"/>
      <c r="B955" s="4"/>
      <c r="C955" s="4"/>
      <c r="E955" s="2"/>
      <c r="F955" s="2"/>
      <c r="G955" s="2"/>
      <c r="H955" s="2"/>
      <c r="I955" s="2"/>
      <c r="J955" s="2"/>
      <c r="K955" s="2"/>
    </row>
    <row r="956" spans="1:11" ht="15.75" customHeight="1" x14ac:dyDescent="0.25">
      <c r="A956" s="164"/>
      <c r="B956" s="4"/>
      <c r="C956" s="4"/>
      <c r="E956" s="2"/>
      <c r="F956" s="2"/>
      <c r="G956" s="2"/>
      <c r="H956" s="2"/>
      <c r="I956" s="2"/>
      <c r="J956" s="2"/>
      <c r="K956" s="2"/>
    </row>
    <row r="957" spans="1:11" ht="15.75" customHeight="1" x14ac:dyDescent="0.25">
      <c r="A957" s="164"/>
      <c r="B957" s="4"/>
      <c r="C957" s="4"/>
      <c r="E957" s="2"/>
      <c r="F957" s="2"/>
      <c r="G957" s="2"/>
      <c r="H957" s="2"/>
      <c r="I957" s="2"/>
      <c r="J957" s="2"/>
      <c r="K957" s="2"/>
    </row>
    <row r="958" spans="1:11" ht="15.75" customHeight="1" x14ac:dyDescent="0.25">
      <c r="A958" s="164"/>
      <c r="B958" s="4"/>
      <c r="C958" s="4"/>
      <c r="E958" s="2"/>
      <c r="F958" s="2"/>
      <c r="G958" s="2"/>
      <c r="H958" s="2"/>
      <c r="I958" s="2"/>
      <c r="J958" s="2"/>
      <c r="K958" s="2"/>
    </row>
    <row r="959" spans="1:11" ht="15.75" customHeight="1" x14ac:dyDescent="0.25">
      <c r="A959" s="164"/>
      <c r="B959" s="4"/>
      <c r="C959" s="4"/>
      <c r="E959" s="2"/>
      <c r="F959" s="2"/>
      <c r="G959" s="2"/>
      <c r="H959" s="2"/>
      <c r="I959" s="2"/>
      <c r="J959" s="2"/>
      <c r="K959" s="2"/>
    </row>
    <row r="960" spans="1:11" ht="15.75" customHeight="1" x14ac:dyDescent="0.25">
      <c r="A960" s="164"/>
      <c r="B960" s="4"/>
      <c r="C960" s="4"/>
      <c r="E960" s="2"/>
      <c r="F960" s="2"/>
      <c r="G960" s="2"/>
      <c r="H960" s="2"/>
      <c r="I960" s="2"/>
      <c r="J960" s="2"/>
      <c r="K960" s="2"/>
    </row>
    <row r="961" spans="1:11" ht="15.75" customHeight="1" x14ac:dyDescent="0.25">
      <c r="A961" s="164"/>
      <c r="B961" s="4"/>
      <c r="C961" s="4"/>
      <c r="E961" s="2"/>
      <c r="F961" s="2"/>
      <c r="G961" s="2"/>
      <c r="H961" s="2"/>
      <c r="I961" s="2"/>
      <c r="J961" s="2"/>
      <c r="K961" s="2"/>
    </row>
    <row r="962" spans="1:11" ht="15.75" customHeight="1" x14ac:dyDescent="0.25">
      <c r="A962" s="164"/>
      <c r="B962" s="4"/>
      <c r="C962" s="4"/>
      <c r="E962" s="2"/>
      <c r="F962" s="2"/>
      <c r="G962" s="2"/>
      <c r="H962" s="2"/>
      <c r="I962" s="2"/>
      <c r="J962" s="2"/>
      <c r="K962" s="2"/>
    </row>
    <row r="963" spans="1:11" ht="15.75" customHeight="1" x14ac:dyDescent="0.25">
      <c r="A963" s="164"/>
      <c r="B963" s="4"/>
      <c r="C963" s="4"/>
      <c r="E963" s="2"/>
      <c r="F963" s="2"/>
      <c r="G963" s="2"/>
      <c r="H963" s="2"/>
      <c r="I963" s="2"/>
      <c r="J963" s="2"/>
      <c r="K963" s="2"/>
    </row>
    <row r="964" spans="1:11" ht="15.75" customHeight="1" x14ac:dyDescent="0.25">
      <c r="A964" s="164"/>
      <c r="B964" s="4"/>
      <c r="C964" s="4"/>
      <c r="E964" s="2"/>
      <c r="F964" s="2"/>
      <c r="G964" s="2"/>
      <c r="H964" s="2"/>
      <c r="I964" s="2"/>
      <c r="J964" s="2"/>
      <c r="K964" s="2"/>
    </row>
    <row r="965" spans="1:11" ht="15.75" customHeight="1" x14ac:dyDescent="0.25">
      <c r="A965" s="164"/>
      <c r="B965" s="4"/>
      <c r="C965" s="4"/>
      <c r="E965" s="2"/>
      <c r="F965" s="2"/>
      <c r="G965" s="2"/>
      <c r="H965" s="2"/>
      <c r="I965" s="2"/>
      <c r="J965" s="2"/>
      <c r="K965" s="2"/>
    </row>
    <row r="966" spans="1:11" ht="15.75" customHeight="1" x14ac:dyDescent="0.25">
      <c r="A966" s="164"/>
      <c r="B966" s="4"/>
      <c r="C966" s="4"/>
      <c r="E966" s="2"/>
      <c r="F966" s="2"/>
      <c r="G966" s="2"/>
      <c r="H966" s="2"/>
      <c r="I966" s="2"/>
      <c r="J966" s="2"/>
      <c r="K966" s="2"/>
    </row>
    <row r="967" spans="1:11" ht="15.75" customHeight="1" x14ac:dyDescent="0.25">
      <c r="A967" s="164"/>
      <c r="B967" s="4"/>
      <c r="C967" s="4"/>
      <c r="E967" s="2"/>
      <c r="F967" s="2"/>
      <c r="G967" s="2"/>
      <c r="H967" s="2"/>
      <c r="I967" s="2"/>
      <c r="J967" s="2"/>
      <c r="K967" s="2"/>
    </row>
    <row r="968" spans="1:11" ht="15.75" customHeight="1" x14ac:dyDescent="0.25">
      <c r="A968" s="164"/>
      <c r="B968" s="4"/>
      <c r="C968" s="4"/>
      <c r="E968" s="2"/>
      <c r="F968" s="2"/>
      <c r="G968" s="2"/>
      <c r="H968" s="2"/>
      <c r="I968" s="2"/>
      <c r="J968" s="2"/>
      <c r="K968" s="2"/>
    </row>
    <row r="969" spans="1:11" ht="15.75" customHeight="1" x14ac:dyDescent="0.25">
      <c r="A969" s="164"/>
      <c r="B969" s="4"/>
      <c r="C969" s="4"/>
      <c r="E969" s="2"/>
      <c r="F969" s="2"/>
      <c r="G969" s="2"/>
      <c r="H969" s="2"/>
      <c r="I969" s="2"/>
      <c r="J969" s="2"/>
      <c r="K969" s="2"/>
    </row>
    <row r="970" spans="1:11" ht="15.75" customHeight="1" x14ac:dyDescent="0.25">
      <c r="A970" s="164"/>
      <c r="B970" s="4"/>
      <c r="C970" s="4"/>
      <c r="E970" s="2"/>
      <c r="F970" s="2"/>
      <c r="G970" s="2"/>
      <c r="H970" s="2"/>
      <c r="I970" s="2"/>
      <c r="J970" s="2"/>
      <c r="K970" s="2"/>
    </row>
    <row r="971" spans="1:11" ht="15.75" customHeight="1" x14ac:dyDescent="0.25">
      <c r="A971" s="164"/>
      <c r="B971" s="4"/>
      <c r="C971" s="4"/>
      <c r="E971" s="2"/>
      <c r="F971" s="2"/>
      <c r="G971" s="2"/>
      <c r="H971" s="2"/>
      <c r="I971" s="2"/>
      <c r="J971" s="2"/>
      <c r="K971" s="2"/>
    </row>
    <row r="972" spans="1:11" ht="15.75" customHeight="1" x14ac:dyDescent="0.25">
      <c r="A972" s="164"/>
      <c r="B972" s="4"/>
      <c r="C972" s="4"/>
      <c r="E972" s="2"/>
      <c r="F972" s="2"/>
      <c r="G972" s="2"/>
      <c r="H972" s="2"/>
      <c r="I972" s="2"/>
      <c r="J972" s="2"/>
      <c r="K972" s="2"/>
    </row>
    <row r="973" spans="1:11" ht="15.75" customHeight="1" x14ac:dyDescent="0.25">
      <c r="A973" s="164"/>
      <c r="B973" s="4"/>
      <c r="C973" s="4"/>
      <c r="E973" s="2"/>
      <c r="F973" s="2"/>
      <c r="G973" s="2"/>
      <c r="H973" s="2"/>
      <c r="I973" s="2"/>
      <c r="J973" s="2"/>
      <c r="K973" s="2"/>
    </row>
    <row r="974" spans="1:11" ht="15.75" customHeight="1" x14ac:dyDescent="0.25">
      <c r="A974" s="164"/>
      <c r="B974" s="4"/>
      <c r="C974" s="4"/>
      <c r="E974" s="2"/>
      <c r="F974" s="2"/>
      <c r="G974" s="2"/>
      <c r="H974" s="2"/>
      <c r="I974" s="2"/>
      <c r="J974" s="2"/>
      <c r="K974" s="2"/>
    </row>
    <row r="975" spans="1:11" ht="15.75" customHeight="1" x14ac:dyDescent="0.25">
      <c r="A975" s="164"/>
      <c r="B975" s="4"/>
      <c r="C975" s="4"/>
      <c r="E975" s="2"/>
      <c r="F975" s="2"/>
      <c r="G975" s="2"/>
      <c r="H975" s="2"/>
      <c r="I975" s="2"/>
      <c r="J975" s="2"/>
      <c r="K975" s="2"/>
    </row>
    <row r="976" spans="1:11" ht="15.75" customHeight="1" x14ac:dyDescent="0.25">
      <c r="A976" s="164"/>
      <c r="B976" s="4"/>
      <c r="C976" s="4"/>
      <c r="E976" s="2"/>
      <c r="F976" s="2"/>
      <c r="G976" s="2"/>
      <c r="H976" s="2"/>
      <c r="I976" s="2"/>
      <c r="J976" s="2"/>
      <c r="K976" s="2"/>
    </row>
    <row r="977" spans="1:11" ht="15.75" customHeight="1" x14ac:dyDescent="0.25">
      <c r="A977" s="164"/>
      <c r="B977" s="4"/>
      <c r="C977" s="4"/>
      <c r="E977" s="2"/>
      <c r="F977" s="2"/>
      <c r="G977" s="2"/>
      <c r="H977" s="2"/>
      <c r="I977" s="2"/>
      <c r="J977" s="2"/>
      <c r="K977" s="2"/>
    </row>
    <row r="978" spans="1:11" ht="15.75" customHeight="1" x14ac:dyDescent="0.25">
      <c r="A978" s="164"/>
      <c r="B978" s="4"/>
      <c r="C978" s="4"/>
      <c r="E978" s="2"/>
      <c r="F978" s="2"/>
      <c r="G978" s="2"/>
      <c r="H978" s="2"/>
      <c r="I978" s="2"/>
      <c r="J978" s="2"/>
      <c r="K978" s="2"/>
    </row>
    <row r="979" spans="1:11" ht="15.75" customHeight="1" x14ac:dyDescent="0.25">
      <c r="A979" s="164"/>
      <c r="B979" s="4"/>
      <c r="C979" s="4"/>
      <c r="E979" s="2"/>
      <c r="F979" s="2"/>
      <c r="G979" s="2"/>
      <c r="H979" s="2"/>
      <c r="I979" s="2"/>
      <c r="J979" s="2"/>
      <c r="K979" s="2"/>
    </row>
    <row r="980" spans="1:11" ht="15.75" customHeight="1" x14ac:dyDescent="0.25">
      <c r="A980" s="164"/>
      <c r="B980" s="4"/>
      <c r="C980" s="4"/>
      <c r="E980" s="2"/>
      <c r="F980" s="2"/>
      <c r="G980" s="2"/>
      <c r="H980" s="2"/>
      <c r="I980" s="2"/>
      <c r="J980" s="2"/>
      <c r="K980" s="2"/>
    </row>
    <row r="981" spans="1:11" ht="15.75" customHeight="1" x14ac:dyDescent="0.25">
      <c r="A981" s="164"/>
      <c r="B981" s="4"/>
      <c r="C981" s="4"/>
      <c r="E981" s="2"/>
      <c r="F981" s="2"/>
      <c r="G981" s="2"/>
      <c r="H981" s="2"/>
      <c r="I981" s="2"/>
      <c r="J981" s="2"/>
      <c r="K981" s="2"/>
    </row>
    <row r="982" spans="1:11" ht="15.75" customHeight="1" x14ac:dyDescent="0.25">
      <c r="A982" s="164"/>
      <c r="B982" s="4"/>
      <c r="C982" s="4"/>
      <c r="E982" s="2"/>
      <c r="F982" s="2"/>
      <c r="G982" s="2"/>
      <c r="H982" s="2"/>
      <c r="I982" s="2"/>
      <c r="J982" s="2"/>
      <c r="K982" s="2"/>
    </row>
    <row r="983" spans="1:11" ht="15.75" customHeight="1" x14ac:dyDescent="0.25">
      <c r="A983" s="164"/>
      <c r="B983" s="4"/>
      <c r="C983" s="4"/>
      <c r="E983" s="2"/>
      <c r="F983" s="2"/>
      <c r="G983" s="2"/>
      <c r="H983" s="2"/>
      <c r="I983" s="2"/>
      <c r="J983" s="2"/>
      <c r="K983" s="2"/>
    </row>
    <row r="984" spans="1:11" ht="15.75" customHeight="1" x14ac:dyDescent="0.25">
      <c r="A984" s="164"/>
      <c r="B984" s="4"/>
      <c r="C984" s="4"/>
      <c r="E984" s="2"/>
      <c r="F984" s="2"/>
      <c r="G984" s="2"/>
      <c r="H984" s="2"/>
      <c r="I984" s="2"/>
      <c r="J984" s="2"/>
      <c r="K984" s="2"/>
    </row>
    <row r="985" spans="1:11" ht="15.75" customHeight="1" x14ac:dyDescent="0.25">
      <c r="A985" s="164"/>
      <c r="B985" s="4"/>
      <c r="C985" s="4"/>
      <c r="E985" s="2"/>
      <c r="F985" s="2"/>
      <c r="G985" s="2"/>
      <c r="H985" s="2"/>
      <c r="I985" s="2"/>
      <c r="J985" s="2"/>
      <c r="K985" s="2"/>
    </row>
    <row r="986" spans="1:11" ht="15.75" customHeight="1" x14ac:dyDescent="0.25">
      <c r="A986" s="164"/>
      <c r="B986" s="4"/>
      <c r="C986" s="4"/>
      <c r="E986" s="2"/>
      <c r="F986" s="2"/>
      <c r="G986" s="2"/>
      <c r="H986" s="2"/>
      <c r="I986" s="2"/>
      <c r="J986" s="2"/>
      <c r="K986" s="2"/>
    </row>
    <row r="987" spans="1:11" ht="15.75" customHeight="1" x14ac:dyDescent="0.25">
      <c r="A987" s="164"/>
      <c r="B987" s="4"/>
      <c r="C987" s="4"/>
      <c r="E987" s="2"/>
      <c r="F987" s="2"/>
      <c r="G987" s="2"/>
      <c r="H987" s="2"/>
      <c r="I987" s="2"/>
      <c r="J987" s="2"/>
      <c r="K987" s="2"/>
    </row>
    <row r="988" spans="1:11" ht="15.75" customHeight="1" x14ac:dyDescent="0.25">
      <c r="A988" s="164"/>
      <c r="B988" s="4"/>
      <c r="C988" s="4"/>
      <c r="E988" s="2"/>
      <c r="F988" s="2"/>
      <c r="G988" s="2"/>
      <c r="H988" s="2"/>
      <c r="I988" s="2"/>
      <c r="J988" s="2"/>
      <c r="K988" s="2"/>
    </row>
    <row r="989" spans="1:11" ht="15.75" customHeight="1" x14ac:dyDescent="0.25">
      <c r="A989" s="164"/>
      <c r="B989" s="4"/>
      <c r="C989" s="4"/>
      <c r="E989" s="2"/>
      <c r="F989" s="2"/>
      <c r="G989" s="2"/>
      <c r="H989" s="2"/>
      <c r="I989" s="2"/>
      <c r="J989" s="2"/>
      <c r="K989" s="2"/>
    </row>
    <row r="990" spans="1:11" ht="15.75" customHeight="1" x14ac:dyDescent="0.25">
      <c r="A990" s="164"/>
      <c r="B990" s="4"/>
      <c r="C990" s="4"/>
      <c r="E990" s="2"/>
      <c r="F990" s="2"/>
      <c r="G990" s="2"/>
      <c r="H990" s="2"/>
      <c r="I990" s="2"/>
      <c r="J990" s="2"/>
      <c r="K990" s="2"/>
    </row>
    <row r="991" spans="1:11" ht="15.75" customHeight="1" x14ac:dyDescent="0.25">
      <c r="A991" s="164"/>
      <c r="B991" s="4"/>
      <c r="C991" s="4"/>
      <c r="E991" s="2"/>
      <c r="F991" s="2"/>
      <c r="G991" s="2"/>
      <c r="H991" s="2"/>
      <c r="I991" s="2"/>
      <c r="J991" s="2"/>
      <c r="K991" s="2"/>
    </row>
    <row r="992" spans="1:11" ht="15.75" customHeight="1" x14ac:dyDescent="0.25">
      <c r="A992" s="164"/>
      <c r="B992" s="4"/>
      <c r="C992" s="4"/>
      <c r="E992" s="2"/>
      <c r="F992" s="2"/>
      <c r="G992" s="2"/>
      <c r="H992" s="2"/>
      <c r="I992" s="2"/>
      <c r="J992" s="2"/>
      <c r="K992" s="2"/>
    </row>
    <row r="993" spans="1:11" ht="15.75" customHeight="1" x14ac:dyDescent="0.25">
      <c r="A993" s="164"/>
      <c r="B993" s="4"/>
      <c r="C993" s="4"/>
      <c r="E993" s="2"/>
      <c r="F993" s="2"/>
      <c r="G993" s="2"/>
      <c r="H993" s="2"/>
      <c r="I993" s="2"/>
      <c r="J993" s="2"/>
      <c r="K993" s="2"/>
    </row>
    <row r="994" spans="1:11" ht="15.75" customHeight="1" x14ac:dyDescent="0.25">
      <c r="A994" s="164"/>
      <c r="B994" s="4"/>
      <c r="C994" s="4"/>
      <c r="E994" s="2"/>
      <c r="F994" s="2"/>
      <c r="G994" s="2"/>
      <c r="H994" s="2"/>
      <c r="I994" s="2"/>
      <c r="J994" s="2"/>
      <c r="K994" s="2"/>
    </row>
    <row r="995" spans="1:11" ht="15.75" customHeight="1" x14ac:dyDescent="0.25">
      <c r="A995" s="164"/>
      <c r="B995" s="4"/>
      <c r="C995" s="4"/>
      <c r="E995" s="2"/>
      <c r="F995" s="2"/>
      <c r="G995" s="2"/>
      <c r="H995" s="2"/>
      <c r="I995" s="2"/>
      <c r="J995" s="2"/>
      <c r="K995" s="2"/>
    </row>
    <row r="996" spans="1:11" ht="15.75" customHeight="1" x14ac:dyDescent="0.25">
      <c r="A996" s="164"/>
      <c r="B996" s="4"/>
      <c r="C996" s="4"/>
      <c r="E996" s="2"/>
      <c r="F996" s="2"/>
      <c r="G996" s="2"/>
      <c r="H996" s="2"/>
      <c r="I996" s="2"/>
      <c r="J996" s="2"/>
      <c r="K996" s="2"/>
    </row>
    <row r="997" spans="1:11" ht="15.75" customHeight="1" x14ac:dyDescent="0.25">
      <c r="A997" s="164"/>
      <c r="B997" s="4"/>
      <c r="C997" s="4"/>
      <c r="E997" s="2"/>
      <c r="F997" s="2"/>
      <c r="G997" s="2"/>
      <c r="H997" s="2"/>
      <c r="I997" s="2"/>
      <c r="J997" s="2"/>
      <c r="K997" s="2"/>
    </row>
    <row r="998" spans="1:11" ht="15.75" customHeight="1" x14ac:dyDescent="0.25">
      <c r="A998" s="164"/>
      <c r="B998" s="4"/>
      <c r="C998" s="4"/>
      <c r="E998" s="2"/>
      <c r="F998" s="2"/>
      <c r="G998" s="2"/>
      <c r="H998" s="2"/>
      <c r="I998" s="2"/>
      <c r="J998" s="2"/>
      <c r="K998" s="2"/>
    </row>
    <row r="999" spans="1:11" ht="15.75" customHeight="1" x14ac:dyDescent="0.25">
      <c r="A999" s="164"/>
      <c r="B999" s="4"/>
      <c r="C999" s="4"/>
      <c r="E999" s="2"/>
      <c r="F999" s="2"/>
      <c r="G999" s="2"/>
      <c r="H999" s="2"/>
      <c r="I999" s="2"/>
      <c r="J999" s="2"/>
      <c r="K999" s="2"/>
    </row>
    <row r="1000" spans="1:11" ht="15.75" customHeight="1" x14ac:dyDescent="0.25">
      <c r="A1000" s="164"/>
      <c r="B1000" s="4"/>
      <c r="C1000" s="4"/>
      <c r="E1000" s="2"/>
      <c r="F1000" s="2"/>
      <c r="G1000" s="2"/>
      <c r="H1000" s="2"/>
      <c r="I1000" s="2"/>
      <c r="J1000" s="2"/>
      <c r="K1000" s="2"/>
    </row>
  </sheetData>
  <mergeCells count="688">
    <mergeCell ref="J16:J17"/>
    <mergeCell ref="K16:K17"/>
    <mergeCell ref="B7:C7"/>
    <mergeCell ref="B8:C8"/>
    <mergeCell ref="A3:K3"/>
    <mergeCell ref="A4:K4"/>
    <mergeCell ref="B5:C5"/>
    <mergeCell ref="D5:K5"/>
    <mergeCell ref="B6:C6"/>
    <mergeCell ref="D6:K6"/>
    <mergeCell ref="D7:K7"/>
    <mergeCell ref="D8:K8"/>
    <mergeCell ref="E12:E13"/>
    <mergeCell ref="F12:F13"/>
    <mergeCell ref="I12:I13"/>
    <mergeCell ref="J12:J13"/>
    <mergeCell ref="N8:T10"/>
    <mergeCell ref="A9:K9"/>
    <mergeCell ref="B10:C10"/>
    <mergeCell ref="A11:C11"/>
    <mergeCell ref="A12:A13"/>
    <mergeCell ref="K12:K13"/>
    <mergeCell ref="B15:C15"/>
    <mergeCell ref="B16:C16"/>
    <mergeCell ref="A14:A15"/>
    <mergeCell ref="A16:A17"/>
    <mergeCell ref="E14:E15"/>
    <mergeCell ref="F14:F15"/>
    <mergeCell ref="E16:E17"/>
    <mergeCell ref="F16:F17"/>
    <mergeCell ref="G12:G13"/>
    <mergeCell ref="H12:H13"/>
    <mergeCell ref="G14:G15"/>
    <mergeCell ref="H14:H15"/>
    <mergeCell ref="G16:G17"/>
    <mergeCell ref="H16:H17"/>
    <mergeCell ref="I14:I15"/>
    <mergeCell ref="J14:J15"/>
    <mergeCell ref="K14:K15"/>
    <mergeCell ref="I16:I17"/>
    <mergeCell ref="I18:I19"/>
    <mergeCell ref="J18:J19"/>
    <mergeCell ref="K18:K19"/>
    <mergeCell ref="A18:A19"/>
    <mergeCell ref="B18:C18"/>
    <mergeCell ref="D18:D19"/>
    <mergeCell ref="E18:E19"/>
    <mergeCell ref="F18:F19"/>
    <mergeCell ref="G18:G19"/>
    <mergeCell ref="H18:H19"/>
    <mergeCell ref="B19:C19"/>
    <mergeCell ref="B30:C30"/>
    <mergeCell ref="D30:D31"/>
    <mergeCell ref="E30:E31"/>
    <mergeCell ref="F30:F31"/>
    <mergeCell ref="G30:G31"/>
    <mergeCell ref="H30:H31"/>
    <mergeCell ref="B31:C31"/>
    <mergeCell ref="A32:C32"/>
    <mergeCell ref="B20:C20"/>
    <mergeCell ref="E20:E21"/>
    <mergeCell ref="F20:F21"/>
    <mergeCell ref="G20:G21"/>
    <mergeCell ref="H20:H21"/>
    <mergeCell ref="B21:C21"/>
    <mergeCell ref="B22:C22"/>
    <mergeCell ref="B23:C23"/>
    <mergeCell ref="B24:C24"/>
    <mergeCell ref="D24:D25"/>
    <mergeCell ref="E24:E25"/>
    <mergeCell ref="F24:F25"/>
    <mergeCell ref="G24:G25"/>
    <mergeCell ref="H24:H25"/>
    <mergeCell ref="B25:C25"/>
    <mergeCell ref="A30:A31"/>
    <mergeCell ref="B33:C33"/>
    <mergeCell ref="D33:D34"/>
    <mergeCell ref="E33:E34"/>
    <mergeCell ref="F33:F34"/>
    <mergeCell ref="G33:G34"/>
    <mergeCell ref="B36:C36"/>
    <mergeCell ref="B37:C37"/>
    <mergeCell ref="B34:C34"/>
    <mergeCell ref="B35:C35"/>
    <mergeCell ref="D35:D36"/>
    <mergeCell ref="E35:E36"/>
    <mergeCell ref="F35:F36"/>
    <mergeCell ref="G35:G36"/>
    <mergeCell ref="J37:J38"/>
    <mergeCell ref="K37:K38"/>
    <mergeCell ref="I35:I36"/>
    <mergeCell ref="J35:J36"/>
    <mergeCell ref="K35:K36"/>
    <mergeCell ref="D37:D38"/>
    <mergeCell ref="E37:E38"/>
    <mergeCell ref="F37:F38"/>
    <mergeCell ref="G37:G38"/>
    <mergeCell ref="J58:J59"/>
    <mergeCell ref="D54:D55"/>
    <mergeCell ref="E54:E55"/>
    <mergeCell ref="F54:F55"/>
    <mergeCell ref="G54:G55"/>
    <mergeCell ref="I41:I42"/>
    <mergeCell ref="J41:J42"/>
    <mergeCell ref="I39:I40"/>
    <mergeCell ref="J39:J40"/>
    <mergeCell ref="D41:D42"/>
    <mergeCell ref="E41:E42"/>
    <mergeCell ref="F41:F42"/>
    <mergeCell ref="G39:G40"/>
    <mergeCell ref="H39:H40"/>
    <mergeCell ref="D39:D40"/>
    <mergeCell ref="E39:E40"/>
    <mergeCell ref="F39:F40"/>
    <mergeCell ref="I45:I46"/>
    <mergeCell ref="J45:J46"/>
    <mergeCell ref="I49:I50"/>
    <mergeCell ref="J49:J50"/>
    <mergeCell ref="H54:H55"/>
    <mergeCell ref="I54:I55"/>
    <mergeCell ref="J54:J55"/>
    <mergeCell ref="K58:K59"/>
    <mergeCell ref="B57:C57"/>
    <mergeCell ref="B58:C58"/>
    <mergeCell ref="D58:D59"/>
    <mergeCell ref="E58:E59"/>
    <mergeCell ref="F58:F59"/>
    <mergeCell ref="G58:G59"/>
    <mergeCell ref="H58:H59"/>
    <mergeCell ref="I60:I61"/>
    <mergeCell ref="J60:J61"/>
    <mergeCell ref="K60:K61"/>
    <mergeCell ref="B59:C59"/>
    <mergeCell ref="B60:C60"/>
    <mergeCell ref="D60:D61"/>
    <mergeCell ref="E60:E61"/>
    <mergeCell ref="F60:F61"/>
    <mergeCell ref="G60:G61"/>
    <mergeCell ref="H60:H61"/>
    <mergeCell ref="D56:D57"/>
    <mergeCell ref="E56:E57"/>
    <mergeCell ref="F56:F57"/>
    <mergeCell ref="G56:G57"/>
    <mergeCell ref="H56:H57"/>
    <mergeCell ref="I58:I59"/>
    <mergeCell ref="I62:I63"/>
    <mergeCell ref="J62:J63"/>
    <mergeCell ref="K62:K63"/>
    <mergeCell ref="I64:I65"/>
    <mergeCell ref="J64:J65"/>
    <mergeCell ref="K64:K65"/>
    <mergeCell ref="B61:C61"/>
    <mergeCell ref="B62:C62"/>
    <mergeCell ref="D62:D63"/>
    <mergeCell ref="E62:E63"/>
    <mergeCell ref="F62:F63"/>
    <mergeCell ref="G62:G63"/>
    <mergeCell ref="H62:H63"/>
    <mergeCell ref="B63:C63"/>
    <mergeCell ref="B64:C64"/>
    <mergeCell ref="D64:D65"/>
    <mergeCell ref="E64:E65"/>
    <mergeCell ref="F64:F65"/>
    <mergeCell ref="G64:G65"/>
    <mergeCell ref="H64:H65"/>
    <mergeCell ref="D72:D73"/>
    <mergeCell ref="B73:C73"/>
    <mergeCell ref="I66:I67"/>
    <mergeCell ref="J66:J67"/>
    <mergeCell ref="K66:K67"/>
    <mergeCell ref="B65:C65"/>
    <mergeCell ref="B66:C66"/>
    <mergeCell ref="D66:D67"/>
    <mergeCell ref="E66:E67"/>
    <mergeCell ref="F66:F67"/>
    <mergeCell ref="G66:G67"/>
    <mergeCell ref="H66:H67"/>
    <mergeCell ref="I68:I69"/>
    <mergeCell ref="J68:J69"/>
    <mergeCell ref="K68:K69"/>
    <mergeCell ref="I70:I71"/>
    <mergeCell ref="J70:J71"/>
    <mergeCell ref="K70:K71"/>
    <mergeCell ref="B71:C71"/>
    <mergeCell ref="B72:C72"/>
    <mergeCell ref="B67:C67"/>
    <mergeCell ref="B68:C68"/>
    <mergeCell ref="D68:D69"/>
    <mergeCell ref="E68:E69"/>
    <mergeCell ref="F68:F69"/>
    <mergeCell ref="G68:G69"/>
    <mergeCell ref="H68:H69"/>
    <mergeCell ref="B69:C69"/>
    <mergeCell ref="B70:C70"/>
    <mergeCell ref="D70:D71"/>
    <mergeCell ref="E70:E71"/>
    <mergeCell ref="F70:F71"/>
    <mergeCell ref="G70:G71"/>
    <mergeCell ref="H70:H71"/>
    <mergeCell ref="E72:E73"/>
    <mergeCell ref="F72:F73"/>
    <mergeCell ref="G72:G73"/>
    <mergeCell ref="H72:H73"/>
    <mergeCell ref="I72:I73"/>
    <mergeCell ref="J72:J73"/>
    <mergeCell ref="K72:K73"/>
    <mergeCell ref="G75:G76"/>
    <mergeCell ref="H75:H76"/>
    <mergeCell ref="I75:I76"/>
    <mergeCell ref="J75:J76"/>
    <mergeCell ref="K75:K76"/>
    <mergeCell ref="K77:K78"/>
    <mergeCell ref="I79:I80"/>
    <mergeCell ref="J79:J80"/>
    <mergeCell ref="K79:K80"/>
    <mergeCell ref="B76:C76"/>
    <mergeCell ref="B77:C77"/>
    <mergeCell ref="D77:D78"/>
    <mergeCell ref="E77:E78"/>
    <mergeCell ref="F77:F78"/>
    <mergeCell ref="G77:G78"/>
    <mergeCell ref="H77:H78"/>
    <mergeCell ref="B78:C78"/>
    <mergeCell ref="B79:C79"/>
    <mergeCell ref="D79:D80"/>
    <mergeCell ref="E79:E80"/>
    <mergeCell ref="F79:F80"/>
    <mergeCell ref="G79:G80"/>
    <mergeCell ref="H79:H80"/>
    <mergeCell ref="D75:D76"/>
    <mergeCell ref="E75:E76"/>
    <mergeCell ref="F75:F76"/>
    <mergeCell ref="I77:I78"/>
    <mergeCell ref="J77:J78"/>
    <mergeCell ref="D87:D88"/>
    <mergeCell ref="B88:C88"/>
    <mergeCell ref="I81:I82"/>
    <mergeCell ref="J81:J82"/>
    <mergeCell ref="K81:K82"/>
    <mergeCell ref="B80:C80"/>
    <mergeCell ref="B81:C81"/>
    <mergeCell ref="D81:D82"/>
    <mergeCell ref="E81:E82"/>
    <mergeCell ref="F81:F82"/>
    <mergeCell ref="G81:G82"/>
    <mergeCell ref="H81:H82"/>
    <mergeCell ref="I83:I84"/>
    <mergeCell ref="J83:J84"/>
    <mergeCell ref="K83:K84"/>
    <mergeCell ref="I85:I86"/>
    <mergeCell ref="J85:J86"/>
    <mergeCell ref="K85:K86"/>
    <mergeCell ref="B86:C86"/>
    <mergeCell ref="B87:C87"/>
    <mergeCell ref="B82:C82"/>
    <mergeCell ref="B83:C83"/>
    <mergeCell ref="D83:D84"/>
    <mergeCell ref="E83:E84"/>
    <mergeCell ref="F83:F84"/>
    <mergeCell ref="G83:G84"/>
    <mergeCell ref="H83:H84"/>
    <mergeCell ref="B84:C84"/>
    <mergeCell ref="B85:C85"/>
    <mergeCell ref="D85:D86"/>
    <mergeCell ref="E85:E86"/>
    <mergeCell ref="F85:F86"/>
    <mergeCell ref="G85:G86"/>
    <mergeCell ref="H85:H86"/>
    <mergeCell ref="E87:E88"/>
    <mergeCell ref="F87:F88"/>
    <mergeCell ref="G87:G88"/>
    <mergeCell ref="H87:H88"/>
    <mergeCell ref="I87:I88"/>
    <mergeCell ref="J87:J88"/>
    <mergeCell ref="K87:K88"/>
    <mergeCell ref="H89:H90"/>
    <mergeCell ref="I89:I90"/>
    <mergeCell ref="J89:J90"/>
    <mergeCell ref="K89:K90"/>
    <mergeCell ref="K91:K92"/>
    <mergeCell ref="I93:I94"/>
    <mergeCell ref="J93:J94"/>
    <mergeCell ref="K93:K94"/>
    <mergeCell ref="B90:C90"/>
    <mergeCell ref="B91:C91"/>
    <mergeCell ref="D91:D92"/>
    <mergeCell ref="E91:E92"/>
    <mergeCell ref="F91:F92"/>
    <mergeCell ref="G91:G92"/>
    <mergeCell ref="H91:H92"/>
    <mergeCell ref="B92:C92"/>
    <mergeCell ref="B93:C93"/>
    <mergeCell ref="D93:D94"/>
    <mergeCell ref="E93:E94"/>
    <mergeCell ref="F93:F94"/>
    <mergeCell ref="G93:G94"/>
    <mergeCell ref="H93:H94"/>
    <mergeCell ref="D89:D90"/>
    <mergeCell ref="E89:E90"/>
    <mergeCell ref="F89:F90"/>
    <mergeCell ref="G89:G90"/>
    <mergeCell ref="I91:I92"/>
    <mergeCell ref="J91:J92"/>
    <mergeCell ref="H96:H97"/>
    <mergeCell ref="D102:D103"/>
    <mergeCell ref="B103:C103"/>
    <mergeCell ref="I96:I97"/>
    <mergeCell ref="J96:J97"/>
    <mergeCell ref="K96:K97"/>
    <mergeCell ref="B94:C94"/>
    <mergeCell ref="A95:C95"/>
    <mergeCell ref="B96:C96"/>
    <mergeCell ref="D96:D97"/>
    <mergeCell ref="E96:E97"/>
    <mergeCell ref="F96:F97"/>
    <mergeCell ref="G96:G97"/>
    <mergeCell ref="D98:D99"/>
    <mergeCell ref="E98:E99"/>
    <mergeCell ref="F98:F99"/>
    <mergeCell ref="G98:G99"/>
    <mergeCell ref="H98:H99"/>
    <mergeCell ref="B99:C99"/>
    <mergeCell ref="B100:C100"/>
    <mergeCell ref="D100:D101"/>
    <mergeCell ref="E100:E101"/>
    <mergeCell ref="F100:F101"/>
    <mergeCell ref="G100:G101"/>
    <mergeCell ref="H100:H101"/>
    <mergeCell ref="J102:J103"/>
    <mergeCell ref="K102:K103"/>
    <mergeCell ref="H104:H105"/>
    <mergeCell ref="I104:I105"/>
    <mergeCell ref="J104:J105"/>
    <mergeCell ref="K104:K105"/>
    <mergeCell ref="I98:I99"/>
    <mergeCell ref="J98:J99"/>
    <mergeCell ref="K98:K99"/>
    <mergeCell ref="I100:I101"/>
    <mergeCell ref="J100:J101"/>
    <mergeCell ref="K100:K101"/>
    <mergeCell ref="H109:H110"/>
    <mergeCell ref="B104:C104"/>
    <mergeCell ref="D104:D105"/>
    <mergeCell ref="E104:E105"/>
    <mergeCell ref="F104:F105"/>
    <mergeCell ref="G104:G105"/>
    <mergeCell ref="H107:H108"/>
    <mergeCell ref="I107:I108"/>
    <mergeCell ref="G102:G103"/>
    <mergeCell ref="H102:H103"/>
    <mergeCell ref="I102:I103"/>
    <mergeCell ref="B102:C102"/>
    <mergeCell ref="E102:E103"/>
    <mergeCell ref="F102:F103"/>
    <mergeCell ref="E107:E108"/>
    <mergeCell ref="F107:F108"/>
    <mergeCell ref="G107:G108"/>
    <mergeCell ref="B108:C108"/>
    <mergeCell ref="B109:C109"/>
    <mergeCell ref="D109:D110"/>
    <mergeCell ref="E109:E110"/>
    <mergeCell ref="F109:F110"/>
    <mergeCell ref="G109:G110"/>
    <mergeCell ref="K118:K119"/>
    <mergeCell ref="I111:I112"/>
    <mergeCell ref="J111:J112"/>
    <mergeCell ref="K111:K112"/>
    <mergeCell ref="B110:C110"/>
    <mergeCell ref="B111:C111"/>
    <mergeCell ref="D111:D112"/>
    <mergeCell ref="E111:E112"/>
    <mergeCell ref="F111:F112"/>
    <mergeCell ref="G111:G112"/>
    <mergeCell ref="H111:H112"/>
    <mergeCell ref="B112:C112"/>
    <mergeCell ref="A117:C117"/>
    <mergeCell ref="B118:C118"/>
    <mergeCell ref="E118:E119"/>
    <mergeCell ref="F118:F119"/>
    <mergeCell ref="B119:C119"/>
    <mergeCell ref="B115:C115"/>
    <mergeCell ref="D115:D116"/>
    <mergeCell ref="E115:E116"/>
    <mergeCell ref="F115:F116"/>
    <mergeCell ref="G115:G116"/>
    <mergeCell ref="H115:H116"/>
    <mergeCell ref="B116:C116"/>
    <mergeCell ref="B125:C125"/>
    <mergeCell ref="B126:C126"/>
    <mergeCell ref="D126:D127"/>
    <mergeCell ref="E126:E127"/>
    <mergeCell ref="F126:F127"/>
    <mergeCell ref="G126:G127"/>
    <mergeCell ref="H126:H127"/>
    <mergeCell ref="B121:C121"/>
    <mergeCell ref="B122:C122"/>
    <mergeCell ref="D122:D123"/>
    <mergeCell ref="E122:E123"/>
    <mergeCell ref="F122:F123"/>
    <mergeCell ref="G122:G123"/>
    <mergeCell ref="H122:H123"/>
    <mergeCell ref="B123:C123"/>
    <mergeCell ref="B124:C124"/>
    <mergeCell ref="D124:D125"/>
    <mergeCell ref="E124:E125"/>
    <mergeCell ref="F124:F125"/>
    <mergeCell ref="G124:G125"/>
    <mergeCell ref="H124:H125"/>
    <mergeCell ref="J129:J130"/>
    <mergeCell ref="K129:K130"/>
    <mergeCell ref="D131:D132"/>
    <mergeCell ref="E131:E132"/>
    <mergeCell ref="F131:F132"/>
    <mergeCell ref="K131:K132"/>
    <mergeCell ref="I126:I127"/>
    <mergeCell ref="J126:J127"/>
    <mergeCell ref="K126:K127"/>
    <mergeCell ref="A124:A125"/>
    <mergeCell ref="A126:A127"/>
    <mergeCell ref="A129:A130"/>
    <mergeCell ref="A131:A132"/>
    <mergeCell ref="J120:J121"/>
    <mergeCell ref="K120:K121"/>
    <mergeCell ref="D118:D119"/>
    <mergeCell ref="D120:D121"/>
    <mergeCell ref="E120:E121"/>
    <mergeCell ref="F120:F121"/>
    <mergeCell ref="G120:G121"/>
    <mergeCell ref="H120:H121"/>
    <mergeCell ref="I120:I121"/>
    <mergeCell ref="K122:K123"/>
    <mergeCell ref="I124:I125"/>
    <mergeCell ref="J124:J125"/>
    <mergeCell ref="K124:K125"/>
    <mergeCell ref="G131:G132"/>
    <mergeCell ref="H131:H132"/>
    <mergeCell ref="B132:C132"/>
    <mergeCell ref="B127:C127"/>
    <mergeCell ref="I131:I132"/>
    <mergeCell ref="J131:J132"/>
    <mergeCell ref="H129:H130"/>
    <mergeCell ref="B120:C120"/>
    <mergeCell ref="I122:I123"/>
    <mergeCell ref="J122:J123"/>
    <mergeCell ref="A118:A119"/>
    <mergeCell ref="A120:A121"/>
    <mergeCell ref="A122:A123"/>
    <mergeCell ref="G118:G119"/>
    <mergeCell ref="H118:H119"/>
    <mergeCell ref="I118:I119"/>
    <mergeCell ref="J118:J119"/>
    <mergeCell ref="J137:J138"/>
    <mergeCell ref="K137:K138"/>
    <mergeCell ref="B136:C136"/>
    <mergeCell ref="B137:C137"/>
    <mergeCell ref="D137:D138"/>
    <mergeCell ref="E137:E138"/>
    <mergeCell ref="F137:F138"/>
    <mergeCell ref="G137:G138"/>
    <mergeCell ref="H137:H138"/>
    <mergeCell ref="A128:C128"/>
    <mergeCell ref="B129:C129"/>
    <mergeCell ref="D129:D130"/>
    <mergeCell ref="E129:E130"/>
    <mergeCell ref="F129:F130"/>
    <mergeCell ref="G129:G130"/>
    <mergeCell ref="G133:G134"/>
    <mergeCell ref="H133:H134"/>
    <mergeCell ref="I133:I134"/>
    <mergeCell ref="B130:C130"/>
    <mergeCell ref="B131:C131"/>
    <mergeCell ref="I129:I130"/>
    <mergeCell ref="J133:J134"/>
    <mergeCell ref="K133:K134"/>
    <mergeCell ref="A133:A134"/>
    <mergeCell ref="A135:A136"/>
    <mergeCell ref="A137:A138"/>
    <mergeCell ref="J135:J136"/>
    <mergeCell ref="K135:K136"/>
    <mergeCell ref="K139:K140"/>
    <mergeCell ref="D133:D134"/>
    <mergeCell ref="D135:D136"/>
    <mergeCell ref="E135:E136"/>
    <mergeCell ref="F135:F136"/>
    <mergeCell ref="G135:G136"/>
    <mergeCell ref="H135:H136"/>
    <mergeCell ref="I135:I136"/>
    <mergeCell ref="B133:C133"/>
    <mergeCell ref="E133:E134"/>
    <mergeCell ref="F133:F134"/>
    <mergeCell ref="B134:C134"/>
    <mergeCell ref="B135:C135"/>
    <mergeCell ref="B138:C138"/>
    <mergeCell ref="C139:C140"/>
    <mergeCell ref="D139:D140"/>
    <mergeCell ref="I137:I138"/>
    <mergeCell ref="E142:K142"/>
    <mergeCell ref="E143:K143"/>
    <mergeCell ref="E144:K144"/>
    <mergeCell ref="E149:K149"/>
    <mergeCell ref="D16:D17"/>
    <mergeCell ref="B17:C17"/>
    <mergeCell ref="B12:C12"/>
    <mergeCell ref="D12:D13"/>
    <mergeCell ref="B13:C13"/>
    <mergeCell ref="B14:C14"/>
    <mergeCell ref="D14:D15"/>
    <mergeCell ref="I20:I21"/>
    <mergeCell ref="J20:J21"/>
    <mergeCell ref="K20:K21"/>
    <mergeCell ref="J22:J23"/>
    <mergeCell ref="K22:K23"/>
    <mergeCell ref="D20:D21"/>
    <mergeCell ref="D22:D23"/>
    <mergeCell ref="E22:E23"/>
    <mergeCell ref="F22:F23"/>
    <mergeCell ref="G22:G23"/>
    <mergeCell ref="H22:H23"/>
    <mergeCell ref="I22:I23"/>
    <mergeCell ref="I24:I25"/>
    <mergeCell ref="J24:J25"/>
    <mergeCell ref="K24:K25"/>
    <mergeCell ref="F26:F27"/>
    <mergeCell ref="G26:G27"/>
    <mergeCell ref="H26:H27"/>
    <mergeCell ref="I26:I27"/>
    <mergeCell ref="J26:J27"/>
    <mergeCell ref="K26:K27"/>
    <mergeCell ref="G41:G42"/>
    <mergeCell ref="H41:H42"/>
    <mergeCell ref="K41:K42"/>
    <mergeCell ref="J28:J29"/>
    <mergeCell ref="K28:K29"/>
    <mergeCell ref="I30:I31"/>
    <mergeCell ref="J30:J31"/>
    <mergeCell ref="K30:K31"/>
    <mergeCell ref="H33:H34"/>
    <mergeCell ref="I33:I34"/>
    <mergeCell ref="J33:J34"/>
    <mergeCell ref="K33:K34"/>
    <mergeCell ref="K39:K40"/>
    <mergeCell ref="H37:H38"/>
    <mergeCell ref="I37:I38"/>
    <mergeCell ref="H35:H36"/>
    <mergeCell ref="A33:A34"/>
    <mergeCell ref="A35:A36"/>
    <mergeCell ref="A37:A38"/>
    <mergeCell ref="A39:A40"/>
    <mergeCell ref="A45:A46"/>
    <mergeCell ref="A47:A48"/>
    <mergeCell ref="J43:J44"/>
    <mergeCell ref="K43:K44"/>
    <mergeCell ref="A41:A42"/>
    <mergeCell ref="A43:A44"/>
    <mergeCell ref="B43:C43"/>
    <mergeCell ref="D43:D44"/>
    <mergeCell ref="E43:E44"/>
    <mergeCell ref="F43:F44"/>
    <mergeCell ref="G43:G44"/>
    <mergeCell ref="B44:C44"/>
    <mergeCell ref="H43:H44"/>
    <mergeCell ref="I43:I44"/>
    <mergeCell ref="B41:C41"/>
    <mergeCell ref="B42:C42"/>
    <mergeCell ref="B38:C38"/>
    <mergeCell ref="B39:C39"/>
    <mergeCell ref="B40:C40"/>
    <mergeCell ref="H45:H46"/>
    <mergeCell ref="A49:A50"/>
    <mergeCell ref="A51:A52"/>
    <mergeCell ref="A54:A55"/>
    <mergeCell ref="A56:A57"/>
    <mergeCell ref="A58:A59"/>
    <mergeCell ref="A60:A61"/>
    <mergeCell ref="A62:A63"/>
    <mergeCell ref="A64:A65"/>
    <mergeCell ref="A66:A67"/>
    <mergeCell ref="A53:C53"/>
    <mergeCell ref="B54:C54"/>
    <mergeCell ref="B55:C55"/>
    <mergeCell ref="B56:C56"/>
    <mergeCell ref="A68:A69"/>
    <mergeCell ref="A70:A71"/>
    <mergeCell ref="A72:A73"/>
    <mergeCell ref="A75:A76"/>
    <mergeCell ref="A77:A78"/>
    <mergeCell ref="A79:A80"/>
    <mergeCell ref="A81:A82"/>
    <mergeCell ref="A83:A84"/>
    <mergeCell ref="A85:A86"/>
    <mergeCell ref="A74:C74"/>
    <mergeCell ref="B75:C75"/>
    <mergeCell ref="A87:A88"/>
    <mergeCell ref="A104:A105"/>
    <mergeCell ref="A107:A108"/>
    <mergeCell ref="A109:A110"/>
    <mergeCell ref="A111:A112"/>
    <mergeCell ref="A113:A114"/>
    <mergeCell ref="A115:A116"/>
    <mergeCell ref="A89:A90"/>
    <mergeCell ref="A91:A92"/>
    <mergeCell ref="A93:A94"/>
    <mergeCell ref="A96:A97"/>
    <mergeCell ref="A98:A99"/>
    <mergeCell ref="A100:A101"/>
    <mergeCell ref="A102:A103"/>
    <mergeCell ref="A106:C106"/>
    <mergeCell ref="B107:C107"/>
    <mergeCell ref="B101:C101"/>
    <mergeCell ref="B97:C97"/>
    <mergeCell ref="B98:C98"/>
    <mergeCell ref="B89:C89"/>
    <mergeCell ref="D26:D27"/>
    <mergeCell ref="D28:D29"/>
    <mergeCell ref="E28:E29"/>
    <mergeCell ref="F28:F29"/>
    <mergeCell ref="G28:G29"/>
    <mergeCell ref="H28:H29"/>
    <mergeCell ref="I28:I29"/>
    <mergeCell ref="A20:A21"/>
    <mergeCell ref="A22:A23"/>
    <mergeCell ref="A24:A25"/>
    <mergeCell ref="B26:C26"/>
    <mergeCell ref="E26:E27"/>
    <mergeCell ref="B27:C27"/>
    <mergeCell ref="B28:C28"/>
    <mergeCell ref="A26:A27"/>
    <mergeCell ref="A28:A29"/>
    <mergeCell ref="B29:C29"/>
    <mergeCell ref="K45:K46"/>
    <mergeCell ref="I47:I48"/>
    <mergeCell ref="J47:J48"/>
    <mergeCell ref="K47:K48"/>
    <mergeCell ref="B50:C50"/>
    <mergeCell ref="B51:C51"/>
    <mergeCell ref="D51:D52"/>
    <mergeCell ref="E51:E52"/>
    <mergeCell ref="F51:F52"/>
    <mergeCell ref="G51:G52"/>
    <mergeCell ref="H51:H52"/>
    <mergeCell ref="B52:C52"/>
    <mergeCell ref="B45:C45"/>
    <mergeCell ref="D45:D46"/>
    <mergeCell ref="E45:E46"/>
    <mergeCell ref="F45:F46"/>
    <mergeCell ref="G45:G46"/>
    <mergeCell ref="B46:C46"/>
    <mergeCell ref="B47:C47"/>
    <mergeCell ref="D47:D48"/>
    <mergeCell ref="E47:E48"/>
    <mergeCell ref="F47:F48"/>
    <mergeCell ref="G47:G48"/>
    <mergeCell ref="H47:H48"/>
    <mergeCell ref="K49:K50"/>
    <mergeCell ref="B48:C48"/>
    <mergeCell ref="B49:C49"/>
    <mergeCell ref="D49:D50"/>
    <mergeCell ref="E49:E50"/>
    <mergeCell ref="F49:F50"/>
    <mergeCell ref="G49:G50"/>
    <mergeCell ref="H49:H50"/>
    <mergeCell ref="I51:I52"/>
    <mergeCell ref="J51:J52"/>
    <mergeCell ref="K51:K52"/>
    <mergeCell ref="I115:I116"/>
    <mergeCell ref="J115:J116"/>
    <mergeCell ref="K115:K116"/>
    <mergeCell ref="K54:K55"/>
    <mergeCell ref="I56:I57"/>
    <mergeCell ref="J56:J57"/>
    <mergeCell ref="K56:K57"/>
    <mergeCell ref="B113:C113"/>
    <mergeCell ref="D113:D114"/>
    <mergeCell ref="E113:E114"/>
    <mergeCell ref="F113:F114"/>
    <mergeCell ref="G113:G114"/>
    <mergeCell ref="H113:H114"/>
    <mergeCell ref="B114:C114"/>
    <mergeCell ref="I113:I114"/>
    <mergeCell ref="J113:J114"/>
    <mergeCell ref="K113:K114"/>
    <mergeCell ref="J107:J108"/>
    <mergeCell ref="K107:K108"/>
    <mergeCell ref="I109:I110"/>
    <mergeCell ref="J109:J110"/>
    <mergeCell ref="K109:K110"/>
    <mergeCell ref="B105:C105"/>
    <mergeCell ref="D107:D108"/>
  </mergeCells>
  <conditionalFormatting sqref="B12:C31">
    <cfRule type="expression" dxfId="68" priority="1">
      <formula>$B12=""</formula>
    </cfRule>
  </conditionalFormatting>
  <conditionalFormatting sqref="B33:C52">
    <cfRule type="expression" dxfId="67" priority="2">
      <formula>$B33=""</formula>
    </cfRule>
  </conditionalFormatting>
  <conditionalFormatting sqref="B54:C73">
    <cfRule type="expression" dxfId="66" priority="3">
      <formula>$B54=""</formula>
    </cfRule>
  </conditionalFormatting>
  <conditionalFormatting sqref="B75:C94">
    <cfRule type="expression" dxfId="65" priority="4">
      <formula>$B75=""</formula>
    </cfRule>
  </conditionalFormatting>
  <conditionalFormatting sqref="B96:C105">
    <cfRule type="expression" dxfId="64" priority="5">
      <formula>$B96=""</formula>
    </cfRule>
  </conditionalFormatting>
  <conditionalFormatting sqref="B107:C116">
    <cfRule type="expression" dxfId="63" priority="6">
      <formula>$B107=""</formula>
    </cfRule>
  </conditionalFormatting>
  <conditionalFormatting sqref="B118:C127">
    <cfRule type="expression" dxfId="62" priority="7">
      <formula>$B118=""</formula>
    </cfRule>
  </conditionalFormatting>
  <conditionalFormatting sqref="B129:C138">
    <cfRule type="expression" dxfId="61" priority="8">
      <formula>$B129=""</formula>
    </cfRule>
  </conditionalFormatting>
  <conditionalFormatting sqref="F12">
    <cfRule type="expression" dxfId="60" priority="9">
      <formula>$F12=""</formula>
    </cfRule>
  </conditionalFormatting>
  <conditionalFormatting sqref="F14 F16 F18 F20 F22 F24 F26 F28 F30">
    <cfRule type="expression" dxfId="59" priority="10">
      <formula>$F14=""</formula>
    </cfRule>
  </conditionalFormatting>
  <conditionalFormatting sqref="F33 F35 F37 F39 F41 F43 F45 F47 F49 F51">
    <cfRule type="expression" dxfId="58" priority="11">
      <formula>$F33=""</formula>
    </cfRule>
  </conditionalFormatting>
  <conditionalFormatting sqref="F54 F56 F58 F60 F62 F64 F66 F68 F70 F72">
    <cfRule type="expression" dxfId="57" priority="12">
      <formula>$F54=""</formula>
    </cfRule>
  </conditionalFormatting>
  <conditionalFormatting sqref="F75 F77 F79 F81 F83 F85 F87 F89 F91 F93">
    <cfRule type="expression" dxfId="56" priority="13">
      <formula>$F75=""</formula>
    </cfRule>
  </conditionalFormatting>
  <conditionalFormatting sqref="F96 F98 F100 F102 F104">
    <cfRule type="expression" dxfId="55" priority="14">
      <formula>$F96=""</formula>
    </cfRule>
  </conditionalFormatting>
  <conditionalFormatting sqref="F107 F109 F111 F113 F115">
    <cfRule type="expression" dxfId="54" priority="15">
      <formula>$F107=""</formula>
    </cfRule>
  </conditionalFormatting>
  <conditionalFormatting sqref="F118 F120 F122 F124 F126">
    <cfRule type="expression" dxfId="53" priority="16">
      <formula>$F118=""</formula>
    </cfRule>
  </conditionalFormatting>
  <conditionalFormatting sqref="F129 F131 F133 F135 F137">
    <cfRule type="expression" dxfId="52" priority="17">
      <formula>$F129=""</formula>
    </cfRule>
  </conditionalFormatting>
  <conditionalFormatting sqref="H12">
    <cfRule type="expression" dxfId="51" priority="18">
      <formula>$H12=""</formula>
    </cfRule>
  </conditionalFormatting>
  <conditionalFormatting sqref="H14 H16 H18 H20 H22 H24 H26 H28 H30">
    <cfRule type="expression" dxfId="50" priority="19">
      <formula>$H14=""</formula>
    </cfRule>
  </conditionalFormatting>
  <conditionalFormatting sqref="H33">
    <cfRule type="expression" dxfId="49" priority="20">
      <formula>$H33=""</formula>
    </cfRule>
  </conditionalFormatting>
  <conditionalFormatting sqref="H35 H37 H39 H41 H43 H45 H47 H49 H51">
    <cfRule type="expression" dxfId="48" priority="21">
      <formula>$H35=""</formula>
    </cfRule>
  </conditionalFormatting>
  <conditionalFormatting sqref="H54 H56 H58 H60 H62 H64 H66 H68 H70 H72">
    <cfRule type="expression" dxfId="47" priority="22">
      <formula>$H54=""</formula>
    </cfRule>
  </conditionalFormatting>
  <conditionalFormatting sqref="H75 H77 H79 H81 H83 H85 H87 H89 H91 H93">
    <cfRule type="expression" dxfId="46" priority="23">
      <formula>$H75=""</formula>
    </cfRule>
  </conditionalFormatting>
  <conditionalFormatting sqref="H96 H98 H100 H102 H104">
    <cfRule type="expression" dxfId="45" priority="24">
      <formula>$H96=""</formula>
    </cfRule>
  </conditionalFormatting>
  <conditionalFormatting sqref="H107 H109 H111 H113 H115">
    <cfRule type="expression" dxfId="44" priority="25">
      <formula>$H107=""</formula>
    </cfRule>
  </conditionalFormatting>
  <conditionalFormatting sqref="H118 H120 H122 H124 H126">
    <cfRule type="expression" dxfId="43" priority="26">
      <formula>$H118=""</formula>
    </cfRule>
  </conditionalFormatting>
  <conditionalFormatting sqref="H129 H131 H133 H135 H137">
    <cfRule type="expression" dxfId="42" priority="27">
      <formula>$H129=""</formula>
    </cfRule>
  </conditionalFormatting>
  <pageMargins left="0.36" right="0.24" top="0.86" bottom="0.44" header="0" footer="0"/>
  <pageSetup paperSize="9" orientation="landscape"/>
  <rowBreaks count="9" manualBreakCount="9">
    <brk id="80" man="1"/>
    <brk id="19" man="1"/>
    <brk id="53" man="1"/>
    <brk id="101" man="1"/>
    <brk id="71" man="1"/>
    <brk id="42" man="1"/>
    <brk id="90" man="1"/>
    <brk id="61" man="1"/>
    <brk id="2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xSplit="3" ySplit="2" topLeftCell="N3" activePane="bottomRight" state="frozen"/>
      <selection pane="topRight" activeCell="D1" sqref="D1"/>
      <selection pane="bottomLeft" activeCell="A3" sqref="A3"/>
      <selection pane="bottomRight" activeCell="A3" sqref="A3:Z6"/>
    </sheetView>
  </sheetViews>
  <sheetFormatPr defaultColWidth="12.625" defaultRowHeight="15" customHeight="1" x14ac:dyDescent="0.2"/>
  <cols>
    <col min="1" max="1" width="2.625" customWidth="1"/>
    <col min="2" max="2" width="19.375" customWidth="1"/>
    <col min="3" max="3" width="49.625" customWidth="1"/>
    <col min="4" max="4" width="17.5" customWidth="1"/>
    <col min="5" max="5" width="36" customWidth="1"/>
    <col min="6" max="6" width="17.125" customWidth="1"/>
    <col min="7" max="7" width="18.625" customWidth="1"/>
    <col min="8" max="9" width="7.625" customWidth="1"/>
    <col min="10" max="10" width="15" customWidth="1"/>
    <col min="11" max="11" width="13.5" customWidth="1"/>
    <col min="12" max="12" width="19.125" customWidth="1"/>
    <col min="13" max="13" width="34.625" customWidth="1"/>
    <col min="14" max="14" width="32.625" customWidth="1"/>
    <col min="15" max="15" width="72.125" customWidth="1"/>
    <col min="16" max="16" width="13.625" customWidth="1"/>
    <col min="17" max="18" width="27.875" customWidth="1"/>
  </cols>
  <sheetData>
    <row r="1" spans="1:26" x14ac:dyDescent="0.25">
      <c r="A1" s="168"/>
      <c r="B1" s="168"/>
      <c r="C1" s="168"/>
      <c r="D1" s="168"/>
      <c r="E1" s="168"/>
      <c r="F1" s="168"/>
      <c r="G1" s="168"/>
      <c r="H1" s="168"/>
      <c r="I1" s="168"/>
      <c r="J1" s="169"/>
      <c r="K1" s="168"/>
      <c r="L1" s="168"/>
      <c r="M1" s="168"/>
      <c r="N1" s="168"/>
      <c r="O1" s="168"/>
      <c r="P1" s="168"/>
      <c r="Q1" s="168"/>
      <c r="R1" s="168"/>
      <c r="S1" s="168"/>
      <c r="T1" s="168"/>
      <c r="U1" s="168"/>
      <c r="V1" s="168"/>
      <c r="W1" s="168"/>
      <c r="X1" s="168"/>
      <c r="Y1" s="168"/>
      <c r="Z1" s="168"/>
    </row>
    <row r="2" spans="1:26" ht="30.75" customHeight="1" x14ac:dyDescent="0.25">
      <c r="A2" s="170" t="s">
        <v>1196</v>
      </c>
      <c r="B2" s="170" t="s">
        <v>1197</v>
      </c>
      <c r="C2" s="170" t="s">
        <v>1198</v>
      </c>
      <c r="D2" s="170" t="s">
        <v>1199</v>
      </c>
      <c r="E2" s="170" t="s">
        <v>1200</v>
      </c>
      <c r="F2" s="171" t="s">
        <v>1201</v>
      </c>
      <c r="G2" s="171" t="s">
        <v>1202</v>
      </c>
      <c r="H2" s="170" t="s">
        <v>1203</v>
      </c>
      <c r="I2" s="170" t="s">
        <v>1196</v>
      </c>
      <c r="J2" s="170" t="s">
        <v>11</v>
      </c>
      <c r="K2" s="170" t="s">
        <v>1204</v>
      </c>
      <c r="L2" s="170" t="s">
        <v>1205</v>
      </c>
      <c r="M2" s="172" t="s">
        <v>1206</v>
      </c>
      <c r="N2" s="172" t="s">
        <v>1207</v>
      </c>
      <c r="O2" s="173" t="s">
        <v>1208</v>
      </c>
      <c r="P2" s="174" t="s">
        <v>1209</v>
      </c>
      <c r="Q2" s="174" t="s">
        <v>1210</v>
      </c>
      <c r="R2" s="174" t="s">
        <v>1211</v>
      </c>
      <c r="S2" s="168"/>
      <c r="T2" s="168"/>
      <c r="U2" s="168"/>
      <c r="V2" s="168"/>
      <c r="W2" s="168"/>
      <c r="X2" s="168"/>
      <c r="Y2" s="168"/>
      <c r="Z2" s="168"/>
    </row>
    <row r="3" spans="1:26" ht="45" x14ac:dyDescent="0.25">
      <c r="A3" s="590">
        <v>1</v>
      </c>
      <c r="B3" s="591" t="s">
        <v>1212</v>
      </c>
      <c r="C3" s="591" t="s">
        <v>1213</v>
      </c>
      <c r="D3" s="592" t="s">
        <v>1188</v>
      </c>
      <c r="E3" s="592" t="s">
        <v>866</v>
      </c>
      <c r="F3" s="593" t="s">
        <v>1214</v>
      </c>
      <c r="G3" s="592" t="s">
        <v>1215</v>
      </c>
      <c r="H3" s="594">
        <v>7</v>
      </c>
      <c r="I3" s="594">
        <v>2</v>
      </c>
      <c r="J3" s="594">
        <v>2015</v>
      </c>
      <c r="K3" s="594" t="s">
        <v>1216</v>
      </c>
      <c r="L3" s="595" t="s">
        <v>1217</v>
      </c>
      <c r="M3" s="596" t="s">
        <v>1218</v>
      </c>
      <c r="N3" s="597" t="s">
        <v>1219</v>
      </c>
      <c r="O3" s="598" t="s">
        <v>867</v>
      </c>
      <c r="P3" s="599"/>
      <c r="Q3" s="599"/>
      <c r="R3" s="599"/>
      <c r="S3" s="599"/>
      <c r="T3" s="599"/>
      <c r="U3" s="599"/>
      <c r="V3" s="599"/>
      <c r="W3" s="599"/>
      <c r="X3" s="599"/>
      <c r="Y3" s="599"/>
      <c r="Z3" s="599"/>
    </row>
    <row r="4" spans="1:26" ht="45" x14ac:dyDescent="0.25">
      <c r="A4" s="600">
        <v>3</v>
      </c>
      <c r="B4" s="601" t="s">
        <v>1220</v>
      </c>
      <c r="C4" s="601" t="s">
        <v>1221</v>
      </c>
      <c r="D4" s="602" t="s">
        <v>1222</v>
      </c>
      <c r="E4" s="601" t="s">
        <v>1223</v>
      </c>
      <c r="F4" s="602" t="s">
        <v>1194</v>
      </c>
      <c r="G4" s="603" t="s">
        <v>26</v>
      </c>
      <c r="H4" s="602">
        <v>3</v>
      </c>
      <c r="I4" s="602">
        <v>2</v>
      </c>
      <c r="J4" s="602">
        <v>2017</v>
      </c>
      <c r="K4" s="602" t="s">
        <v>879</v>
      </c>
      <c r="L4" s="604" t="s">
        <v>1224</v>
      </c>
      <c r="M4" s="605" t="s">
        <v>1225</v>
      </c>
      <c r="N4" s="606" t="s">
        <v>1226</v>
      </c>
      <c r="O4" s="606" t="s">
        <v>1225</v>
      </c>
      <c r="P4" s="599"/>
      <c r="Q4" s="599"/>
      <c r="R4" s="599"/>
      <c r="S4" s="599"/>
      <c r="T4" s="599"/>
      <c r="U4" s="599"/>
      <c r="V4" s="599"/>
      <c r="W4" s="599"/>
      <c r="X4" s="599"/>
      <c r="Y4" s="599"/>
      <c r="Z4" s="599"/>
    </row>
    <row r="5" spans="1:26" ht="45" x14ac:dyDescent="0.25">
      <c r="A5" s="600">
        <v>4</v>
      </c>
      <c r="B5" s="601" t="s">
        <v>1227</v>
      </c>
      <c r="C5" s="601" t="s">
        <v>1228</v>
      </c>
      <c r="D5" s="602" t="s">
        <v>1222</v>
      </c>
      <c r="E5" s="601" t="s">
        <v>1223</v>
      </c>
      <c r="F5" s="602" t="s">
        <v>1194</v>
      </c>
      <c r="G5" s="603" t="s">
        <v>26</v>
      </c>
      <c r="H5" s="602">
        <v>1</v>
      </c>
      <c r="I5" s="602">
        <v>3</v>
      </c>
      <c r="J5" s="602">
        <v>2015</v>
      </c>
      <c r="K5" s="602" t="s">
        <v>879</v>
      </c>
      <c r="L5" s="604" t="s">
        <v>1224</v>
      </c>
      <c r="M5" s="605" t="s">
        <v>880</v>
      </c>
      <c r="N5" s="606" t="s">
        <v>1229</v>
      </c>
      <c r="O5" s="606" t="s">
        <v>880</v>
      </c>
      <c r="P5" s="599"/>
      <c r="Q5" s="599"/>
      <c r="R5" s="599"/>
      <c r="S5" s="599"/>
      <c r="T5" s="599"/>
      <c r="U5" s="599"/>
      <c r="V5" s="599"/>
      <c r="W5" s="599"/>
      <c r="X5" s="599"/>
      <c r="Y5" s="599"/>
      <c r="Z5" s="599"/>
    </row>
    <row r="6" spans="1:26" ht="43.5" x14ac:dyDescent="0.25">
      <c r="A6" s="600">
        <v>5</v>
      </c>
      <c r="B6" s="601" t="s">
        <v>20</v>
      </c>
      <c r="C6" s="601" t="s">
        <v>1230</v>
      </c>
      <c r="D6" s="601" t="s">
        <v>1190</v>
      </c>
      <c r="E6" s="602" t="s">
        <v>1231</v>
      </c>
      <c r="F6" s="602" t="s">
        <v>1232</v>
      </c>
      <c r="G6" s="607" t="s">
        <v>26</v>
      </c>
      <c r="H6" s="602">
        <v>4</v>
      </c>
      <c r="I6" s="602">
        <v>1</v>
      </c>
      <c r="J6" s="602">
        <v>2016</v>
      </c>
      <c r="K6" s="602" t="s">
        <v>1233</v>
      </c>
      <c r="L6" s="608" t="s">
        <v>1234</v>
      </c>
      <c r="M6" s="605" t="s">
        <v>1235</v>
      </c>
      <c r="N6" s="606" t="s">
        <v>875</v>
      </c>
      <c r="O6" s="606" t="s">
        <v>875</v>
      </c>
      <c r="P6" s="599"/>
      <c r="Q6" s="599"/>
      <c r="R6" s="599"/>
      <c r="S6" s="599"/>
      <c r="T6" s="599"/>
      <c r="U6" s="599"/>
      <c r="V6" s="599"/>
      <c r="W6" s="599"/>
      <c r="X6" s="599"/>
      <c r="Y6" s="599"/>
      <c r="Z6" s="599"/>
    </row>
    <row r="7" spans="1:26" x14ac:dyDescent="0.25">
      <c r="A7" s="175">
        <v>5</v>
      </c>
      <c r="B7" s="179"/>
      <c r="C7" s="179"/>
      <c r="D7" s="176"/>
      <c r="E7" s="175"/>
      <c r="F7" s="175"/>
      <c r="G7" s="175"/>
      <c r="H7" s="175"/>
      <c r="I7" s="175"/>
      <c r="J7" s="175"/>
      <c r="K7" s="175"/>
      <c r="L7" s="461"/>
      <c r="M7" s="177"/>
      <c r="N7" s="462"/>
      <c r="O7" s="462"/>
      <c r="P7" s="462"/>
      <c r="Q7" s="462"/>
      <c r="R7" s="462"/>
      <c r="S7" s="168"/>
      <c r="T7" s="168"/>
      <c r="U7" s="168"/>
      <c r="V7" s="168"/>
      <c r="W7" s="168"/>
      <c r="X7" s="168"/>
      <c r="Y7" s="168"/>
      <c r="Z7" s="168"/>
    </row>
    <row r="8" spans="1:26" x14ac:dyDescent="0.25">
      <c r="A8" s="175">
        <v>6</v>
      </c>
      <c r="B8" s="178"/>
      <c r="C8" s="178"/>
      <c r="D8" s="176"/>
      <c r="E8" s="175"/>
      <c r="F8" s="175"/>
      <c r="G8" s="175"/>
      <c r="H8" s="175"/>
      <c r="I8" s="175"/>
      <c r="J8" s="175"/>
      <c r="K8" s="180"/>
      <c r="L8" s="463"/>
      <c r="M8" s="177"/>
      <c r="N8" s="462"/>
      <c r="O8" s="462"/>
      <c r="P8" s="462"/>
      <c r="Q8" s="462"/>
      <c r="R8" s="462"/>
      <c r="S8" s="168"/>
      <c r="T8" s="168"/>
      <c r="U8" s="168"/>
      <c r="V8" s="168"/>
      <c r="W8" s="168"/>
      <c r="X8" s="168"/>
      <c r="Y8" s="168"/>
      <c r="Z8" s="168"/>
    </row>
    <row r="9" spans="1:26" x14ac:dyDescent="0.25">
      <c r="A9" s="175">
        <v>7</v>
      </c>
      <c r="B9" s="179"/>
      <c r="C9" s="179"/>
      <c r="D9" s="176"/>
      <c r="E9" s="175"/>
      <c r="F9" s="175"/>
      <c r="G9" s="175"/>
      <c r="H9" s="175"/>
      <c r="I9" s="175"/>
      <c r="J9" s="175"/>
      <c r="K9" s="175"/>
      <c r="L9" s="461"/>
      <c r="M9" s="177"/>
      <c r="N9" s="462"/>
      <c r="O9" s="462"/>
      <c r="P9" s="462"/>
      <c r="Q9" s="462"/>
      <c r="R9" s="462"/>
      <c r="S9" s="168"/>
      <c r="T9" s="168"/>
      <c r="U9" s="168"/>
      <c r="V9" s="168"/>
      <c r="W9" s="168"/>
      <c r="X9" s="168"/>
      <c r="Y9" s="168"/>
      <c r="Z9" s="168"/>
    </row>
    <row r="10" spans="1:26" x14ac:dyDescent="0.25">
      <c r="A10" s="175">
        <v>8</v>
      </c>
      <c r="B10" s="179"/>
      <c r="C10" s="179"/>
      <c r="D10" s="175"/>
      <c r="E10" s="176"/>
      <c r="F10" s="175"/>
      <c r="G10" s="175"/>
      <c r="H10" s="175"/>
      <c r="I10" s="175"/>
      <c r="J10" s="175"/>
      <c r="K10" s="175"/>
      <c r="L10" s="463"/>
      <c r="M10" s="177"/>
      <c r="N10" s="462"/>
      <c r="O10" s="462"/>
      <c r="P10" s="462"/>
      <c r="Q10" s="462"/>
      <c r="R10" s="462"/>
      <c r="S10" s="168"/>
      <c r="T10" s="168"/>
      <c r="U10" s="168"/>
      <c r="V10" s="168"/>
      <c r="W10" s="168"/>
      <c r="X10" s="168"/>
      <c r="Y10" s="168"/>
      <c r="Z10" s="168"/>
    </row>
    <row r="11" spans="1:26" x14ac:dyDescent="0.25">
      <c r="A11" s="175">
        <v>9</v>
      </c>
      <c r="B11" s="179"/>
      <c r="C11" s="179"/>
      <c r="D11" s="175"/>
      <c r="E11" s="176"/>
      <c r="F11" s="176"/>
      <c r="G11" s="175"/>
      <c r="H11" s="175"/>
      <c r="I11" s="175"/>
      <c r="J11" s="175"/>
      <c r="K11" s="175"/>
      <c r="L11" s="463"/>
      <c r="M11" s="177"/>
      <c r="N11" s="462"/>
      <c r="O11" s="462"/>
      <c r="P11" s="462"/>
      <c r="Q11" s="462"/>
      <c r="R11" s="462"/>
      <c r="S11" s="168"/>
      <c r="T11" s="168"/>
      <c r="U11" s="168"/>
      <c r="V11" s="168"/>
      <c r="W11" s="168"/>
      <c r="X11" s="168"/>
      <c r="Y11" s="168"/>
      <c r="Z11" s="168"/>
    </row>
    <row r="12" spans="1:26" x14ac:dyDescent="0.25">
      <c r="A12" s="168"/>
      <c r="B12" s="168"/>
      <c r="C12" s="168"/>
      <c r="D12" s="168"/>
      <c r="E12" s="168"/>
      <c r="F12" s="168"/>
      <c r="G12" s="168"/>
      <c r="H12" s="168"/>
      <c r="I12" s="168"/>
      <c r="J12" s="169"/>
      <c r="K12" s="168"/>
      <c r="L12" s="168"/>
      <c r="M12" s="168"/>
      <c r="N12" s="168"/>
      <c r="O12" s="168"/>
      <c r="P12" s="168"/>
      <c r="Q12" s="168"/>
      <c r="R12" s="168"/>
      <c r="S12" s="168"/>
      <c r="T12" s="168"/>
      <c r="U12" s="168"/>
      <c r="V12" s="168"/>
      <c r="W12" s="168"/>
      <c r="X12" s="168"/>
      <c r="Y12" s="168"/>
      <c r="Z12" s="168"/>
    </row>
    <row r="13" spans="1:26" x14ac:dyDescent="0.25">
      <c r="A13" s="168"/>
      <c r="B13" s="168"/>
      <c r="C13" s="168"/>
      <c r="D13" s="168"/>
      <c r="E13" s="168"/>
      <c r="F13" s="168"/>
      <c r="G13" s="168"/>
      <c r="H13" s="168"/>
      <c r="I13" s="168"/>
      <c r="J13" s="169"/>
      <c r="K13" s="168"/>
      <c r="L13" s="168"/>
      <c r="M13" s="168"/>
      <c r="N13" s="168"/>
      <c r="O13" s="168"/>
      <c r="P13" s="168"/>
      <c r="Q13" s="168"/>
      <c r="R13" s="168"/>
      <c r="S13" s="168"/>
      <c r="T13" s="168"/>
      <c r="U13" s="168"/>
      <c r="V13" s="168"/>
      <c r="W13" s="168"/>
      <c r="X13" s="168"/>
      <c r="Y13" s="168"/>
      <c r="Z13" s="168"/>
    </row>
    <row r="14" spans="1:26" x14ac:dyDescent="0.25">
      <c r="A14" s="168"/>
      <c r="B14" s="168"/>
      <c r="C14" s="168"/>
      <c r="D14" s="168"/>
      <c r="E14" s="168"/>
      <c r="F14" s="168"/>
      <c r="G14" s="168"/>
      <c r="H14" s="168"/>
      <c r="I14" s="168"/>
      <c r="J14" s="169"/>
      <c r="K14" s="168"/>
      <c r="L14" s="168"/>
      <c r="M14" s="168"/>
      <c r="N14" s="168"/>
      <c r="O14" s="168"/>
      <c r="P14" s="168"/>
      <c r="Q14" s="168"/>
      <c r="R14" s="168"/>
      <c r="S14" s="168"/>
      <c r="T14" s="168"/>
      <c r="U14" s="168"/>
      <c r="V14" s="168"/>
      <c r="W14" s="168"/>
      <c r="X14" s="168"/>
      <c r="Y14" s="168"/>
      <c r="Z14" s="168"/>
    </row>
    <row r="15" spans="1:26" x14ac:dyDescent="0.25">
      <c r="A15" s="168"/>
      <c r="B15" s="168"/>
      <c r="C15" s="168"/>
      <c r="D15" s="168"/>
      <c r="E15" s="168"/>
      <c r="F15" s="168"/>
      <c r="G15" s="168"/>
      <c r="H15" s="168"/>
      <c r="I15" s="168"/>
      <c r="J15" s="169"/>
      <c r="K15" s="168"/>
      <c r="L15" s="168"/>
      <c r="M15" s="168"/>
      <c r="N15" s="168"/>
      <c r="O15" s="168"/>
      <c r="P15" s="168"/>
      <c r="Q15" s="168"/>
      <c r="R15" s="168"/>
      <c r="S15" s="168"/>
      <c r="T15" s="168"/>
      <c r="U15" s="168"/>
      <c r="V15" s="168"/>
      <c r="W15" s="168"/>
      <c r="X15" s="168"/>
      <c r="Y15" s="168"/>
      <c r="Z15" s="168"/>
    </row>
    <row r="16" spans="1:26" x14ac:dyDescent="0.25">
      <c r="A16" s="168"/>
      <c r="B16" s="168"/>
      <c r="C16" s="168"/>
      <c r="D16" s="168"/>
      <c r="E16" s="168"/>
      <c r="F16" s="168"/>
      <c r="G16" s="168"/>
      <c r="H16" s="168"/>
      <c r="I16" s="168"/>
      <c r="J16" s="169"/>
      <c r="K16" s="168"/>
      <c r="L16" s="168"/>
      <c r="M16" s="168"/>
      <c r="N16" s="168"/>
      <c r="O16" s="168"/>
      <c r="P16" s="168"/>
      <c r="Q16" s="168"/>
      <c r="R16" s="168"/>
      <c r="S16" s="168"/>
      <c r="T16" s="168"/>
      <c r="U16" s="168"/>
      <c r="V16" s="168"/>
      <c r="W16" s="168"/>
      <c r="X16" s="168"/>
      <c r="Y16" s="168"/>
      <c r="Z16" s="168"/>
    </row>
    <row r="17" spans="1:26" x14ac:dyDescent="0.25">
      <c r="A17" s="168"/>
      <c r="B17" s="168"/>
      <c r="C17" s="168"/>
      <c r="D17" s="168"/>
      <c r="E17" s="168"/>
      <c r="F17" s="168"/>
      <c r="G17" s="168"/>
      <c r="H17" s="168"/>
      <c r="I17" s="168"/>
      <c r="J17" s="169"/>
      <c r="K17" s="168"/>
      <c r="L17" s="168"/>
      <c r="M17" s="168"/>
      <c r="N17" s="168"/>
      <c r="O17" s="168"/>
      <c r="P17" s="168"/>
      <c r="Q17" s="168"/>
      <c r="R17" s="168"/>
      <c r="S17" s="168"/>
      <c r="T17" s="168"/>
      <c r="U17" s="168"/>
      <c r="V17" s="168"/>
      <c r="W17" s="168"/>
      <c r="X17" s="168"/>
      <c r="Y17" s="168"/>
      <c r="Z17" s="168"/>
    </row>
    <row r="18" spans="1:26" x14ac:dyDescent="0.25">
      <c r="A18" s="168"/>
      <c r="B18" s="168"/>
      <c r="C18" s="168"/>
      <c r="D18" s="168"/>
      <c r="E18" s="168"/>
      <c r="F18" s="168"/>
      <c r="G18" s="168"/>
      <c r="H18" s="168"/>
      <c r="I18" s="168"/>
      <c r="J18" s="169"/>
      <c r="K18" s="168"/>
      <c r="L18" s="168"/>
      <c r="M18" s="168"/>
      <c r="N18" s="168"/>
      <c r="O18" s="168"/>
      <c r="P18" s="168"/>
      <c r="Q18" s="168"/>
      <c r="R18" s="168"/>
      <c r="S18" s="168"/>
      <c r="T18" s="168"/>
      <c r="U18" s="168"/>
      <c r="V18" s="168"/>
      <c r="W18" s="168"/>
      <c r="X18" s="168"/>
      <c r="Y18" s="168"/>
      <c r="Z18" s="168"/>
    </row>
    <row r="19" spans="1:26" x14ac:dyDescent="0.25">
      <c r="A19" s="168"/>
      <c r="B19" s="168"/>
      <c r="C19" s="168"/>
      <c r="D19" s="168"/>
      <c r="E19" s="168"/>
      <c r="F19" s="168"/>
      <c r="G19" s="168"/>
      <c r="H19" s="168"/>
      <c r="I19" s="168"/>
      <c r="J19" s="169"/>
      <c r="K19" s="168"/>
      <c r="L19" s="168"/>
      <c r="M19" s="168"/>
      <c r="N19" s="168"/>
      <c r="O19" s="168"/>
      <c r="P19" s="168"/>
      <c r="Q19" s="168"/>
      <c r="R19" s="168"/>
      <c r="S19" s="168"/>
      <c r="T19" s="168"/>
      <c r="U19" s="168"/>
      <c r="V19" s="168"/>
      <c r="W19" s="168"/>
      <c r="X19" s="168"/>
      <c r="Y19" s="168"/>
      <c r="Z19" s="168"/>
    </row>
    <row r="20" spans="1:26" x14ac:dyDescent="0.25">
      <c r="A20" s="168"/>
      <c r="B20" s="168"/>
      <c r="C20" s="168"/>
      <c r="D20" s="168"/>
      <c r="E20" s="168"/>
      <c r="F20" s="168"/>
      <c r="G20" s="168"/>
      <c r="H20" s="168"/>
      <c r="I20" s="168"/>
      <c r="J20" s="169"/>
      <c r="K20" s="168"/>
      <c r="L20" s="168"/>
      <c r="M20" s="168"/>
      <c r="N20" s="168"/>
      <c r="O20" s="168"/>
      <c r="P20" s="168"/>
      <c r="Q20" s="168"/>
      <c r="R20" s="168"/>
      <c r="S20" s="168"/>
      <c r="T20" s="168"/>
      <c r="U20" s="168"/>
      <c r="V20" s="168"/>
      <c r="W20" s="168"/>
      <c r="X20" s="168"/>
      <c r="Y20" s="168"/>
      <c r="Z20" s="168"/>
    </row>
    <row r="21" spans="1:26" ht="15.75" customHeight="1" x14ac:dyDescent="0.25">
      <c r="A21" s="168"/>
      <c r="B21" s="168"/>
      <c r="C21" s="168"/>
      <c r="D21" s="168"/>
      <c r="E21" s="168"/>
      <c r="F21" s="168"/>
      <c r="G21" s="168"/>
      <c r="H21" s="168"/>
      <c r="I21" s="168"/>
      <c r="J21" s="169"/>
      <c r="K21" s="168"/>
      <c r="L21" s="168"/>
      <c r="M21" s="168"/>
      <c r="N21" s="168"/>
      <c r="O21" s="168"/>
      <c r="P21" s="168"/>
      <c r="Q21" s="168"/>
      <c r="R21" s="168"/>
      <c r="S21" s="168"/>
      <c r="T21" s="168"/>
      <c r="U21" s="168"/>
      <c r="V21" s="168"/>
      <c r="W21" s="168"/>
      <c r="X21" s="168"/>
      <c r="Y21" s="168"/>
      <c r="Z21" s="168"/>
    </row>
    <row r="22" spans="1:26" ht="15.75" customHeight="1" x14ac:dyDescent="0.25">
      <c r="A22" s="168"/>
      <c r="B22" s="168"/>
      <c r="C22" s="168"/>
      <c r="D22" s="168"/>
      <c r="E22" s="168"/>
      <c r="F22" s="168"/>
      <c r="G22" s="168"/>
      <c r="H22" s="168"/>
      <c r="I22" s="168"/>
      <c r="J22" s="169"/>
      <c r="K22" s="168"/>
      <c r="L22" s="168"/>
      <c r="M22" s="168"/>
      <c r="N22" s="168"/>
      <c r="O22" s="168"/>
      <c r="P22" s="168"/>
      <c r="Q22" s="168"/>
      <c r="R22" s="168"/>
      <c r="S22" s="168"/>
      <c r="T22" s="168"/>
      <c r="U22" s="168"/>
      <c r="V22" s="168"/>
      <c r="W22" s="168"/>
      <c r="X22" s="168"/>
      <c r="Y22" s="168"/>
      <c r="Z22" s="168"/>
    </row>
    <row r="23" spans="1:26" ht="15.75" customHeight="1" x14ac:dyDescent="0.25">
      <c r="A23" s="168"/>
      <c r="B23" s="168"/>
      <c r="C23" s="168"/>
      <c r="D23" s="168"/>
      <c r="E23" s="168"/>
      <c r="F23" s="168"/>
      <c r="G23" s="168"/>
      <c r="H23" s="168"/>
      <c r="I23" s="168"/>
      <c r="J23" s="169"/>
      <c r="K23" s="168"/>
      <c r="L23" s="168"/>
      <c r="M23" s="168"/>
      <c r="N23" s="168"/>
      <c r="O23" s="168"/>
      <c r="P23" s="168"/>
      <c r="Q23" s="168"/>
      <c r="R23" s="168"/>
      <c r="S23" s="168"/>
      <c r="T23" s="168"/>
      <c r="U23" s="168"/>
      <c r="V23" s="168"/>
      <c r="W23" s="168"/>
      <c r="X23" s="168"/>
      <c r="Y23" s="168"/>
      <c r="Z23" s="168"/>
    </row>
    <row r="24" spans="1:26" ht="15.75" customHeight="1" x14ac:dyDescent="0.25">
      <c r="A24" s="168"/>
      <c r="B24" s="168"/>
      <c r="C24" s="168"/>
      <c r="D24" s="168"/>
      <c r="E24" s="168"/>
      <c r="F24" s="168"/>
      <c r="G24" s="168"/>
      <c r="H24" s="168"/>
      <c r="I24" s="168"/>
      <c r="J24" s="169"/>
      <c r="K24" s="168"/>
      <c r="L24" s="168"/>
      <c r="M24" s="168"/>
      <c r="N24" s="168"/>
      <c r="O24" s="168"/>
      <c r="P24" s="168"/>
      <c r="Q24" s="168"/>
      <c r="R24" s="168"/>
      <c r="S24" s="168"/>
      <c r="T24" s="168"/>
      <c r="U24" s="168"/>
      <c r="V24" s="168"/>
      <c r="W24" s="168"/>
      <c r="X24" s="168"/>
      <c r="Y24" s="168"/>
      <c r="Z24" s="168"/>
    </row>
    <row r="25" spans="1:26" ht="15.75" customHeight="1" x14ac:dyDescent="0.25">
      <c r="A25" s="168"/>
      <c r="B25" s="168"/>
      <c r="C25" s="168"/>
      <c r="D25" s="168"/>
      <c r="E25" s="168"/>
      <c r="F25" s="168"/>
      <c r="G25" s="168"/>
      <c r="H25" s="168"/>
      <c r="I25" s="168"/>
      <c r="J25" s="169"/>
      <c r="K25" s="168"/>
      <c r="L25" s="168"/>
      <c r="M25" s="168"/>
      <c r="N25" s="168"/>
      <c r="O25" s="168"/>
      <c r="P25" s="168"/>
      <c r="Q25" s="168"/>
      <c r="R25" s="168"/>
      <c r="S25" s="168"/>
      <c r="T25" s="168"/>
      <c r="U25" s="168"/>
      <c r="V25" s="168"/>
      <c r="W25" s="168"/>
      <c r="X25" s="168"/>
      <c r="Y25" s="168"/>
      <c r="Z25" s="168"/>
    </row>
    <row r="26" spans="1:26" ht="15.75" customHeight="1" x14ac:dyDescent="0.25">
      <c r="A26" s="168"/>
      <c r="B26" s="168"/>
      <c r="C26" s="168"/>
      <c r="D26" s="168"/>
      <c r="E26" s="168"/>
      <c r="F26" s="168"/>
      <c r="G26" s="168"/>
      <c r="H26" s="168"/>
      <c r="I26" s="168"/>
      <c r="J26" s="169"/>
      <c r="K26" s="168"/>
      <c r="L26" s="168"/>
      <c r="M26" s="168"/>
      <c r="N26" s="168"/>
      <c r="O26" s="168"/>
      <c r="P26" s="168"/>
      <c r="Q26" s="168"/>
      <c r="R26" s="168"/>
      <c r="S26" s="168"/>
      <c r="T26" s="168"/>
      <c r="U26" s="168"/>
      <c r="V26" s="168"/>
      <c r="W26" s="168"/>
      <c r="X26" s="168"/>
      <c r="Y26" s="168"/>
      <c r="Z26" s="168"/>
    </row>
    <row r="27" spans="1:26" ht="15.75" customHeight="1" x14ac:dyDescent="0.25">
      <c r="A27" s="168"/>
      <c r="B27" s="168"/>
      <c r="C27" s="168"/>
      <c r="D27" s="168"/>
      <c r="E27" s="168"/>
      <c r="F27" s="168"/>
      <c r="G27" s="168"/>
      <c r="H27" s="168"/>
      <c r="I27" s="168"/>
      <c r="J27" s="169"/>
      <c r="K27" s="168"/>
      <c r="L27" s="168"/>
      <c r="M27" s="168"/>
      <c r="N27" s="168"/>
      <c r="O27" s="168"/>
      <c r="P27" s="168"/>
      <c r="Q27" s="168"/>
      <c r="R27" s="168"/>
      <c r="S27" s="168"/>
      <c r="T27" s="168"/>
      <c r="U27" s="168"/>
      <c r="V27" s="168"/>
      <c r="W27" s="168"/>
      <c r="X27" s="168"/>
      <c r="Y27" s="168"/>
      <c r="Z27" s="168"/>
    </row>
    <row r="28" spans="1:26" ht="15.75" customHeight="1" x14ac:dyDescent="0.25">
      <c r="A28" s="168"/>
      <c r="B28" s="168"/>
      <c r="C28" s="168"/>
      <c r="D28" s="168"/>
      <c r="E28" s="168"/>
      <c r="F28" s="168"/>
      <c r="G28" s="168"/>
      <c r="H28" s="168"/>
      <c r="I28" s="168"/>
      <c r="J28" s="169"/>
      <c r="K28" s="168"/>
      <c r="L28" s="168"/>
      <c r="M28" s="168"/>
      <c r="N28" s="168"/>
      <c r="O28" s="168"/>
      <c r="P28" s="168"/>
      <c r="Q28" s="168"/>
      <c r="R28" s="168"/>
      <c r="S28" s="168"/>
      <c r="T28" s="168"/>
      <c r="U28" s="168"/>
      <c r="V28" s="168"/>
      <c r="W28" s="168"/>
      <c r="X28" s="168"/>
      <c r="Y28" s="168"/>
      <c r="Z28" s="168"/>
    </row>
    <row r="29" spans="1:26" ht="15.75" customHeight="1" x14ac:dyDescent="0.25">
      <c r="A29" s="168"/>
      <c r="B29" s="168"/>
      <c r="C29" s="168"/>
      <c r="D29" s="168"/>
      <c r="E29" s="168"/>
      <c r="F29" s="168"/>
      <c r="G29" s="168"/>
      <c r="H29" s="168"/>
      <c r="I29" s="168"/>
      <c r="J29" s="169"/>
      <c r="K29" s="168"/>
      <c r="L29" s="168"/>
      <c r="M29" s="168"/>
      <c r="N29" s="168"/>
      <c r="O29" s="168"/>
      <c r="P29" s="168"/>
      <c r="Q29" s="168"/>
      <c r="R29" s="168"/>
      <c r="S29" s="168"/>
      <c r="T29" s="168"/>
      <c r="U29" s="168"/>
      <c r="V29" s="168"/>
      <c r="W29" s="168"/>
      <c r="X29" s="168"/>
      <c r="Y29" s="168"/>
      <c r="Z29" s="168"/>
    </row>
    <row r="30" spans="1:26" ht="15.75" customHeight="1" x14ac:dyDescent="0.25">
      <c r="A30" s="168"/>
      <c r="B30" s="168"/>
      <c r="C30" s="168"/>
      <c r="D30" s="168"/>
      <c r="E30" s="168"/>
      <c r="F30" s="168"/>
      <c r="G30" s="168"/>
      <c r="H30" s="168"/>
      <c r="I30" s="168"/>
      <c r="J30" s="169"/>
      <c r="K30" s="168"/>
      <c r="L30" s="168"/>
      <c r="M30" s="168"/>
      <c r="N30" s="168"/>
      <c r="O30" s="168"/>
      <c r="P30" s="168"/>
      <c r="Q30" s="168"/>
      <c r="R30" s="168"/>
      <c r="S30" s="168"/>
      <c r="T30" s="168"/>
      <c r="U30" s="168"/>
      <c r="V30" s="168"/>
      <c r="W30" s="168"/>
      <c r="X30" s="168"/>
      <c r="Y30" s="168"/>
      <c r="Z30" s="168"/>
    </row>
    <row r="31" spans="1:26" ht="15.75" customHeight="1" x14ac:dyDescent="0.25">
      <c r="A31" s="168"/>
      <c r="B31" s="168"/>
      <c r="C31" s="168"/>
      <c r="D31" s="168"/>
      <c r="E31" s="168"/>
      <c r="F31" s="168"/>
      <c r="G31" s="168"/>
      <c r="H31" s="168"/>
      <c r="I31" s="168"/>
      <c r="J31" s="169"/>
      <c r="K31" s="168"/>
      <c r="L31" s="168"/>
      <c r="M31" s="168"/>
      <c r="N31" s="168"/>
      <c r="O31" s="168"/>
      <c r="P31" s="168"/>
      <c r="Q31" s="168"/>
      <c r="R31" s="168"/>
      <c r="S31" s="168"/>
      <c r="T31" s="168"/>
      <c r="U31" s="168"/>
      <c r="V31" s="168"/>
      <c r="W31" s="168"/>
      <c r="X31" s="168"/>
      <c r="Y31" s="168"/>
      <c r="Z31" s="168"/>
    </row>
    <row r="32" spans="1:26" ht="15.75" customHeight="1" x14ac:dyDescent="0.25">
      <c r="A32" s="168"/>
      <c r="B32" s="168"/>
      <c r="C32" s="168"/>
      <c r="D32" s="168"/>
      <c r="E32" s="168"/>
      <c r="F32" s="168"/>
      <c r="G32" s="168"/>
      <c r="H32" s="168"/>
      <c r="I32" s="168"/>
      <c r="J32" s="169"/>
      <c r="K32" s="168"/>
      <c r="L32" s="168"/>
      <c r="M32" s="168"/>
      <c r="N32" s="168"/>
      <c r="O32" s="168"/>
      <c r="P32" s="168"/>
      <c r="Q32" s="168"/>
      <c r="R32" s="168"/>
      <c r="S32" s="168"/>
      <c r="T32" s="168"/>
      <c r="U32" s="168"/>
      <c r="V32" s="168"/>
      <c r="W32" s="168"/>
      <c r="X32" s="168"/>
      <c r="Y32" s="168"/>
      <c r="Z32" s="168"/>
    </row>
    <row r="33" spans="1:26" ht="15.75" customHeight="1" x14ac:dyDescent="0.25">
      <c r="A33" s="168"/>
      <c r="B33" s="168"/>
      <c r="C33" s="168"/>
      <c r="D33" s="168"/>
      <c r="E33" s="168"/>
      <c r="F33" s="168"/>
      <c r="G33" s="168"/>
      <c r="H33" s="168"/>
      <c r="I33" s="168"/>
      <c r="J33" s="169"/>
      <c r="K33" s="168"/>
      <c r="L33" s="168"/>
      <c r="M33" s="168"/>
      <c r="N33" s="168"/>
      <c r="O33" s="168"/>
      <c r="P33" s="168"/>
      <c r="Q33" s="168"/>
      <c r="R33" s="168"/>
      <c r="S33" s="168"/>
      <c r="T33" s="168"/>
      <c r="U33" s="168"/>
      <c r="V33" s="168"/>
      <c r="W33" s="168"/>
      <c r="X33" s="168"/>
      <c r="Y33" s="168"/>
      <c r="Z33" s="168"/>
    </row>
    <row r="34" spans="1:26" ht="15.75" customHeight="1" x14ac:dyDescent="0.25">
      <c r="A34" s="168"/>
      <c r="B34" s="168"/>
      <c r="C34" s="168"/>
      <c r="D34" s="168"/>
      <c r="E34" s="168"/>
      <c r="F34" s="168"/>
      <c r="G34" s="168"/>
      <c r="H34" s="168"/>
      <c r="I34" s="168"/>
      <c r="J34" s="169"/>
      <c r="K34" s="168"/>
      <c r="L34" s="168"/>
      <c r="M34" s="168"/>
      <c r="N34" s="168"/>
      <c r="O34" s="168"/>
      <c r="P34" s="168"/>
      <c r="Q34" s="168"/>
      <c r="R34" s="168"/>
      <c r="S34" s="168"/>
      <c r="T34" s="168"/>
      <c r="U34" s="168"/>
      <c r="V34" s="168"/>
      <c r="W34" s="168"/>
      <c r="X34" s="168"/>
      <c r="Y34" s="168"/>
      <c r="Z34" s="168"/>
    </row>
    <row r="35" spans="1:26" ht="15.75" customHeight="1" x14ac:dyDescent="0.25">
      <c r="A35" s="168"/>
      <c r="B35" s="168"/>
      <c r="C35" s="168"/>
      <c r="D35" s="168"/>
      <c r="E35" s="168"/>
      <c r="F35" s="168"/>
      <c r="G35" s="168"/>
      <c r="H35" s="168"/>
      <c r="I35" s="168"/>
      <c r="J35" s="169"/>
      <c r="K35" s="168"/>
      <c r="L35" s="168"/>
      <c r="M35" s="168"/>
      <c r="N35" s="168"/>
      <c r="O35" s="168"/>
      <c r="P35" s="168"/>
      <c r="Q35" s="168"/>
      <c r="R35" s="168"/>
      <c r="S35" s="168"/>
      <c r="T35" s="168"/>
      <c r="U35" s="168"/>
      <c r="V35" s="168"/>
      <c r="W35" s="168"/>
      <c r="X35" s="168"/>
      <c r="Y35" s="168"/>
      <c r="Z35" s="168"/>
    </row>
    <row r="36" spans="1:26" ht="15.75" customHeight="1" x14ac:dyDescent="0.25">
      <c r="A36" s="168"/>
      <c r="B36" s="168"/>
      <c r="C36" s="168"/>
      <c r="D36" s="168"/>
      <c r="E36" s="168"/>
      <c r="F36" s="168"/>
      <c r="G36" s="168"/>
      <c r="H36" s="168"/>
      <c r="I36" s="168"/>
      <c r="J36" s="169"/>
      <c r="K36" s="168"/>
      <c r="L36" s="168"/>
      <c r="M36" s="168"/>
      <c r="N36" s="168"/>
      <c r="O36" s="168"/>
      <c r="P36" s="168"/>
      <c r="Q36" s="168"/>
      <c r="R36" s="168"/>
      <c r="S36" s="168"/>
      <c r="T36" s="168"/>
      <c r="U36" s="168"/>
      <c r="V36" s="168"/>
      <c r="W36" s="168"/>
      <c r="X36" s="168"/>
      <c r="Y36" s="168"/>
      <c r="Z36" s="168"/>
    </row>
    <row r="37" spans="1:26" ht="15.75" customHeight="1" x14ac:dyDescent="0.25">
      <c r="A37" s="168"/>
      <c r="B37" s="168"/>
      <c r="C37" s="168"/>
      <c r="D37" s="168"/>
      <c r="E37" s="168"/>
      <c r="F37" s="168"/>
      <c r="G37" s="168"/>
      <c r="H37" s="168"/>
      <c r="I37" s="168"/>
      <c r="J37" s="169"/>
      <c r="K37" s="168"/>
      <c r="L37" s="168"/>
      <c r="M37" s="168"/>
      <c r="N37" s="168"/>
      <c r="O37" s="168"/>
      <c r="P37" s="168"/>
      <c r="Q37" s="168"/>
      <c r="R37" s="168"/>
      <c r="S37" s="168"/>
      <c r="T37" s="168"/>
      <c r="U37" s="168"/>
      <c r="V37" s="168"/>
      <c r="W37" s="168"/>
      <c r="X37" s="168"/>
      <c r="Y37" s="168"/>
      <c r="Z37" s="168"/>
    </row>
    <row r="38" spans="1:26" ht="15.75" customHeight="1" x14ac:dyDescent="0.25">
      <c r="A38" s="168"/>
      <c r="B38" s="168"/>
      <c r="C38" s="168"/>
      <c r="D38" s="168"/>
      <c r="E38" s="168"/>
      <c r="F38" s="168"/>
      <c r="G38" s="168"/>
      <c r="H38" s="168"/>
      <c r="I38" s="168"/>
      <c r="J38" s="169"/>
      <c r="K38" s="168"/>
      <c r="L38" s="168"/>
      <c r="M38" s="168"/>
      <c r="N38" s="168"/>
      <c r="O38" s="168"/>
      <c r="P38" s="168"/>
      <c r="Q38" s="168"/>
      <c r="R38" s="168"/>
      <c r="S38" s="168"/>
      <c r="T38" s="168"/>
      <c r="U38" s="168"/>
      <c r="V38" s="168"/>
      <c r="W38" s="168"/>
      <c r="X38" s="168"/>
      <c r="Y38" s="168"/>
      <c r="Z38" s="168"/>
    </row>
    <row r="39" spans="1:26" ht="15.75" customHeight="1" x14ac:dyDescent="0.25">
      <c r="A39" s="168"/>
      <c r="B39" s="168"/>
      <c r="C39" s="168"/>
      <c r="D39" s="168"/>
      <c r="E39" s="168"/>
      <c r="F39" s="168"/>
      <c r="G39" s="168"/>
      <c r="H39" s="168"/>
      <c r="I39" s="168"/>
      <c r="J39" s="169"/>
      <c r="K39" s="168"/>
      <c r="L39" s="168"/>
      <c r="M39" s="168"/>
      <c r="N39" s="168"/>
      <c r="O39" s="168"/>
      <c r="P39" s="168"/>
      <c r="Q39" s="168"/>
      <c r="R39" s="168"/>
      <c r="S39" s="168"/>
      <c r="T39" s="168"/>
      <c r="U39" s="168"/>
      <c r="V39" s="168"/>
      <c r="W39" s="168"/>
      <c r="X39" s="168"/>
      <c r="Y39" s="168"/>
      <c r="Z39" s="168"/>
    </row>
    <row r="40" spans="1:26" ht="15.75" customHeight="1" x14ac:dyDescent="0.25">
      <c r="A40" s="168"/>
      <c r="B40" s="168"/>
      <c r="C40" s="168"/>
      <c r="D40" s="168"/>
      <c r="E40" s="168"/>
      <c r="F40" s="168"/>
      <c r="G40" s="168"/>
      <c r="H40" s="168"/>
      <c r="I40" s="168"/>
      <c r="J40" s="169"/>
      <c r="K40" s="168"/>
      <c r="L40" s="168"/>
      <c r="M40" s="168"/>
      <c r="N40" s="168"/>
      <c r="O40" s="168"/>
      <c r="P40" s="168"/>
      <c r="Q40" s="168"/>
      <c r="R40" s="168"/>
      <c r="S40" s="168"/>
      <c r="T40" s="168"/>
      <c r="U40" s="168"/>
      <c r="V40" s="168"/>
      <c r="W40" s="168"/>
      <c r="X40" s="168"/>
      <c r="Y40" s="168"/>
      <c r="Z40" s="168"/>
    </row>
    <row r="41" spans="1:26" ht="15.75" customHeight="1" x14ac:dyDescent="0.25">
      <c r="A41" s="168"/>
      <c r="B41" s="168"/>
      <c r="C41" s="168"/>
      <c r="D41" s="168"/>
      <c r="E41" s="168"/>
      <c r="F41" s="168"/>
      <c r="G41" s="168"/>
      <c r="H41" s="168"/>
      <c r="I41" s="168"/>
      <c r="J41" s="169"/>
      <c r="K41" s="168"/>
      <c r="L41" s="168"/>
      <c r="M41" s="168"/>
      <c r="N41" s="168"/>
      <c r="O41" s="168"/>
      <c r="P41" s="168"/>
      <c r="Q41" s="168"/>
      <c r="R41" s="168"/>
      <c r="S41" s="168"/>
      <c r="T41" s="168"/>
      <c r="U41" s="168"/>
      <c r="V41" s="168"/>
      <c r="W41" s="168"/>
      <c r="X41" s="168"/>
      <c r="Y41" s="168"/>
      <c r="Z41" s="168"/>
    </row>
    <row r="42" spans="1:26" ht="15.75" customHeight="1" x14ac:dyDescent="0.25">
      <c r="A42" s="168"/>
      <c r="B42" s="168"/>
      <c r="C42" s="168"/>
      <c r="D42" s="168"/>
      <c r="E42" s="168"/>
      <c r="F42" s="168"/>
      <c r="G42" s="168"/>
      <c r="H42" s="168"/>
      <c r="I42" s="168"/>
      <c r="J42" s="169"/>
      <c r="K42" s="168"/>
      <c r="L42" s="168"/>
      <c r="M42" s="168"/>
      <c r="N42" s="168"/>
      <c r="O42" s="168"/>
      <c r="P42" s="168"/>
      <c r="Q42" s="168"/>
      <c r="R42" s="168"/>
      <c r="S42" s="168"/>
      <c r="T42" s="168"/>
      <c r="U42" s="168"/>
      <c r="V42" s="168"/>
      <c r="W42" s="168"/>
      <c r="X42" s="168"/>
      <c r="Y42" s="168"/>
      <c r="Z42" s="168"/>
    </row>
    <row r="43" spans="1:26" ht="15.75" customHeight="1" x14ac:dyDescent="0.25">
      <c r="A43" s="168"/>
      <c r="B43" s="168"/>
      <c r="C43" s="168"/>
      <c r="D43" s="168"/>
      <c r="E43" s="168"/>
      <c r="F43" s="168"/>
      <c r="G43" s="168"/>
      <c r="H43" s="168"/>
      <c r="I43" s="168"/>
      <c r="J43" s="169"/>
      <c r="K43" s="168"/>
      <c r="L43" s="168"/>
      <c r="M43" s="168"/>
      <c r="N43" s="168"/>
      <c r="O43" s="168"/>
      <c r="P43" s="168"/>
      <c r="Q43" s="168"/>
      <c r="R43" s="168"/>
      <c r="S43" s="168"/>
      <c r="T43" s="168"/>
      <c r="U43" s="168"/>
      <c r="V43" s="168"/>
      <c r="W43" s="168"/>
      <c r="X43" s="168"/>
      <c r="Y43" s="168"/>
      <c r="Z43" s="168"/>
    </row>
    <row r="44" spans="1:26" ht="15.75" customHeight="1" x14ac:dyDescent="0.25">
      <c r="A44" s="168"/>
      <c r="B44" s="168"/>
      <c r="C44" s="168"/>
      <c r="D44" s="168"/>
      <c r="E44" s="168"/>
      <c r="F44" s="168"/>
      <c r="G44" s="168"/>
      <c r="H44" s="168"/>
      <c r="I44" s="168"/>
      <c r="J44" s="169"/>
      <c r="K44" s="168"/>
      <c r="L44" s="168"/>
      <c r="M44" s="168"/>
      <c r="N44" s="168"/>
      <c r="O44" s="168"/>
      <c r="P44" s="168"/>
      <c r="Q44" s="168"/>
      <c r="R44" s="168"/>
      <c r="S44" s="168"/>
      <c r="T44" s="168"/>
      <c r="U44" s="168"/>
      <c r="V44" s="168"/>
      <c r="W44" s="168"/>
      <c r="X44" s="168"/>
      <c r="Y44" s="168"/>
      <c r="Z44" s="168"/>
    </row>
    <row r="45" spans="1:26" ht="15.75" customHeight="1" x14ac:dyDescent="0.25">
      <c r="A45" s="168"/>
      <c r="B45" s="168"/>
      <c r="C45" s="168"/>
      <c r="D45" s="168"/>
      <c r="E45" s="168"/>
      <c r="F45" s="168"/>
      <c r="G45" s="168"/>
      <c r="H45" s="168"/>
      <c r="I45" s="168"/>
      <c r="J45" s="169"/>
      <c r="K45" s="168"/>
      <c r="L45" s="168"/>
      <c r="M45" s="168"/>
      <c r="N45" s="168"/>
      <c r="O45" s="168"/>
      <c r="P45" s="168"/>
      <c r="Q45" s="168"/>
      <c r="R45" s="168"/>
      <c r="S45" s="168"/>
      <c r="T45" s="168"/>
      <c r="U45" s="168"/>
      <c r="V45" s="168"/>
      <c r="W45" s="168"/>
      <c r="X45" s="168"/>
      <c r="Y45" s="168"/>
      <c r="Z45" s="168"/>
    </row>
    <row r="46" spans="1:26" ht="15.75" customHeight="1" x14ac:dyDescent="0.25">
      <c r="A46" s="168"/>
      <c r="B46" s="168"/>
      <c r="C46" s="168"/>
      <c r="D46" s="168"/>
      <c r="E46" s="168"/>
      <c r="F46" s="168"/>
      <c r="G46" s="168"/>
      <c r="H46" s="168"/>
      <c r="I46" s="168"/>
      <c r="J46" s="169"/>
      <c r="K46" s="168"/>
      <c r="L46" s="168"/>
      <c r="M46" s="168"/>
      <c r="N46" s="168"/>
      <c r="O46" s="168"/>
      <c r="P46" s="168"/>
      <c r="Q46" s="168"/>
      <c r="R46" s="168"/>
      <c r="S46" s="168"/>
      <c r="T46" s="168"/>
      <c r="U46" s="168"/>
      <c r="V46" s="168"/>
      <c r="W46" s="168"/>
      <c r="X46" s="168"/>
      <c r="Y46" s="168"/>
      <c r="Z46" s="168"/>
    </row>
    <row r="47" spans="1:26" ht="15.75" customHeight="1" x14ac:dyDescent="0.25">
      <c r="A47" s="168"/>
      <c r="B47" s="168"/>
      <c r="C47" s="168"/>
      <c r="D47" s="168"/>
      <c r="E47" s="168"/>
      <c r="F47" s="168"/>
      <c r="G47" s="168"/>
      <c r="H47" s="168"/>
      <c r="I47" s="168"/>
      <c r="J47" s="169"/>
      <c r="K47" s="168"/>
      <c r="L47" s="168"/>
      <c r="M47" s="168"/>
      <c r="N47" s="168"/>
      <c r="O47" s="168"/>
      <c r="P47" s="168"/>
      <c r="Q47" s="168"/>
      <c r="R47" s="168"/>
      <c r="S47" s="168"/>
      <c r="T47" s="168"/>
      <c r="U47" s="168"/>
      <c r="V47" s="168"/>
      <c r="W47" s="168"/>
      <c r="X47" s="168"/>
      <c r="Y47" s="168"/>
      <c r="Z47" s="168"/>
    </row>
    <row r="48" spans="1:26" ht="15.75" customHeight="1" x14ac:dyDescent="0.25">
      <c r="A48" s="168"/>
      <c r="B48" s="168"/>
      <c r="C48" s="168"/>
      <c r="D48" s="168"/>
      <c r="E48" s="168"/>
      <c r="F48" s="168"/>
      <c r="G48" s="168"/>
      <c r="H48" s="168"/>
      <c r="I48" s="168"/>
      <c r="J48" s="169"/>
      <c r="K48" s="168"/>
      <c r="L48" s="168"/>
      <c r="M48" s="168"/>
      <c r="N48" s="168"/>
      <c r="O48" s="168"/>
      <c r="P48" s="168"/>
      <c r="Q48" s="168"/>
      <c r="R48" s="168"/>
      <c r="S48" s="168"/>
      <c r="T48" s="168"/>
      <c r="U48" s="168"/>
      <c r="V48" s="168"/>
      <c r="W48" s="168"/>
      <c r="X48" s="168"/>
      <c r="Y48" s="168"/>
      <c r="Z48" s="168"/>
    </row>
    <row r="49" spans="1:26" ht="15.75" customHeight="1" x14ac:dyDescent="0.25">
      <c r="A49" s="168"/>
      <c r="B49" s="168"/>
      <c r="C49" s="168"/>
      <c r="D49" s="168"/>
      <c r="E49" s="168"/>
      <c r="F49" s="168"/>
      <c r="G49" s="168"/>
      <c r="H49" s="168"/>
      <c r="I49" s="168"/>
      <c r="J49" s="169"/>
      <c r="K49" s="168"/>
      <c r="L49" s="168"/>
      <c r="M49" s="168"/>
      <c r="N49" s="168"/>
      <c r="O49" s="168"/>
      <c r="P49" s="168"/>
      <c r="Q49" s="168"/>
      <c r="R49" s="168"/>
      <c r="S49" s="168"/>
      <c r="T49" s="168"/>
      <c r="U49" s="168"/>
      <c r="V49" s="168"/>
      <c r="W49" s="168"/>
      <c r="X49" s="168"/>
      <c r="Y49" s="168"/>
      <c r="Z49" s="168"/>
    </row>
    <row r="50" spans="1:26" ht="15.75" customHeight="1" x14ac:dyDescent="0.25">
      <c r="A50" s="168"/>
      <c r="B50" s="168"/>
      <c r="C50" s="168"/>
      <c r="D50" s="168"/>
      <c r="E50" s="168"/>
      <c r="F50" s="168"/>
      <c r="G50" s="168"/>
      <c r="H50" s="168"/>
      <c r="I50" s="168"/>
      <c r="J50" s="169"/>
      <c r="K50" s="168"/>
      <c r="L50" s="168"/>
      <c r="M50" s="168"/>
      <c r="N50" s="168"/>
      <c r="O50" s="168"/>
      <c r="P50" s="168"/>
      <c r="Q50" s="168"/>
      <c r="R50" s="168"/>
      <c r="S50" s="168"/>
      <c r="T50" s="168"/>
      <c r="U50" s="168"/>
      <c r="V50" s="168"/>
      <c r="W50" s="168"/>
      <c r="X50" s="168"/>
      <c r="Y50" s="168"/>
      <c r="Z50" s="168"/>
    </row>
    <row r="51" spans="1:26" ht="15.75" customHeight="1" x14ac:dyDescent="0.25">
      <c r="A51" s="168"/>
      <c r="B51" s="168"/>
      <c r="C51" s="168"/>
      <c r="D51" s="168"/>
      <c r="E51" s="168"/>
      <c r="F51" s="168"/>
      <c r="G51" s="168"/>
      <c r="H51" s="168"/>
      <c r="I51" s="168"/>
      <c r="J51" s="169"/>
      <c r="K51" s="168"/>
      <c r="L51" s="168"/>
      <c r="M51" s="168"/>
      <c r="N51" s="168"/>
      <c r="O51" s="168"/>
      <c r="P51" s="168"/>
      <c r="Q51" s="168"/>
      <c r="R51" s="168"/>
      <c r="S51" s="168"/>
      <c r="T51" s="168"/>
      <c r="U51" s="168"/>
      <c r="V51" s="168"/>
      <c r="W51" s="168"/>
      <c r="X51" s="168"/>
      <c r="Y51" s="168"/>
      <c r="Z51" s="168"/>
    </row>
    <row r="52" spans="1:26" ht="15.75" customHeight="1" x14ac:dyDescent="0.25">
      <c r="A52" s="168"/>
      <c r="B52" s="168"/>
      <c r="C52" s="168"/>
      <c r="D52" s="168"/>
      <c r="E52" s="168"/>
      <c r="F52" s="168"/>
      <c r="G52" s="168"/>
      <c r="H52" s="168"/>
      <c r="I52" s="168"/>
      <c r="J52" s="169"/>
      <c r="K52" s="168"/>
      <c r="L52" s="168"/>
      <c r="M52" s="168"/>
      <c r="N52" s="168"/>
      <c r="O52" s="168"/>
      <c r="P52" s="168"/>
      <c r="Q52" s="168"/>
      <c r="R52" s="168"/>
      <c r="S52" s="168"/>
      <c r="T52" s="168"/>
      <c r="U52" s="168"/>
      <c r="V52" s="168"/>
      <c r="W52" s="168"/>
      <c r="X52" s="168"/>
      <c r="Y52" s="168"/>
      <c r="Z52" s="168"/>
    </row>
    <row r="53" spans="1:26" ht="15.75" customHeight="1" x14ac:dyDescent="0.25">
      <c r="A53" s="168"/>
      <c r="B53" s="168"/>
      <c r="C53" s="168"/>
      <c r="D53" s="168"/>
      <c r="E53" s="168"/>
      <c r="F53" s="168"/>
      <c r="G53" s="168"/>
      <c r="H53" s="168"/>
      <c r="I53" s="168"/>
      <c r="J53" s="169"/>
      <c r="K53" s="168"/>
      <c r="L53" s="168"/>
      <c r="M53" s="168"/>
      <c r="N53" s="168"/>
      <c r="O53" s="168"/>
      <c r="P53" s="168"/>
      <c r="Q53" s="168"/>
      <c r="R53" s="168"/>
      <c r="S53" s="168"/>
      <c r="T53" s="168"/>
      <c r="U53" s="168"/>
      <c r="V53" s="168"/>
      <c r="W53" s="168"/>
      <c r="X53" s="168"/>
      <c r="Y53" s="168"/>
      <c r="Z53" s="168"/>
    </row>
    <row r="54" spans="1:26" ht="15.75" customHeight="1" x14ac:dyDescent="0.25">
      <c r="A54" s="168"/>
      <c r="B54" s="168"/>
      <c r="C54" s="168"/>
      <c r="D54" s="168"/>
      <c r="E54" s="168"/>
      <c r="F54" s="168"/>
      <c r="G54" s="168"/>
      <c r="H54" s="168"/>
      <c r="I54" s="168"/>
      <c r="J54" s="169"/>
      <c r="K54" s="168"/>
      <c r="L54" s="168"/>
      <c r="M54" s="168"/>
      <c r="N54" s="168"/>
      <c r="O54" s="168"/>
      <c r="P54" s="168"/>
      <c r="Q54" s="168"/>
      <c r="R54" s="168"/>
      <c r="S54" s="168"/>
      <c r="T54" s="168"/>
      <c r="U54" s="168"/>
      <c r="V54" s="168"/>
      <c r="W54" s="168"/>
      <c r="X54" s="168"/>
      <c r="Y54" s="168"/>
      <c r="Z54" s="168"/>
    </row>
    <row r="55" spans="1:26" ht="15.75" customHeight="1" x14ac:dyDescent="0.25">
      <c r="A55" s="168"/>
      <c r="B55" s="168"/>
      <c r="C55" s="168"/>
      <c r="D55" s="168"/>
      <c r="E55" s="168"/>
      <c r="F55" s="168"/>
      <c r="G55" s="168"/>
      <c r="H55" s="168"/>
      <c r="I55" s="168"/>
      <c r="J55" s="169"/>
      <c r="K55" s="168"/>
      <c r="L55" s="168"/>
      <c r="M55" s="168"/>
      <c r="N55" s="168"/>
      <c r="O55" s="168"/>
      <c r="P55" s="168"/>
      <c r="Q55" s="168"/>
      <c r="R55" s="168"/>
      <c r="S55" s="168"/>
      <c r="T55" s="168"/>
      <c r="U55" s="168"/>
      <c r="V55" s="168"/>
      <c r="W55" s="168"/>
      <c r="X55" s="168"/>
      <c r="Y55" s="168"/>
      <c r="Z55" s="168"/>
    </row>
    <row r="56" spans="1:26" ht="15.75" customHeight="1" x14ac:dyDescent="0.25">
      <c r="A56" s="168"/>
      <c r="B56" s="168"/>
      <c r="C56" s="168"/>
      <c r="D56" s="168"/>
      <c r="E56" s="168"/>
      <c r="F56" s="168"/>
      <c r="G56" s="168"/>
      <c r="H56" s="168"/>
      <c r="I56" s="168"/>
      <c r="J56" s="169"/>
      <c r="K56" s="168"/>
      <c r="L56" s="168"/>
      <c r="M56" s="168"/>
      <c r="N56" s="168"/>
      <c r="O56" s="168"/>
      <c r="P56" s="168"/>
      <c r="Q56" s="168"/>
      <c r="R56" s="168"/>
      <c r="S56" s="168"/>
      <c r="T56" s="168"/>
      <c r="U56" s="168"/>
      <c r="V56" s="168"/>
      <c r="W56" s="168"/>
      <c r="X56" s="168"/>
      <c r="Y56" s="168"/>
      <c r="Z56" s="168"/>
    </row>
    <row r="57" spans="1:26" ht="15.75" customHeight="1" x14ac:dyDescent="0.25">
      <c r="A57" s="168"/>
      <c r="B57" s="168"/>
      <c r="C57" s="168"/>
      <c r="D57" s="168"/>
      <c r="E57" s="168"/>
      <c r="F57" s="168"/>
      <c r="G57" s="168"/>
      <c r="H57" s="168"/>
      <c r="I57" s="168"/>
      <c r="J57" s="169"/>
      <c r="K57" s="168"/>
      <c r="L57" s="168"/>
      <c r="M57" s="168"/>
      <c r="N57" s="168"/>
      <c r="O57" s="168"/>
      <c r="P57" s="168"/>
      <c r="Q57" s="168"/>
      <c r="R57" s="168"/>
      <c r="S57" s="168"/>
      <c r="T57" s="168"/>
      <c r="U57" s="168"/>
      <c r="V57" s="168"/>
      <c r="W57" s="168"/>
      <c r="X57" s="168"/>
      <c r="Y57" s="168"/>
      <c r="Z57" s="168"/>
    </row>
    <row r="58" spans="1:26" ht="15.75" customHeight="1" x14ac:dyDescent="0.25">
      <c r="A58" s="168"/>
      <c r="B58" s="168"/>
      <c r="C58" s="168"/>
      <c r="D58" s="168"/>
      <c r="E58" s="168"/>
      <c r="F58" s="168"/>
      <c r="G58" s="168"/>
      <c r="H58" s="168"/>
      <c r="I58" s="168"/>
      <c r="J58" s="169"/>
      <c r="K58" s="168"/>
      <c r="L58" s="168"/>
      <c r="M58" s="168"/>
      <c r="N58" s="168"/>
      <c r="O58" s="168"/>
      <c r="P58" s="168"/>
      <c r="Q58" s="168"/>
      <c r="R58" s="168"/>
      <c r="S58" s="168"/>
      <c r="T58" s="168"/>
      <c r="U58" s="168"/>
      <c r="V58" s="168"/>
      <c r="W58" s="168"/>
      <c r="X58" s="168"/>
      <c r="Y58" s="168"/>
      <c r="Z58" s="168"/>
    </row>
    <row r="59" spans="1:26" ht="15.75" customHeight="1" x14ac:dyDescent="0.25">
      <c r="A59" s="168"/>
      <c r="B59" s="168"/>
      <c r="C59" s="168"/>
      <c r="D59" s="168"/>
      <c r="E59" s="168"/>
      <c r="F59" s="168"/>
      <c r="G59" s="168"/>
      <c r="H59" s="168"/>
      <c r="I59" s="168"/>
      <c r="J59" s="169"/>
      <c r="K59" s="168"/>
      <c r="L59" s="168"/>
      <c r="M59" s="168"/>
      <c r="N59" s="168"/>
      <c r="O59" s="168"/>
      <c r="P59" s="168"/>
      <c r="Q59" s="168"/>
      <c r="R59" s="168"/>
      <c r="S59" s="168"/>
      <c r="T59" s="168"/>
      <c r="U59" s="168"/>
      <c r="V59" s="168"/>
      <c r="W59" s="168"/>
      <c r="X59" s="168"/>
      <c r="Y59" s="168"/>
      <c r="Z59" s="168"/>
    </row>
    <row r="60" spans="1:26" ht="15.75" customHeight="1" x14ac:dyDescent="0.25">
      <c r="A60" s="168"/>
      <c r="B60" s="168"/>
      <c r="C60" s="168"/>
      <c r="D60" s="168"/>
      <c r="E60" s="168"/>
      <c r="F60" s="168"/>
      <c r="G60" s="168"/>
      <c r="H60" s="168"/>
      <c r="I60" s="168"/>
      <c r="J60" s="169"/>
      <c r="K60" s="168"/>
      <c r="L60" s="168"/>
      <c r="M60" s="168"/>
      <c r="N60" s="168"/>
      <c r="O60" s="168"/>
      <c r="P60" s="168"/>
      <c r="Q60" s="168"/>
      <c r="R60" s="168"/>
      <c r="S60" s="168"/>
      <c r="T60" s="168"/>
      <c r="U60" s="168"/>
      <c r="V60" s="168"/>
      <c r="W60" s="168"/>
      <c r="X60" s="168"/>
      <c r="Y60" s="168"/>
      <c r="Z60" s="168"/>
    </row>
    <row r="61" spans="1:26" ht="15.75" customHeight="1" x14ac:dyDescent="0.25">
      <c r="A61" s="168"/>
      <c r="B61" s="168"/>
      <c r="C61" s="168"/>
      <c r="D61" s="168"/>
      <c r="E61" s="168"/>
      <c r="F61" s="168"/>
      <c r="G61" s="168"/>
      <c r="H61" s="168"/>
      <c r="I61" s="168"/>
      <c r="J61" s="169"/>
      <c r="K61" s="168"/>
      <c r="L61" s="168"/>
      <c r="M61" s="168"/>
      <c r="N61" s="168"/>
      <c r="O61" s="168"/>
      <c r="P61" s="168"/>
      <c r="Q61" s="168"/>
      <c r="R61" s="168"/>
      <c r="S61" s="168"/>
      <c r="T61" s="168"/>
      <c r="U61" s="168"/>
      <c r="V61" s="168"/>
      <c r="W61" s="168"/>
      <c r="X61" s="168"/>
      <c r="Y61" s="168"/>
      <c r="Z61" s="168"/>
    </row>
    <row r="62" spans="1:26" ht="15.75" customHeight="1" x14ac:dyDescent="0.25">
      <c r="A62" s="168"/>
      <c r="B62" s="168"/>
      <c r="C62" s="168"/>
      <c r="D62" s="168"/>
      <c r="E62" s="168"/>
      <c r="F62" s="168"/>
      <c r="G62" s="168"/>
      <c r="H62" s="168"/>
      <c r="I62" s="168"/>
      <c r="J62" s="169"/>
      <c r="K62" s="168"/>
      <c r="L62" s="168"/>
      <c r="M62" s="168"/>
      <c r="N62" s="168"/>
      <c r="O62" s="168"/>
      <c r="P62" s="168"/>
      <c r="Q62" s="168"/>
      <c r="R62" s="168"/>
      <c r="S62" s="168"/>
      <c r="T62" s="168"/>
      <c r="U62" s="168"/>
      <c r="V62" s="168"/>
      <c r="W62" s="168"/>
      <c r="X62" s="168"/>
      <c r="Y62" s="168"/>
      <c r="Z62" s="168"/>
    </row>
    <row r="63" spans="1:26" ht="15.75" customHeight="1" x14ac:dyDescent="0.25">
      <c r="A63" s="168"/>
      <c r="B63" s="168"/>
      <c r="C63" s="168"/>
      <c r="D63" s="168"/>
      <c r="E63" s="168"/>
      <c r="F63" s="168"/>
      <c r="G63" s="168"/>
      <c r="H63" s="168"/>
      <c r="I63" s="168"/>
      <c r="J63" s="169"/>
      <c r="K63" s="168"/>
      <c r="L63" s="168"/>
      <c r="M63" s="168"/>
      <c r="N63" s="168"/>
      <c r="O63" s="168"/>
      <c r="P63" s="168"/>
      <c r="Q63" s="168"/>
      <c r="R63" s="168"/>
      <c r="S63" s="168"/>
      <c r="T63" s="168"/>
      <c r="U63" s="168"/>
      <c r="V63" s="168"/>
      <c r="W63" s="168"/>
      <c r="X63" s="168"/>
      <c r="Y63" s="168"/>
      <c r="Z63" s="168"/>
    </row>
    <row r="64" spans="1:26" ht="15.75" customHeight="1" x14ac:dyDescent="0.25">
      <c r="A64" s="168"/>
      <c r="B64" s="168"/>
      <c r="C64" s="168"/>
      <c r="D64" s="168"/>
      <c r="E64" s="168"/>
      <c r="F64" s="168"/>
      <c r="G64" s="168"/>
      <c r="H64" s="168"/>
      <c r="I64" s="168"/>
      <c r="J64" s="169"/>
      <c r="K64" s="168"/>
      <c r="L64" s="168"/>
      <c r="M64" s="168"/>
      <c r="N64" s="168"/>
      <c r="O64" s="168"/>
      <c r="P64" s="168"/>
      <c r="Q64" s="168"/>
      <c r="R64" s="168"/>
      <c r="S64" s="168"/>
      <c r="T64" s="168"/>
      <c r="U64" s="168"/>
      <c r="V64" s="168"/>
      <c r="W64" s="168"/>
      <c r="X64" s="168"/>
      <c r="Y64" s="168"/>
      <c r="Z64" s="168"/>
    </row>
    <row r="65" spans="1:26" ht="15.75" customHeight="1" x14ac:dyDescent="0.25">
      <c r="A65" s="168"/>
      <c r="B65" s="168"/>
      <c r="C65" s="168"/>
      <c r="D65" s="168"/>
      <c r="E65" s="168"/>
      <c r="F65" s="168"/>
      <c r="G65" s="168"/>
      <c r="H65" s="168"/>
      <c r="I65" s="168"/>
      <c r="J65" s="169"/>
      <c r="K65" s="168"/>
      <c r="L65" s="168"/>
      <c r="M65" s="168"/>
      <c r="N65" s="168"/>
      <c r="O65" s="168"/>
      <c r="P65" s="168"/>
      <c r="Q65" s="168"/>
      <c r="R65" s="168"/>
      <c r="S65" s="168"/>
      <c r="T65" s="168"/>
      <c r="U65" s="168"/>
      <c r="V65" s="168"/>
      <c r="W65" s="168"/>
      <c r="X65" s="168"/>
      <c r="Y65" s="168"/>
      <c r="Z65" s="168"/>
    </row>
    <row r="66" spans="1:26" ht="15.75" customHeight="1" x14ac:dyDescent="0.25">
      <c r="A66" s="168"/>
      <c r="B66" s="168"/>
      <c r="C66" s="168"/>
      <c r="D66" s="168"/>
      <c r="E66" s="168"/>
      <c r="F66" s="168"/>
      <c r="G66" s="168"/>
      <c r="H66" s="168"/>
      <c r="I66" s="168"/>
      <c r="J66" s="169"/>
      <c r="K66" s="168"/>
      <c r="L66" s="168"/>
      <c r="M66" s="168"/>
      <c r="N66" s="168"/>
      <c r="O66" s="168"/>
      <c r="P66" s="168"/>
      <c r="Q66" s="168"/>
      <c r="R66" s="168"/>
      <c r="S66" s="168"/>
      <c r="T66" s="168"/>
      <c r="U66" s="168"/>
      <c r="V66" s="168"/>
      <c r="W66" s="168"/>
      <c r="X66" s="168"/>
      <c r="Y66" s="168"/>
      <c r="Z66" s="168"/>
    </row>
    <row r="67" spans="1:26" ht="15.75" customHeight="1" x14ac:dyDescent="0.25">
      <c r="A67" s="168"/>
      <c r="B67" s="168"/>
      <c r="C67" s="168"/>
      <c r="D67" s="168"/>
      <c r="E67" s="168"/>
      <c r="F67" s="168"/>
      <c r="G67" s="168"/>
      <c r="H67" s="168"/>
      <c r="I67" s="168"/>
      <c r="J67" s="169"/>
      <c r="K67" s="168"/>
      <c r="L67" s="168"/>
      <c r="M67" s="168"/>
      <c r="N67" s="168"/>
      <c r="O67" s="168"/>
      <c r="P67" s="168"/>
      <c r="Q67" s="168"/>
      <c r="R67" s="168"/>
      <c r="S67" s="168"/>
      <c r="T67" s="168"/>
      <c r="U67" s="168"/>
      <c r="V67" s="168"/>
      <c r="W67" s="168"/>
      <c r="X67" s="168"/>
      <c r="Y67" s="168"/>
      <c r="Z67" s="168"/>
    </row>
    <row r="68" spans="1:26" ht="15.75" customHeight="1" x14ac:dyDescent="0.25">
      <c r="A68" s="168"/>
      <c r="B68" s="168"/>
      <c r="C68" s="168"/>
      <c r="D68" s="168"/>
      <c r="E68" s="168"/>
      <c r="F68" s="168"/>
      <c r="G68" s="168"/>
      <c r="H68" s="168"/>
      <c r="I68" s="168"/>
      <c r="J68" s="169"/>
      <c r="K68" s="168"/>
      <c r="L68" s="168"/>
      <c r="M68" s="168"/>
      <c r="N68" s="168"/>
      <c r="O68" s="168"/>
      <c r="P68" s="168"/>
      <c r="Q68" s="168"/>
      <c r="R68" s="168"/>
      <c r="S68" s="168"/>
      <c r="T68" s="168"/>
      <c r="U68" s="168"/>
      <c r="V68" s="168"/>
      <c r="W68" s="168"/>
      <c r="X68" s="168"/>
      <c r="Y68" s="168"/>
      <c r="Z68" s="168"/>
    </row>
    <row r="69" spans="1:26" ht="15.75" customHeight="1" x14ac:dyDescent="0.25">
      <c r="A69" s="168"/>
      <c r="B69" s="168"/>
      <c r="C69" s="168"/>
      <c r="D69" s="168"/>
      <c r="E69" s="168"/>
      <c r="F69" s="168"/>
      <c r="G69" s="168"/>
      <c r="H69" s="168"/>
      <c r="I69" s="168"/>
      <c r="J69" s="169"/>
      <c r="K69" s="168"/>
      <c r="L69" s="168"/>
      <c r="M69" s="168"/>
      <c r="N69" s="168"/>
      <c r="O69" s="168"/>
      <c r="P69" s="168"/>
      <c r="Q69" s="168"/>
      <c r="R69" s="168"/>
      <c r="S69" s="168"/>
      <c r="T69" s="168"/>
      <c r="U69" s="168"/>
      <c r="V69" s="168"/>
      <c r="W69" s="168"/>
      <c r="X69" s="168"/>
      <c r="Y69" s="168"/>
      <c r="Z69" s="168"/>
    </row>
    <row r="70" spans="1:26" ht="15.75" customHeight="1" x14ac:dyDescent="0.25">
      <c r="A70" s="168"/>
      <c r="B70" s="168"/>
      <c r="C70" s="168"/>
      <c r="D70" s="168"/>
      <c r="E70" s="168"/>
      <c r="F70" s="168"/>
      <c r="G70" s="168"/>
      <c r="H70" s="168"/>
      <c r="I70" s="168"/>
      <c r="J70" s="169"/>
      <c r="K70" s="168"/>
      <c r="L70" s="168"/>
      <c r="M70" s="168"/>
      <c r="N70" s="168"/>
      <c r="O70" s="168"/>
      <c r="P70" s="168"/>
      <c r="Q70" s="168"/>
      <c r="R70" s="168"/>
      <c r="S70" s="168"/>
      <c r="T70" s="168"/>
      <c r="U70" s="168"/>
      <c r="V70" s="168"/>
      <c r="W70" s="168"/>
      <c r="X70" s="168"/>
      <c r="Y70" s="168"/>
      <c r="Z70" s="168"/>
    </row>
    <row r="71" spans="1:26" ht="15.75" customHeight="1" x14ac:dyDescent="0.25">
      <c r="A71" s="168"/>
      <c r="B71" s="168"/>
      <c r="C71" s="168"/>
      <c r="D71" s="168"/>
      <c r="E71" s="168"/>
      <c r="F71" s="168"/>
      <c r="G71" s="168"/>
      <c r="H71" s="168"/>
      <c r="I71" s="168"/>
      <c r="J71" s="169"/>
      <c r="K71" s="168"/>
      <c r="L71" s="168"/>
      <c r="M71" s="168"/>
      <c r="N71" s="168"/>
      <c r="O71" s="168"/>
      <c r="P71" s="168"/>
      <c r="Q71" s="168"/>
      <c r="R71" s="168"/>
      <c r="S71" s="168"/>
      <c r="T71" s="168"/>
      <c r="U71" s="168"/>
      <c r="V71" s="168"/>
      <c r="W71" s="168"/>
      <c r="X71" s="168"/>
      <c r="Y71" s="168"/>
      <c r="Z71" s="168"/>
    </row>
    <row r="72" spans="1:26" ht="15.75" customHeight="1" x14ac:dyDescent="0.25">
      <c r="A72" s="168"/>
      <c r="B72" s="168"/>
      <c r="C72" s="168"/>
      <c r="D72" s="168"/>
      <c r="E72" s="168"/>
      <c r="F72" s="168"/>
      <c r="G72" s="168"/>
      <c r="H72" s="168"/>
      <c r="I72" s="168"/>
      <c r="J72" s="169"/>
      <c r="K72" s="168"/>
      <c r="L72" s="168"/>
      <c r="M72" s="168"/>
      <c r="N72" s="168"/>
      <c r="O72" s="168"/>
      <c r="P72" s="168"/>
      <c r="Q72" s="168"/>
      <c r="R72" s="168"/>
      <c r="S72" s="168"/>
      <c r="T72" s="168"/>
      <c r="U72" s="168"/>
      <c r="V72" s="168"/>
      <c r="W72" s="168"/>
      <c r="X72" s="168"/>
      <c r="Y72" s="168"/>
      <c r="Z72" s="168"/>
    </row>
    <row r="73" spans="1:26" ht="15.75" customHeight="1" x14ac:dyDescent="0.25">
      <c r="A73" s="168"/>
      <c r="B73" s="168"/>
      <c r="C73" s="168"/>
      <c r="D73" s="168"/>
      <c r="E73" s="168"/>
      <c r="F73" s="168"/>
      <c r="G73" s="168"/>
      <c r="H73" s="168"/>
      <c r="I73" s="168"/>
      <c r="J73" s="169"/>
      <c r="K73" s="168"/>
      <c r="L73" s="168"/>
      <c r="M73" s="168"/>
      <c r="N73" s="168"/>
      <c r="O73" s="168"/>
      <c r="P73" s="168"/>
      <c r="Q73" s="168"/>
      <c r="R73" s="168"/>
      <c r="S73" s="168"/>
      <c r="T73" s="168"/>
      <c r="U73" s="168"/>
      <c r="V73" s="168"/>
      <c r="W73" s="168"/>
      <c r="X73" s="168"/>
      <c r="Y73" s="168"/>
      <c r="Z73" s="168"/>
    </row>
    <row r="74" spans="1:26" ht="15.75" customHeight="1" x14ac:dyDescent="0.25">
      <c r="A74" s="168"/>
      <c r="B74" s="168"/>
      <c r="C74" s="168"/>
      <c r="D74" s="168"/>
      <c r="E74" s="168"/>
      <c r="F74" s="168"/>
      <c r="G74" s="168"/>
      <c r="H74" s="168"/>
      <c r="I74" s="168"/>
      <c r="J74" s="169"/>
      <c r="K74" s="168"/>
      <c r="L74" s="168"/>
      <c r="M74" s="168"/>
      <c r="N74" s="168"/>
      <c r="O74" s="168"/>
      <c r="P74" s="168"/>
      <c r="Q74" s="168"/>
      <c r="R74" s="168"/>
      <c r="S74" s="168"/>
      <c r="T74" s="168"/>
      <c r="U74" s="168"/>
      <c r="V74" s="168"/>
      <c r="W74" s="168"/>
      <c r="X74" s="168"/>
      <c r="Y74" s="168"/>
      <c r="Z74" s="168"/>
    </row>
    <row r="75" spans="1:26" ht="15.75" customHeight="1" x14ac:dyDescent="0.25">
      <c r="A75" s="168"/>
      <c r="B75" s="168"/>
      <c r="C75" s="168"/>
      <c r="D75" s="168"/>
      <c r="E75" s="168"/>
      <c r="F75" s="168"/>
      <c r="G75" s="168"/>
      <c r="H75" s="168"/>
      <c r="I75" s="168"/>
      <c r="J75" s="169"/>
      <c r="K75" s="168"/>
      <c r="L75" s="168"/>
      <c r="M75" s="168"/>
      <c r="N75" s="168"/>
      <c r="O75" s="168"/>
      <c r="P75" s="168"/>
      <c r="Q75" s="168"/>
      <c r="R75" s="168"/>
      <c r="S75" s="168"/>
      <c r="T75" s="168"/>
      <c r="U75" s="168"/>
      <c r="V75" s="168"/>
      <c r="W75" s="168"/>
      <c r="X75" s="168"/>
      <c r="Y75" s="168"/>
      <c r="Z75" s="168"/>
    </row>
    <row r="76" spans="1:26" ht="15.75" customHeight="1" x14ac:dyDescent="0.25">
      <c r="A76" s="168"/>
      <c r="B76" s="168"/>
      <c r="C76" s="168"/>
      <c r="D76" s="168"/>
      <c r="E76" s="168"/>
      <c r="F76" s="168"/>
      <c r="G76" s="168"/>
      <c r="H76" s="168"/>
      <c r="I76" s="168"/>
      <c r="J76" s="169"/>
      <c r="K76" s="168"/>
      <c r="L76" s="168"/>
      <c r="M76" s="168"/>
      <c r="N76" s="168"/>
      <c r="O76" s="168"/>
      <c r="P76" s="168"/>
      <c r="Q76" s="168"/>
      <c r="R76" s="168"/>
      <c r="S76" s="168"/>
      <c r="T76" s="168"/>
      <c r="U76" s="168"/>
      <c r="V76" s="168"/>
      <c r="W76" s="168"/>
      <c r="X76" s="168"/>
      <c r="Y76" s="168"/>
      <c r="Z76" s="168"/>
    </row>
    <row r="77" spans="1:26" ht="15.75" customHeight="1" x14ac:dyDescent="0.25">
      <c r="A77" s="168"/>
      <c r="B77" s="168"/>
      <c r="C77" s="168"/>
      <c r="D77" s="168"/>
      <c r="E77" s="168"/>
      <c r="F77" s="168"/>
      <c r="G77" s="168"/>
      <c r="H77" s="168"/>
      <c r="I77" s="168"/>
      <c r="J77" s="169"/>
      <c r="K77" s="168"/>
      <c r="L77" s="168"/>
      <c r="M77" s="168"/>
      <c r="N77" s="168"/>
      <c r="O77" s="168"/>
      <c r="P77" s="168"/>
      <c r="Q77" s="168"/>
      <c r="R77" s="168"/>
      <c r="S77" s="168"/>
      <c r="T77" s="168"/>
      <c r="U77" s="168"/>
      <c r="V77" s="168"/>
      <c r="W77" s="168"/>
      <c r="X77" s="168"/>
      <c r="Y77" s="168"/>
      <c r="Z77" s="168"/>
    </row>
    <row r="78" spans="1:26" ht="15.75" customHeight="1" x14ac:dyDescent="0.25">
      <c r="A78" s="168"/>
      <c r="B78" s="168"/>
      <c r="C78" s="168"/>
      <c r="D78" s="168"/>
      <c r="E78" s="168"/>
      <c r="F78" s="168"/>
      <c r="G78" s="168"/>
      <c r="H78" s="168"/>
      <c r="I78" s="168"/>
      <c r="J78" s="169"/>
      <c r="K78" s="168"/>
      <c r="L78" s="168"/>
      <c r="M78" s="168"/>
      <c r="N78" s="168"/>
      <c r="O78" s="168"/>
      <c r="P78" s="168"/>
      <c r="Q78" s="168"/>
      <c r="R78" s="168"/>
      <c r="S78" s="168"/>
      <c r="T78" s="168"/>
      <c r="U78" s="168"/>
      <c r="V78" s="168"/>
      <c r="W78" s="168"/>
      <c r="X78" s="168"/>
      <c r="Y78" s="168"/>
      <c r="Z78" s="168"/>
    </row>
    <row r="79" spans="1:26" ht="15.75" customHeight="1" x14ac:dyDescent="0.25">
      <c r="A79" s="168"/>
      <c r="B79" s="168"/>
      <c r="C79" s="168"/>
      <c r="D79" s="168"/>
      <c r="E79" s="168"/>
      <c r="F79" s="168"/>
      <c r="G79" s="168"/>
      <c r="H79" s="168"/>
      <c r="I79" s="168"/>
      <c r="J79" s="169"/>
      <c r="K79" s="168"/>
      <c r="L79" s="168"/>
      <c r="M79" s="168"/>
      <c r="N79" s="168"/>
      <c r="O79" s="168"/>
      <c r="P79" s="168"/>
      <c r="Q79" s="168"/>
      <c r="R79" s="168"/>
      <c r="S79" s="168"/>
      <c r="T79" s="168"/>
      <c r="U79" s="168"/>
      <c r="V79" s="168"/>
      <c r="W79" s="168"/>
      <c r="X79" s="168"/>
      <c r="Y79" s="168"/>
      <c r="Z79" s="168"/>
    </row>
    <row r="80" spans="1:26" ht="15.75" customHeight="1" x14ac:dyDescent="0.25">
      <c r="A80" s="168"/>
      <c r="B80" s="168"/>
      <c r="C80" s="168"/>
      <c r="D80" s="168"/>
      <c r="E80" s="168"/>
      <c r="F80" s="168"/>
      <c r="G80" s="168"/>
      <c r="H80" s="168"/>
      <c r="I80" s="168"/>
      <c r="J80" s="169"/>
      <c r="K80" s="168"/>
      <c r="L80" s="168"/>
      <c r="M80" s="168"/>
      <c r="N80" s="168"/>
      <c r="O80" s="168"/>
      <c r="P80" s="168"/>
      <c r="Q80" s="168"/>
      <c r="R80" s="168"/>
      <c r="S80" s="168"/>
      <c r="T80" s="168"/>
      <c r="U80" s="168"/>
      <c r="V80" s="168"/>
      <c r="W80" s="168"/>
      <c r="X80" s="168"/>
      <c r="Y80" s="168"/>
      <c r="Z80" s="168"/>
    </row>
    <row r="81" spans="1:26" ht="15.75" customHeight="1" x14ac:dyDescent="0.25">
      <c r="A81" s="168"/>
      <c r="B81" s="168"/>
      <c r="C81" s="168"/>
      <c r="D81" s="168"/>
      <c r="E81" s="168"/>
      <c r="F81" s="168"/>
      <c r="G81" s="168"/>
      <c r="H81" s="168"/>
      <c r="I81" s="168"/>
      <c r="J81" s="169"/>
      <c r="K81" s="168"/>
      <c r="L81" s="168"/>
      <c r="M81" s="168"/>
      <c r="N81" s="168"/>
      <c r="O81" s="168"/>
      <c r="P81" s="168"/>
      <c r="Q81" s="168"/>
      <c r="R81" s="168"/>
      <c r="S81" s="168"/>
      <c r="T81" s="168"/>
      <c r="U81" s="168"/>
      <c r="V81" s="168"/>
      <c r="W81" s="168"/>
      <c r="X81" s="168"/>
      <c r="Y81" s="168"/>
      <c r="Z81" s="168"/>
    </row>
    <row r="82" spans="1:26" ht="15.75" customHeight="1" x14ac:dyDescent="0.25">
      <c r="A82" s="168"/>
      <c r="B82" s="168"/>
      <c r="C82" s="168"/>
      <c r="D82" s="168"/>
      <c r="E82" s="168"/>
      <c r="F82" s="168"/>
      <c r="G82" s="168"/>
      <c r="H82" s="168"/>
      <c r="I82" s="168"/>
      <c r="J82" s="169"/>
      <c r="K82" s="168"/>
      <c r="L82" s="168"/>
      <c r="M82" s="168"/>
      <c r="N82" s="168"/>
      <c r="O82" s="168"/>
      <c r="P82" s="168"/>
      <c r="Q82" s="168"/>
      <c r="R82" s="168"/>
      <c r="S82" s="168"/>
      <c r="T82" s="168"/>
      <c r="U82" s="168"/>
      <c r="V82" s="168"/>
      <c r="W82" s="168"/>
      <c r="X82" s="168"/>
      <c r="Y82" s="168"/>
      <c r="Z82" s="168"/>
    </row>
    <row r="83" spans="1:26" ht="15.75" customHeight="1" x14ac:dyDescent="0.25">
      <c r="A83" s="168"/>
      <c r="B83" s="168"/>
      <c r="C83" s="168"/>
      <c r="D83" s="168"/>
      <c r="E83" s="168"/>
      <c r="F83" s="168"/>
      <c r="G83" s="168"/>
      <c r="H83" s="168"/>
      <c r="I83" s="168"/>
      <c r="J83" s="169"/>
      <c r="K83" s="168"/>
      <c r="L83" s="168"/>
      <c r="M83" s="168"/>
      <c r="N83" s="168"/>
      <c r="O83" s="168"/>
      <c r="P83" s="168"/>
      <c r="Q83" s="168"/>
      <c r="R83" s="168"/>
      <c r="S83" s="168"/>
      <c r="T83" s="168"/>
      <c r="U83" s="168"/>
      <c r="V83" s="168"/>
      <c r="W83" s="168"/>
      <c r="X83" s="168"/>
      <c r="Y83" s="168"/>
      <c r="Z83" s="168"/>
    </row>
    <row r="84" spans="1:26" ht="15.75" customHeight="1" x14ac:dyDescent="0.25">
      <c r="A84" s="168"/>
      <c r="B84" s="168"/>
      <c r="C84" s="168"/>
      <c r="D84" s="168"/>
      <c r="E84" s="168"/>
      <c r="F84" s="168"/>
      <c r="G84" s="168"/>
      <c r="H84" s="168"/>
      <c r="I84" s="168"/>
      <c r="J84" s="169"/>
      <c r="K84" s="168"/>
      <c r="L84" s="168"/>
      <c r="M84" s="168"/>
      <c r="N84" s="168"/>
      <c r="O84" s="168"/>
      <c r="P84" s="168"/>
      <c r="Q84" s="168"/>
      <c r="R84" s="168"/>
      <c r="S84" s="168"/>
      <c r="T84" s="168"/>
      <c r="U84" s="168"/>
      <c r="V84" s="168"/>
      <c r="W84" s="168"/>
      <c r="X84" s="168"/>
      <c r="Y84" s="168"/>
      <c r="Z84" s="168"/>
    </row>
    <row r="85" spans="1:26" ht="15.75" customHeight="1" x14ac:dyDescent="0.25">
      <c r="A85" s="168"/>
      <c r="B85" s="168"/>
      <c r="C85" s="168"/>
      <c r="D85" s="168"/>
      <c r="E85" s="168"/>
      <c r="F85" s="168"/>
      <c r="G85" s="168"/>
      <c r="H85" s="168"/>
      <c r="I85" s="168"/>
      <c r="J85" s="169"/>
      <c r="K85" s="168"/>
      <c r="L85" s="168"/>
      <c r="M85" s="168"/>
      <c r="N85" s="168"/>
      <c r="O85" s="168"/>
      <c r="P85" s="168"/>
      <c r="Q85" s="168"/>
      <c r="R85" s="168"/>
      <c r="S85" s="168"/>
      <c r="T85" s="168"/>
      <c r="U85" s="168"/>
      <c r="V85" s="168"/>
      <c r="W85" s="168"/>
      <c r="X85" s="168"/>
      <c r="Y85" s="168"/>
      <c r="Z85" s="168"/>
    </row>
    <row r="86" spans="1:26" ht="15.75" customHeight="1" x14ac:dyDescent="0.25">
      <c r="A86" s="168"/>
      <c r="B86" s="168"/>
      <c r="C86" s="168"/>
      <c r="D86" s="168"/>
      <c r="E86" s="168"/>
      <c r="F86" s="168"/>
      <c r="G86" s="168"/>
      <c r="H86" s="168"/>
      <c r="I86" s="168"/>
      <c r="J86" s="169"/>
      <c r="K86" s="168"/>
      <c r="L86" s="168"/>
      <c r="M86" s="168"/>
      <c r="N86" s="168"/>
      <c r="O86" s="168"/>
      <c r="P86" s="168"/>
      <c r="Q86" s="168"/>
      <c r="R86" s="168"/>
      <c r="S86" s="168"/>
      <c r="T86" s="168"/>
      <c r="U86" s="168"/>
      <c r="V86" s="168"/>
      <c r="W86" s="168"/>
      <c r="X86" s="168"/>
      <c r="Y86" s="168"/>
      <c r="Z86" s="168"/>
    </row>
    <row r="87" spans="1:26" ht="15.75" customHeight="1" x14ac:dyDescent="0.25">
      <c r="A87" s="168"/>
      <c r="B87" s="168"/>
      <c r="C87" s="168"/>
      <c r="D87" s="168"/>
      <c r="E87" s="168"/>
      <c r="F87" s="168"/>
      <c r="G87" s="168"/>
      <c r="H87" s="168"/>
      <c r="I87" s="168"/>
      <c r="J87" s="169"/>
      <c r="K87" s="168"/>
      <c r="L87" s="168"/>
      <c r="M87" s="168"/>
      <c r="N87" s="168"/>
      <c r="O87" s="168"/>
      <c r="P87" s="168"/>
      <c r="Q87" s="168"/>
      <c r="R87" s="168"/>
      <c r="S87" s="168"/>
      <c r="T87" s="168"/>
      <c r="U87" s="168"/>
      <c r="V87" s="168"/>
      <c r="W87" s="168"/>
      <c r="X87" s="168"/>
      <c r="Y87" s="168"/>
      <c r="Z87" s="168"/>
    </row>
    <row r="88" spans="1:26" ht="15.75" customHeight="1" x14ac:dyDescent="0.25">
      <c r="A88" s="168"/>
      <c r="B88" s="168"/>
      <c r="C88" s="168"/>
      <c r="D88" s="168"/>
      <c r="E88" s="168"/>
      <c r="F88" s="168"/>
      <c r="G88" s="168"/>
      <c r="H88" s="168"/>
      <c r="I88" s="168"/>
      <c r="J88" s="169"/>
      <c r="K88" s="168"/>
      <c r="L88" s="168"/>
      <c r="M88" s="168"/>
      <c r="N88" s="168"/>
      <c r="O88" s="168"/>
      <c r="P88" s="168"/>
      <c r="Q88" s="168"/>
      <c r="R88" s="168"/>
      <c r="S88" s="168"/>
      <c r="T88" s="168"/>
      <c r="U88" s="168"/>
      <c r="V88" s="168"/>
      <c r="W88" s="168"/>
      <c r="X88" s="168"/>
      <c r="Y88" s="168"/>
      <c r="Z88" s="168"/>
    </row>
    <row r="89" spans="1:26" ht="15.75" customHeight="1" x14ac:dyDescent="0.25">
      <c r="A89" s="168"/>
      <c r="B89" s="168"/>
      <c r="C89" s="168"/>
      <c r="D89" s="168"/>
      <c r="E89" s="168"/>
      <c r="F89" s="168"/>
      <c r="G89" s="168"/>
      <c r="H89" s="168"/>
      <c r="I89" s="168"/>
      <c r="J89" s="169"/>
      <c r="K89" s="168"/>
      <c r="L89" s="168"/>
      <c r="M89" s="168"/>
      <c r="N89" s="168"/>
      <c r="O89" s="168"/>
      <c r="P89" s="168"/>
      <c r="Q89" s="168"/>
      <c r="R89" s="168"/>
      <c r="S89" s="168"/>
      <c r="T89" s="168"/>
      <c r="U89" s="168"/>
      <c r="V89" s="168"/>
      <c r="W89" s="168"/>
      <c r="X89" s="168"/>
      <c r="Y89" s="168"/>
      <c r="Z89" s="168"/>
    </row>
    <row r="90" spans="1:26" ht="15.75" customHeight="1" x14ac:dyDescent="0.25">
      <c r="A90" s="168"/>
      <c r="B90" s="168"/>
      <c r="C90" s="168"/>
      <c r="D90" s="168"/>
      <c r="E90" s="168"/>
      <c r="F90" s="168"/>
      <c r="G90" s="168"/>
      <c r="H90" s="168"/>
      <c r="I90" s="168"/>
      <c r="J90" s="169"/>
      <c r="K90" s="168"/>
      <c r="L90" s="168"/>
      <c r="M90" s="168"/>
      <c r="N90" s="168"/>
      <c r="O90" s="168"/>
      <c r="P90" s="168"/>
      <c r="Q90" s="168"/>
      <c r="R90" s="168"/>
      <c r="S90" s="168"/>
      <c r="T90" s="168"/>
      <c r="U90" s="168"/>
      <c r="V90" s="168"/>
      <c r="W90" s="168"/>
      <c r="X90" s="168"/>
      <c r="Y90" s="168"/>
      <c r="Z90" s="168"/>
    </row>
    <row r="91" spans="1:26" ht="15.75" customHeight="1" x14ac:dyDescent="0.25">
      <c r="A91" s="168"/>
      <c r="B91" s="168"/>
      <c r="C91" s="168"/>
      <c r="D91" s="168"/>
      <c r="E91" s="168"/>
      <c r="F91" s="168"/>
      <c r="G91" s="168"/>
      <c r="H91" s="168"/>
      <c r="I91" s="168"/>
      <c r="J91" s="169"/>
      <c r="K91" s="168"/>
      <c r="L91" s="168"/>
      <c r="M91" s="168"/>
      <c r="N91" s="168"/>
      <c r="O91" s="168"/>
      <c r="P91" s="168"/>
      <c r="Q91" s="168"/>
      <c r="R91" s="168"/>
      <c r="S91" s="168"/>
      <c r="T91" s="168"/>
      <c r="U91" s="168"/>
      <c r="V91" s="168"/>
      <c r="W91" s="168"/>
      <c r="X91" s="168"/>
      <c r="Y91" s="168"/>
      <c r="Z91" s="168"/>
    </row>
    <row r="92" spans="1:26" ht="15.75" customHeight="1" x14ac:dyDescent="0.25">
      <c r="A92" s="168"/>
      <c r="B92" s="168"/>
      <c r="C92" s="168"/>
      <c r="D92" s="168"/>
      <c r="E92" s="168"/>
      <c r="F92" s="168"/>
      <c r="G92" s="168"/>
      <c r="H92" s="168"/>
      <c r="I92" s="168"/>
      <c r="J92" s="169"/>
      <c r="K92" s="168"/>
      <c r="L92" s="168"/>
      <c r="M92" s="168"/>
      <c r="N92" s="168"/>
      <c r="O92" s="168"/>
      <c r="P92" s="168"/>
      <c r="Q92" s="168"/>
      <c r="R92" s="168"/>
      <c r="S92" s="168"/>
      <c r="T92" s="168"/>
      <c r="U92" s="168"/>
      <c r="V92" s="168"/>
      <c r="W92" s="168"/>
      <c r="X92" s="168"/>
      <c r="Y92" s="168"/>
      <c r="Z92" s="168"/>
    </row>
    <row r="93" spans="1:26" ht="15.75" customHeight="1" x14ac:dyDescent="0.25">
      <c r="A93" s="168"/>
      <c r="B93" s="168"/>
      <c r="C93" s="168"/>
      <c r="D93" s="168"/>
      <c r="E93" s="168"/>
      <c r="F93" s="168"/>
      <c r="G93" s="168"/>
      <c r="H93" s="168"/>
      <c r="I93" s="168"/>
      <c r="J93" s="169"/>
      <c r="K93" s="168"/>
      <c r="L93" s="168"/>
      <c r="M93" s="168"/>
      <c r="N93" s="168"/>
      <c r="O93" s="168"/>
      <c r="P93" s="168"/>
      <c r="Q93" s="168"/>
      <c r="R93" s="168"/>
      <c r="S93" s="168"/>
      <c r="T93" s="168"/>
      <c r="U93" s="168"/>
      <c r="V93" s="168"/>
      <c r="W93" s="168"/>
      <c r="X93" s="168"/>
      <c r="Y93" s="168"/>
      <c r="Z93" s="168"/>
    </row>
    <row r="94" spans="1:26" ht="15.75" customHeight="1" x14ac:dyDescent="0.25">
      <c r="A94" s="168"/>
      <c r="B94" s="168"/>
      <c r="C94" s="168"/>
      <c r="D94" s="168"/>
      <c r="E94" s="168"/>
      <c r="F94" s="168"/>
      <c r="G94" s="168"/>
      <c r="H94" s="168"/>
      <c r="I94" s="168"/>
      <c r="J94" s="169"/>
      <c r="K94" s="168"/>
      <c r="L94" s="168"/>
      <c r="M94" s="168"/>
      <c r="N94" s="168"/>
      <c r="O94" s="168"/>
      <c r="P94" s="168"/>
      <c r="Q94" s="168"/>
      <c r="R94" s="168"/>
      <c r="S94" s="168"/>
      <c r="T94" s="168"/>
      <c r="U94" s="168"/>
      <c r="V94" s="168"/>
      <c r="W94" s="168"/>
      <c r="X94" s="168"/>
      <c r="Y94" s="168"/>
      <c r="Z94" s="168"/>
    </row>
    <row r="95" spans="1:26" ht="15.75" customHeight="1" x14ac:dyDescent="0.25">
      <c r="A95" s="168"/>
      <c r="B95" s="168"/>
      <c r="C95" s="168"/>
      <c r="D95" s="168"/>
      <c r="E95" s="168"/>
      <c r="F95" s="168"/>
      <c r="G95" s="168"/>
      <c r="H95" s="168"/>
      <c r="I95" s="168"/>
      <c r="J95" s="169"/>
      <c r="K95" s="168"/>
      <c r="L95" s="168"/>
      <c r="M95" s="168"/>
      <c r="N95" s="168"/>
      <c r="O95" s="168"/>
      <c r="P95" s="168"/>
      <c r="Q95" s="168"/>
      <c r="R95" s="168"/>
      <c r="S95" s="168"/>
      <c r="T95" s="168"/>
      <c r="U95" s="168"/>
      <c r="V95" s="168"/>
      <c r="W95" s="168"/>
      <c r="X95" s="168"/>
      <c r="Y95" s="168"/>
      <c r="Z95" s="168"/>
    </row>
    <row r="96" spans="1:26" ht="15.75" customHeight="1" x14ac:dyDescent="0.25">
      <c r="A96" s="168"/>
      <c r="B96" s="168"/>
      <c r="C96" s="168"/>
      <c r="D96" s="168"/>
      <c r="E96" s="168"/>
      <c r="F96" s="168"/>
      <c r="G96" s="168"/>
      <c r="H96" s="168"/>
      <c r="I96" s="168"/>
      <c r="J96" s="169"/>
      <c r="K96" s="168"/>
      <c r="L96" s="168"/>
      <c r="M96" s="168"/>
      <c r="N96" s="168"/>
      <c r="O96" s="168"/>
      <c r="P96" s="168"/>
      <c r="Q96" s="168"/>
      <c r="R96" s="168"/>
      <c r="S96" s="168"/>
      <c r="T96" s="168"/>
      <c r="U96" s="168"/>
      <c r="V96" s="168"/>
      <c r="W96" s="168"/>
      <c r="X96" s="168"/>
      <c r="Y96" s="168"/>
      <c r="Z96" s="168"/>
    </row>
    <row r="97" spans="1:26" ht="15.75" customHeight="1" x14ac:dyDescent="0.25">
      <c r="A97" s="168"/>
      <c r="B97" s="168"/>
      <c r="C97" s="168"/>
      <c r="D97" s="168"/>
      <c r="E97" s="168"/>
      <c r="F97" s="168"/>
      <c r="G97" s="168"/>
      <c r="H97" s="168"/>
      <c r="I97" s="168"/>
      <c r="J97" s="169"/>
      <c r="K97" s="168"/>
      <c r="L97" s="168"/>
      <c r="M97" s="168"/>
      <c r="N97" s="168"/>
      <c r="O97" s="168"/>
      <c r="P97" s="168"/>
      <c r="Q97" s="168"/>
      <c r="R97" s="168"/>
      <c r="S97" s="168"/>
      <c r="T97" s="168"/>
      <c r="U97" s="168"/>
      <c r="V97" s="168"/>
      <c r="W97" s="168"/>
      <c r="X97" s="168"/>
      <c r="Y97" s="168"/>
      <c r="Z97" s="168"/>
    </row>
    <row r="98" spans="1:26" ht="15.75" customHeight="1" x14ac:dyDescent="0.25">
      <c r="A98" s="168"/>
      <c r="B98" s="168"/>
      <c r="C98" s="168"/>
      <c r="D98" s="168"/>
      <c r="E98" s="168"/>
      <c r="F98" s="168"/>
      <c r="G98" s="168"/>
      <c r="H98" s="168"/>
      <c r="I98" s="168"/>
      <c r="J98" s="169"/>
      <c r="K98" s="168"/>
      <c r="L98" s="168"/>
      <c r="M98" s="168"/>
      <c r="N98" s="168"/>
      <c r="O98" s="168"/>
      <c r="P98" s="168"/>
      <c r="Q98" s="168"/>
      <c r="R98" s="168"/>
      <c r="S98" s="168"/>
      <c r="T98" s="168"/>
      <c r="U98" s="168"/>
      <c r="V98" s="168"/>
      <c r="W98" s="168"/>
      <c r="X98" s="168"/>
      <c r="Y98" s="168"/>
      <c r="Z98" s="168"/>
    </row>
    <row r="99" spans="1:26" ht="15.75" customHeight="1" x14ac:dyDescent="0.25">
      <c r="A99" s="168"/>
      <c r="B99" s="168"/>
      <c r="C99" s="168"/>
      <c r="D99" s="168"/>
      <c r="E99" s="168"/>
      <c r="F99" s="168"/>
      <c r="G99" s="168"/>
      <c r="H99" s="168"/>
      <c r="I99" s="168"/>
      <c r="J99" s="169"/>
      <c r="K99" s="168"/>
      <c r="L99" s="168"/>
      <c r="M99" s="168"/>
      <c r="N99" s="168"/>
      <c r="O99" s="168"/>
      <c r="P99" s="168"/>
      <c r="Q99" s="168"/>
      <c r="R99" s="168"/>
      <c r="S99" s="168"/>
      <c r="T99" s="168"/>
      <c r="U99" s="168"/>
      <c r="V99" s="168"/>
      <c r="W99" s="168"/>
      <c r="X99" s="168"/>
      <c r="Y99" s="168"/>
      <c r="Z99" s="168"/>
    </row>
    <row r="100" spans="1:26" ht="15.75" customHeight="1" x14ac:dyDescent="0.25">
      <c r="A100" s="168"/>
      <c r="B100" s="168"/>
      <c r="C100" s="168"/>
      <c r="D100" s="168"/>
      <c r="E100" s="168"/>
      <c r="F100" s="168"/>
      <c r="G100" s="168"/>
      <c r="H100" s="168"/>
      <c r="I100" s="168"/>
      <c r="J100" s="169"/>
      <c r="K100" s="168"/>
      <c r="L100" s="168"/>
      <c r="M100" s="168"/>
      <c r="N100" s="168"/>
      <c r="O100" s="168"/>
      <c r="P100" s="168"/>
      <c r="Q100" s="168"/>
      <c r="R100" s="168"/>
      <c r="S100" s="168"/>
      <c r="T100" s="168"/>
      <c r="U100" s="168"/>
      <c r="V100" s="168"/>
      <c r="W100" s="168"/>
      <c r="X100" s="168"/>
      <c r="Y100" s="168"/>
      <c r="Z100" s="168"/>
    </row>
    <row r="101" spans="1:26" ht="15.75" customHeight="1" x14ac:dyDescent="0.25">
      <c r="A101" s="168"/>
      <c r="B101" s="168"/>
      <c r="C101" s="168"/>
      <c r="D101" s="168"/>
      <c r="E101" s="168"/>
      <c r="F101" s="168"/>
      <c r="G101" s="168"/>
      <c r="H101" s="168"/>
      <c r="I101" s="168"/>
      <c r="J101" s="169"/>
      <c r="K101" s="168"/>
      <c r="L101" s="168"/>
      <c r="M101" s="168"/>
      <c r="N101" s="168"/>
      <c r="O101" s="168"/>
      <c r="P101" s="168"/>
      <c r="Q101" s="168"/>
      <c r="R101" s="168"/>
      <c r="S101" s="168"/>
      <c r="T101" s="168"/>
      <c r="U101" s="168"/>
      <c r="V101" s="168"/>
      <c r="W101" s="168"/>
      <c r="X101" s="168"/>
      <c r="Y101" s="168"/>
      <c r="Z101" s="168"/>
    </row>
    <row r="102" spans="1:26" ht="15.75" customHeight="1" x14ac:dyDescent="0.25">
      <c r="A102" s="168"/>
      <c r="B102" s="168"/>
      <c r="C102" s="168"/>
      <c r="D102" s="168"/>
      <c r="E102" s="168"/>
      <c r="F102" s="168"/>
      <c r="G102" s="168"/>
      <c r="H102" s="168"/>
      <c r="I102" s="168"/>
      <c r="J102" s="169"/>
      <c r="K102" s="168"/>
      <c r="L102" s="168"/>
      <c r="M102" s="168"/>
      <c r="N102" s="168"/>
      <c r="O102" s="168"/>
      <c r="P102" s="168"/>
      <c r="Q102" s="168"/>
      <c r="R102" s="168"/>
      <c r="S102" s="168"/>
      <c r="T102" s="168"/>
      <c r="U102" s="168"/>
      <c r="V102" s="168"/>
      <c r="W102" s="168"/>
      <c r="X102" s="168"/>
      <c r="Y102" s="168"/>
      <c r="Z102" s="168"/>
    </row>
    <row r="103" spans="1:26" ht="15.75" customHeight="1" x14ac:dyDescent="0.25">
      <c r="A103" s="168"/>
      <c r="B103" s="168"/>
      <c r="C103" s="168"/>
      <c r="D103" s="168"/>
      <c r="E103" s="168"/>
      <c r="F103" s="168"/>
      <c r="G103" s="168"/>
      <c r="H103" s="168"/>
      <c r="I103" s="168"/>
      <c r="J103" s="169"/>
      <c r="K103" s="168"/>
      <c r="L103" s="168"/>
      <c r="M103" s="168"/>
      <c r="N103" s="168"/>
      <c r="O103" s="168"/>
      <c r="P103" s="168"/>
      <c r="Q103" s="168"/>
      <c r="R103" s="168"/>
      <c r="S103" s="168"/>
      <c r="T103" s="168"/>
      <c r="U103" s="168"/>
      <c r="V103" s="168"/>
      <c r="W103" s="168"/>
      <c r="X103" s="168"/>
      <c r="Y103" s="168"/>
      <c r="Z103" s="168"/>
    </row>
    <row r="104" spans="1:26" ht="15.75" customHeight="1" x14ac:dyDescent="0.25">
      <c r="A104" s="168"/>
      <c r="B104" s="168"/>
      <c r="C104" s="168"/>
      <c r="D104" s="168"/>
      <c r="E104" s="168"/>
      <c r="F104" s="168"/>
      <c r="G104" s="168"/>
      <c r="H104" s="168"/>
      <c r="I104" s="168"/>
      <c r="J104" s="169"/>
      <c r="K104" s="168"/>
      <c r="L104" s="168"/>
      <c r="M104" s="168"/>
      <c r="N104" s="168"/>
      <c r="O104" s="168"/>
      <c r="P104" s="168"/>
      <c r="Q104" s="168"/>
      <c r="R104" s="168"/>
      <c r="S104" s="168"/>
      <c r="T104" s="168"/>
      <c r="U104" s="168"/>
      <c r="V104" s="168"/>
      <c r="W104" s="168"/>
      <c r="X104" s="168"/>
      <c r="Y104" s="168"/>
      <c r="Z104" s="168"/>
    </row>
    <row r="105" spans="1:26" ht="15.75" customHeight="1" x14ac:dyDescent="0.25">
      <c r="A105" s="168"/>
      <c r="B105" s="168"/>
      <c r="C105" s="168"/>
      <c r="D105" s="168"/>
      <c r="E105" s="168"/>
      <c r="F105" s="168"/>
      <c r="G105" s="168"/>
      <c r="H105" s="168"/>
      <c r="I105" s="168"/>
      <c r="J105" s="169"/>
      <c r="K105" s="168"/>
      <c r="L105" s="168"/>
      <c r="M105" s="168"/>
      <c r="N105" s="168"/>
      <c r="O105" s="168"/>
      <c r="P105" s="168"/>
      <c r="Q105" s="168"/>
      <c r="R105" s="168"/>
      <c r="S105" s="168"/>
      <c r="T105" s="168"/>
      <c r="U105" s="168"/>
      <c r="V105" s="168"/>
      <c r="W105" s="168"/>
      <c r="X105" s="168"/>
      <c r="Y105" s="168"/>
      <c r="Z105" s="168"/>
    </row>
    <row r="106" spans="1:26" ht="15.75" customHeight="1" x14ac:dyDescent="0.25">
      <c r="A106" s="168"/>
      <c r="B106" s="168"/>
      <c r="C106" s="168"/>
      <c r="D106" s="168"/>
      <c r="E106" s="168"/>
      <c r="F106" s="168"/>
      <c r="G106" s="168"/>
      <c r="H106" s="168"/>
      <c r="I106" s="168"/>
      <c r="J106" s="169"/>
      <c r="K106" s="168"/>
      <c r="L106" s="168"/>
      <c r="M106" s="168"/>
      <c r="N106" s="168"/>
      <c r="O106" s="168"/>
      <c r="P106" s="168"/>
      <c r="Q106" s="168"/>
      <c r="R106" s="168"/>
      <c r="S106" s="168"/>
      <c r="T106" s="168"/>
      <c r="U106" s="168"/>
      <c r="V106" s="168"/>
      <c r="W106" s="168"/>
      <c r="X106" s="168"/>
      <c r="Y106" s="168"/>
      <c r="Z106" s="168"/>
    </row>
    <row r="107" spans="1:26" ht="15.75" customHeight="1" x14ac:dyDescent="0.25">
      <c r="A107" s="168"/>
      <c r="B107" s="168"/>
      <c r="C107" s="168"/>
      <c r="D107" s="168"/>
      <c r="E107" s="168"/>
      <c r="F107" s="168"/>
      <c r="G107" s="168"/>
      <c r="H107" s="168"/>
      <c r="I107" s="168"/>
      <c r="J107" s="169"/>
      <c r="K107" s="168"/>
      <c r="L107" s="168"/>
      <c r="M107" s="168"/>
      <c r="N107" s="168"/>
      <c r="O107" s="168"/>
      <c r="P107" s="168"/>
      <c r="Q107" s="168"/>
      <c r="R107" s="168"/>
      <c r="S107" s="168"/>
      <c r="T107" s="168"/>
      <c r="U107" s="168"/>
      <c r="V107" s="168"/>
      <c r="W107" s="168"/>
      <c r="X107" s="168"/>
      <c r="Y107" s="168"/>
      <c r="Z107" s="168"/>
    </row>
    <row r="108" spans="1:26" ht="15.75" customHeight="1" x14ac:dyDescent="0.25">
      <c r="A108" s="168"/>
      <c r="B108" s="168"/>
      <c r="C108" s="168"/>
      <c r="D108" s="168"/>
      <c r="E108" s="168"/>
      <c r="F108" s="168"/>
      <c r="G108" s="168"/>
      <c r="H108" s="168"/>
      <c r="I108" s="168"/>
      <c r="J108" s="169"/>
      <c r="K108" s="168"/>
      <c r="L108" s="168"/>
      <c r="M108" s="168"/>
      <c r="N108" s="168"/>
      <c r="O108" s="168"/>
      <c r="P108" s="168"/>
      <c r="Q108" s="168"/>
      <c r="R108" s="168"/>
      <c r="S108" s="168"/>
      <c r="T108" s="168"/>
      <c r="U108" s="168"/>
      <c r="V108" s="168"/>
      <c r="W108" s="168"/>
      <c r="X108" s="168"/>
      <c r="Y108" s="168"/>
      <c r="Z108" s="168"/>
    </row>
    <row r="109" spans="1:26" ht="15.75" customHeight="1" x14ac:dyDescent="0.25">
      <c r="A109" s="168"/>
      <c r="B109" s="168"/>
      <c r="C109" s="168"/>
      <c r="D109" s="168"/>
      <c r="E109" s="168"/>
      <c r="F109" s="168"/>
      <c r="G109" s="168"/>
      <c r="H109" s="168"/>
      <c r="I109" s="168"/>
      <c r="J109" s="169"/>
      <c r="K109" s="168"/>
      <c r="L109" s="168"/>
      <c r="M109" s="168"/>
      <c r="N109" s="168"/>
      <c r="O109" s="168"/>
      <c r="P109" s="168"/>
      <c r="Q109" s="168"/>
      <c r="R109" s="168"/>
      <c r="S109" s="168"/>
      <c r="T109" s="168"/>
      <c r="U109" s="168"/>
      <c r="V109" s="168"/>
      <c r="W109" s="168"/>
      <c r="X109" s="168"/>
      <c r="Y109" s="168"/>
      <c r="Z109" s="168"/>
    </row>
    <row r="110" spans="1:26" ht="15.75" customHeight="1" x14ac:dyDescent="0.25">
      <c r="A110" s="168"/>
      <c r="B110" s="168"/>
      <c r="C110" s="168"/>
      <c r="D110" s="168"/>
      <c r="E110" s="168"/>
      <c r="F110" s="168"/>
      <c r="G110" s="168"/>
      <c r="H110" s="168"/>
      <c r="I110" s="168"/>
      <c r="J110" s="169"/>
      <c r="K110" s="168"/>
      <c r="L110" s="168"/>
      <c r="M110" s="168"/>
      <c r="N110" s="168"/>
      <c r="O110" s="168"/>
      <c r="P110" s="168"/>
      <c r="Q110" s="168"/>
      <c r="R110" s="168"/>
      <c r="S110" s="168"/>
      <c r="T110" s="168"/>
      <c r="U110" s="168"/>
      <c r="V110" s="168"/>
      <c r="W110" s="168"/>
      <c r="X110" s="168"/>
      <c r="Y110" s="168"/>
      <c r="Z110" s="168"/>
    </row>
    <row r="111" spans="1:26" ht="15.75" customHeight="1" x14ac:dyDescent="0.25">
      <c r="A111" s="168"/>
      <c r="B111" s="168"/>
      <c r="C111" s="168"/>
      <c r="D111" s="168"/>
      <c r="E111" s="168"/>
      <c r="F111" s="168"/>
      <c r="G111" s="168"/>
      <c r="H111" s="168"/>
      <c r="I111" s="168"/>
      <c r="J111" s="169"/>
      <c r="K111" s="168"/>
      <c r="L111" s="168"/>
      <c r="M111" s="168"/>
      <c r="N111" s="168"/>
      <c r="O111" s="168"/>
      <c r="P111" s="168"/>
      <c r="Q111" s="168"/>
      <c r="R111" s="168"/>
      <c r="S111" s="168"/>
      <c r="T111" s="168"/>
      <c r="U111" s="168"/>
      <c r="V111" s="168"/>
      <c r="W111" s="168"/>
      <c r="X111" s="168"/>
      <c r="Y111" s="168"/>
      <c r="Z111" s="168"/>
    </row>
    <row r="112" spans="1:26" ht="15.75" customHeight="1" x14ac:dyDescent="0.25">
      <c r="A112" s="168"/>
      <c r="B112" s="168"/>
      <c r="C112" s="168"/>
      <c r="D112" s="168"/>
      <c r="E112" s="168"/>
      <c r="F112" s="168"/>
      <c r="G112" s="168"/>
      <c r="H112" s="168"/>
      <c r="I112" s="168"/>
      <c r="J112" s="169"/>
      <c r="K112" s="168"/>
      <c r="L112" s="168"/>
      <c r="M112" s="168"/>
      <c r="N112" s="168"/>
      <c r="O112" s="168"/>
      <c r="P112" s="168"/>
      <c r="Q112" s="168"/>
      <c r="R112" s="168"/>
      <c r="S112" s="168"/>
      <c r="T112" s="168"/>
      <c r="U112" s="168"/>
      <c r="V112" s="168"/>
      <c r="W112" s="168"/>
      <c r="X112" s="168"/>
      <c r="Y112" s="168"/>
      <c r="Z112" s="168"/>
    </row>
    <row r="113" spans="1:26" ht="15.75" customHeight="1" x14ac:dyDescent="0.25">
      <c r="A113" s="168"/>
      <c r="B113" s="168"/>
      <c r="C113" s="168"/>
      <c r="D113" s="168"/>
      <c r="E113" s="168"/>
      <c r="F113" s="168"/>
      <c r="G113" s="168"/>
      <c r="H113" s="168"/>
      <c r="I113" s="168"/>
      <c r="J113" s="169"/>
      <c r="K113" s="168"/>
      <c r="L113" s="168"/>
      <c r="M113" s="168"/>
      <c r="N113" s="168"/>
      <c r="O113" s="168"/>
      <c r="P113" s="168"/>
      <c r="Q113" s="168"/>
      <c r="R113" s="168"/>
      <c r="S113" s="168"/>
      <c r="T113" s="168"/>
      <c r="U113" s="168"/>
      <c r="V113" s="168"/>
      <c r="W113" s="168"/>
      <c r="X113" s="168"/>
      <c r="Y113" s="168"/>
      <c r="Z113" s="168"/>
    </row>
    <row r="114" spans="1:26" ht="15.75" customHeight="1" x14ac:dyDescent="0.25">
      <c r="A114" s="168"/>
      <c r="B114" s="168"/>
      <c r="C114" s="168"/>
      <c r="D114" s="168"/>
      <c r="E114" s="168"/>
      <c r="F114" s="168"/>
      <c r="G114" s="168"/>
      <c r="H114" s="168"/>
      <c r="I114" s="168"/>
      <c r="J114" s="169"/>
      <c r="K114" s="168"/>
      <c r="L114" s="168"/>
      <c r="M114" s="168"/>
      <c r="N114" s="168"/>
      <c r="O114" s="168"/>
      <c r="P114" s="168"/>
      <c r="Q114" s="168"/>
      <c r="R114" s="168"/>
      <c r="S114" s="168"/>
      <c r="T114" s="168"/>
      <c r="U114" s="168"/>
      <c r="V114" s="168"/>
      <c r="W114" s="168"/>
      <c r="X114" s="168"/>
      <c r="Y114" s="168"/>
      <c r="Z114" s="168"/>
    </row>
    <row r="115" spans="1:26" ht="15.75" customHeight="1" x14ac:dyDescent="0.25">
      <c r="A115" s="168"/>
      <c r="B115" s="168"/>
      <c r="C115" s="168"/>
      <c r="D115" s="168"/>
      <c r="E115" s="168"/>
      <c r="F115" s="168"/>
      <c r="G115" s="168"/>
      <c r="H115" s="168"/>
      <c r="I115" s="168"/>
      <c r="J115" s="169"/>
      <c r="K115" s="168"/>
      <c r="L115" s="168"/>
      <c r="M115" s="168"/>
      <c r="N115" s="168"/>
      <c r="O115" s="168"/>
      <c r="P115" s="168"/>
      <c r="Q115" s="168"/>
      <c r="R115" s="168"/>
      <c r="S115" s="168"/>
      <c r="T115" s="168"/>
      <c r="U115" s="168"/>
      <c r="V115" s="168"/>
      <c r="W115" s="168"/>
      <c r="X115" s="168"/>
      <c r="Y115" s="168"/>
      <c r="Z115" s="168"/>
    </row>
    <row r="116" spans="1:26" ht="15.75" customHeight="1" x14ac:dyDescent="0.25">
      <c r="A116" s="168"/>
      <c r="B116" s="168"/>
      <c r="C116" s="168"/>
      <c r="D116" s="168"/>
      <c r="E116" s="168"/>
      <c r="F116" s="168"/>
      <c r="G116" s="168"/>
      <c r="H116" s="168"/>
      <c r="I116" s="168"/>
      <c r="J116" s="169"/>
      <c r="K116" s="168"/>
      <c r="L116" s="168"/>
      <c r="M116" s="168"/>
      <c r="N116" s="168"/>
      <c r="O116" s="168"/>
      <c r="P116" s="168"/>
      <c r="Q116" s="168"/>
      <c r="R116" s="168"/>
      <c r="S116" s="168"/>
      <c r="T116" s="168"/>
      <c r="U116" s="168"/>
      <c r="V116" s="168"/>
      <c r="W116" s="168"/>
      <c r="X116" s="168"/>
      <c r="Y116" s="168"/>
      <c r="Z116" s="168"/>
    </row>
    <row r="117" spans="1:26" ht="15.75" customHeight="1" x14ac:dyDescent="0.25">
      <c r="A117" s="168"/>
      <c r="B117" s="168"/>
      <c r="C117" s="168"/>
      <c r="D117" s="168"/>
      <c r="E117" s="168"/>
      <c r="F117" s="168"/>
      <c r="G117" s="168"/>
      <c r="H117" s="168"/>
      <c r="I117" s="168"/>
      <c r="J117" s="169"/>
      <c r="K117" s="168"/>
      <c r="L117" s="168"/>
      <c r="M117" s="168"/>
      <c r="N117" s="168"/>
      <c r="O117" s="168"/>
      <c r="P117" s="168"/>
      <c r="Q117" s="168"/>
      <c r="R117" s="168"/>
      <c r="S117" s="168"/>
      <c r="T117" s="168"/>
      <c r="U117" s="168"/>
      <c r="V117" s="168"/>
      <c r="W117" s="168"/>
      <c r="X117" s="168"/>
      <c r="Y117" s="168"/>
      <c r="Z117" s="168"/>
    </row>
    <row r="118" spans="1:26" ht="15.75" customHeight="1" x14ac:dyDescent="0.25">
      <c r="A118" s="168"/>
      <c r="B118" s="168"/>
      <c r="C118" s="168"/>
      <c r="D118" s="168"/>
      <c r="E118" s="168"/>
      <c r="F118" s="168"/>
      <c r="G118" s="168"/>
      <c r="H118" s="168"/>
      <c r="I118" s="168"/>
      <c r="J118" s="169"/>
      <c r="K118" s="168"/>
      <c r="L118" s="168"/>
      <c r="M118" s="168"/>
      <c r="N118" s="168"/>
      <c r="O118" s="168"/>
      <c r="P118" s="168"/>
      <c r="Q118" s="168"/>
      <c r="R118" s="168"/>
      <c r="S118" s="168"/>
      <c r="T118" s="168"/>
      <c r="U118" s="168"/>
      <c r="V118" s="168"/>
      <c r="W118" s="168"/>
      <c r="X118" s="168"/>
      <c r="Y118" s="168"/>
      <c r="Z118" s="168"/>
    </row>
    <row r="119" spans="1:26" ht="15.75" customHeight="1" x14ac:dyDescent="0.25">
      <c r="A119" s="168"/>
      <c r="B119" s="168"/>
      <c r="C119" s="168"/>
      <c r="D119" s="168"/>
      <c r="E119" s="168"/>
      <c r="F119" s="168"/>
      <c r="G119" s="168"/>
      <c r="H119" s="168"/>
      <c r="I119" s="168"/>
      <c r="J119" s="169"/>
      <c r="K119" s="168"/>
      <c r="L119" s="168"/>
      <c r="M119" s="168"/>
      <c r="N119" s="168"/>
      <c r="O119" s="168"/>
      <c r="P119" s="168"/>
      <c r="Q119" s="168"/>
      <c r="R119" s="168"/>
      <c r="S119" s="168"/>
      <c r="T119" s="168"/>
      <c r="U119" s="168"/>
      <c r="V119" s="168"/>
      <c r="W119" s="168"/>
      <c r="X119" s="168"/>
      <c r="Y119" s="168"/>
      <c r="Z119" s="168"/>
    </row>
    <row r="120" spans="1:26" ht="15.75" customHeight="1" x14ac:dyDescent="0.25">
      <c r="A120" s="168"/>
      <c r="B120" s="168"/>
      <c r="C120" s="168"/>
      <c r="D120" s="168"/>
      <c r="E120" s="168"/>
      <c r="F120" s="168"/>
      <c r="G120" s="168"/>
      <c r="H120" s="168"/>
      <c r="I120" s="168"/>
      <c r="J120" s="169"/>
      <c r="K120" s="168"/>
      <c r="L120" s="168"/>
      <c r="M120" s="168"/>
      <c r="N120" s="168"/>
      <c r="O120" s="168"/>
      <c r="P120" s="168"/>
      <c r="Q120" s="168"/>
      <c r="R120" s="168"/>
      <c r="S120" s="168"/>
      <c r="T120" s="168"/>
      <c r="U120" s="168"/>
      <c r="V120" s="168"/>
      <c r="W120" s="168"/>
      <c r="X120" s="168"/>
      <c r="Y120" s="168"/>
      <c r="Z120" s="168"/>
    </row>
    <row r="121" spans="1:26" ht="15.75" customHeight="1" x14ac:dyDescent="0.25">
      <c r="A121" s="168"/>
      <c r="B121" s="168"/>
      <c r="C121" s="168"/>
      <c r="D121" s="168"/>
      <c r="E121" s="168"/>
      <c r="F121" s="168"/>
      <c r="G121" s="168"/>
      <c r="H121" s="168"/>
      <c r="I121" s="168"/>
      <c r="J121" s="169"/>
      <c r="K121" s="168"/>
      <c r="L121" s="168"/>
      <c r="M121" s="168"/>
      <c r="N121" s="168"/>
      <c r="O121" s="168"/>
      <c r="P121" s="168"/>
      <c r="Q121" s="168"/>
      <c r="R121" s="168"/>
      <c r="S121" s="168"/>
      <c r="T121" s="168"/>
      <c r="U121" s="168"/>
      <c r="V121" s="168"/>
      <c r="W121" s="168"/>
      <c r="X121" s="168"/>
      <c r="Y121" s="168"/>
      <c r="Z121" s="168"/>
    </row>
    <row r="122" spans="1:26" ht="15.75" customHeight="1" x14ac:dyDescent="0.25">
      <c r="A122" s="168"/>
      <c r="B122" s="168"/>
      <c r="C122" s="168"/>
      <c r="D122" s="168"/>
      <c r="E122" s="168"/>
      <c r="F122" s="168"/>
      <c r="G122" s="168"/>
      <c r="H122" s="168"/>
      <c r="I122" s="168"/>
      <c r="J122" s="169"/>
      <c r="K122" s="168"/>
      <c r="L122" s="168"/>
      <c r="M122" s="168"/>
      <c r="N122" s="168"/>
      <c r="O122" s="168"/>
      <c r="P122" s="168"/>
      <c r="Q122" s="168"/>
      <c r="R122" s="168"/>
      <c r="S122" s="168"/>
      <c r="T122" s="168"/>
      <c r="U122" s="168"/>
      <c r="V122" s="168"/>
      <c r="W122" s="168"/>
      <c r="X122" s="168"/>
      <c r="Y122" s="168"/>
      <c r="Z122" s="168"/>
    </row>
    <row r="123" spans="1:26" ht="15.75" customHeight="1" x14ac:dyDescent="0.25">
      <c r="A123" s="168"/>
      <c r="B123" s="168"/>
      <c r="C123" s="168"/>
      <c r="D123" s="168"/>
      <c r="E123" s="168"/>
      <c r="F123" s="168"/>
      <c r="G123" s="168"/>
      <c r="H123" s="168"/>
      <c r="I123" s="168"/>
      <c r="J123" s="169"/>
      <c r="K123" s="168"/>
      <c r="L123" s="168"/>
      <c r="M123" s="168"/>
      <c r="N123" s="168"/>
      <c r="O123" s="168"/>
      <c r="P123" s="168"/>
      <c r="Q123" s="168"/>
      <c r="R123" s="168"/>
      <c r="S123" s="168"/>
      <c r="T123" s="168"/>
      <c r="U123" s="168"/>
      <c r="V123" s="168"/>
      <c r="W123" s="168"/>
      <c r="X123" s="168"/>
      <c r="Y123" s="168"/>
      <c r="Z123" s="168"/>
    </row>
    <row r="124" spans="1:26" ht="15.75" customHeight="1" x14ac:dyDescent="0.25">
      <c r="A124" s="168"/>
      <c r="B124" s="168"/>
      <c r="C124" s="168"/>
      <c r="D124" s="168"/>
      <c r="E124" s="168"/>
      <c r="F124" s="168"/>
      <c r="G124" s="168"/>
      <c r="H124" s="168"/>
      <c r="I124" s="168"/>
      <c r="J124" s="169"/>
      <c r="K124" s="168"/>
      <c r="L124" s="168"/>
      <c r="M124" s="168"/>
      <c r="N124" s="168"/>
      <c r="O124" s="168"/>
      <c r="P124" s="168"/>
      <c r="Q124" s="168"/>
      <c r="R124" s="168"/>
      <c r="S124" s="168"/>
      <c r="T124" s="168"/>
      <c r="U124" s="168"/>
      <c r="V124" s="168"/>
      <c r="W124" s="168"/>
      <c r="X124" s="168"/>
      <c r="Y124" s="168"/>
      <c r="Z124" s="168"/>
    </row>
    <row r="125" spans="1:26" ht="15.75" customHeight="1" x14ac:dyDescent="0.25">
      <c r="A125" s="168"/>
      <c r="B125" s="168"/>
      <c r="C125" s="168"/>
      <c r="D125" s="168"/>
      <c r="E125" s="168"/>
      <c r="F125" s="168"/>
      <c r="G125" s="168"/>
      <c r="H125" s="168"/>
      <c r="I125" s="168"/>
      <c r="J125" s="169"/>
      <c r="K125" s="168"/>
      <c r="L125" s="168"/>
      <c r="M125" s="168"/>
      <c r="N125" s="168"/>
      <c r="O125" s="168"/>
      <c r="P125" s="168"/>
      <c r="Q125" s="168"/>
      <c r="R125" s="168"/>
      <c r="S125" s="168"/>
      <c r="T125" s="168"/>
      <c r="U125" s="168"/>
      <c r="V125" s="168"/>
      <c r="W125" s="168"/>
      <c r="X125" s="168"/>
      <c r="Y125" s="168"/>
      <c r="Z125" s="168"/>
    </row>
    <row r="126" spans="1:26" ht="15.75" customHeight="1" x14ac:dyDescent="0.25">
      <c r="A126" s="168"/>
      <c r="B126" s="168"/>
      <c r="C126" s="168"/>
      <c r="D126" s="168"/>
      <c r="E126" s="168"/>
      <c r="F126" s="168"/>
      <c r="G126" s="168"/>
      <c r="H126" s="168"/>
      <c r="I126" s="168"/>
      <c r="J126" s="169"/>
      <c r="K126" s="168"/>
      <c r="L126" s="168"/>
      <c r="M126" s="168"/>
      <c r="N126" s="168"/>
      <c r="O126" s="168"/>
      <c r="P126" s="168"/>
      <c r="Q126" s="168"/>
      <c r="R126" s="168"/>
      <c r="S126" s="168"/>
      <c r="T126" s="168"/>
      <c r="U126" s="168"/>
      <c r="V126" s="168"/>
      <c r="W126" s="168"/>
      <c r="X126" s="168"/>
      <c r="Y126" s="168"/>
      <c r="Z126" s="168"/>
    </row>
    <row r="127" spans="1:26" ht="15.75" customHeight="1" x14ac:dyDescent="0.25">
      <c r="A127" s="168"/>
      <c r="B127" s="168"/>
      <c r="C127" s="168"/>
      <c r="D127" s="168"/>
      <c r="E127" s="168"/>
      <c r="F127" s="168"/>
      <c r="G127" s="168"/>
      <c r="H127" s="168"/>
      <c r="I127" s="168"/>
      <c r="J127" s="169"/>
      <c r="K127" s="168"/>
      <c r="L127" s="168"/>
      <c r="M127" s="168"/>
      <c r="N127" s="168"/>
      <c r="O127" s="168"/>
      <c r="P127" s="168"/>
      <c r="Q127" s="168"/>
      <c r="R127" s="168"/>
      <c r="S127" s="168"/>
      <c r="T127" s="168"/>
      <c r="U127" s="168"/>
      <c r="V127" s="168"/>
      <c r="W127" s="168"/>
      <c r="X127" s="168"/>
      <c r="Y127" s="168"/>
      <c r="Z127" s="168"/>
    </row>
    <row r="128" spans="1:26" ht="15.75" customHeight="1" x14ac:dyDescent="0.25">
      <c r="A128" s="168"/>
      <c r="B128" s="168"/>
      <c r="C128" s="168"/>
      <c r="D128" s="168"/>
      <c r="E128" s="168"/>
      <c r="F128" s="168"/>
      <c r="G128" s="168"/>
      <c r="H128" s="168"/>
      <c r="I128" s="168"/>
      <c r="J128" s="169"/>
      <c r="K128" s="168"/>
      <c r="L128" s="168"/>
      <c r="M128" s="168"/>
      <c r="N128" s="168"/>
      <c r="O128" s="168"/>
      <c r="P128" s="168"/>
      <c r="Q128" s="168"/>
      <c r="R128" s="168"/>
      <c r="S128" s="168"/>
      <c r="T128" s="168"/>
      <c r="U128" s="168"/>
      <c r="V128" s="168"/>
      <c r="W128" s="168"/>
      <c r="X128" s="168"/>
      <c r="Y128" s="168"/>
      <c r="Z128" s="168"/>
    </row>
    <row r="129" spans="1:26" ht="15.75" customHeight="1" x14ac:dyDescent="0.25">
      <c r="A129" s="168"/>
      <c r="B129" s="168"/>
      <c r="C129" s="168"/>
      <c r="D129" s="168"/>
      <c r="E129" s="168"/>
      <c r="F129" s="168"/>
      <c r="G129" s="168"/>
      <c r="H129" s="168"/>
      <c r="I129" s="168"/>
      <c r="J129" s="169"/>
      <c r="K129" s="168"/>
      <c r="L129" s="168"/>
      <c r="M129" s="168"/>
      <c r="N129" s="168"/>
      <c r="O129" s="168"/>
      <c r="P129" s="168"/>
      <c r="Q129" s="168"/>
      <c r="R129" s="168"/>
      <c r="S129" s="168"/>
      <c r="T129" s="168"/>
      <c r="U129" s="168"/>
      <c r="V129" s="168"/>
      <c r="W129" s="168"/>
      <c r="X129" s="168"/>
      <c r="Y129" s="168"/>
      <c r="Z129" s="168"/>
    </row>
    <row r="130" spans="1:26" ht="15.75" customHeight="1" x14ac:dyDescent="0.25">
      <c r="A130" s="168"/>
      <c r="B130" s="168"/>
      <c r="C130" s="168"/>
      <c r="D130" s="168"/>
      <c r="E130" s="168"/>
      <c r="F130" s="168"/>
      <c r="G130" s="168"/>
      <c r="H130" s="168"/>
      <c r="I130" s="168"/>
      <c r="J130" s="169"/>
      <c r="K130" s="168"/>
      <c r="L130" s="168"/>
      <c r="M130" s="168"/>
      <c r="N130" s="168"/>
      <c r="O130" s="168"/>
      <c r="P130" s="168"/>
      <c r="Q130" s="168"/>
      <c r="R130" s="168"/>
      <c r="S130" s="168"/>
      <c r="T130" s="168"/>
      <c r="U130" s="168"/>
      <c r="V130" s="168"/>
      <c r="W130" s="168"/>
      <c r="X130" s="168"/>
      <c r="Y130" s="168"/>
      <c r="Z130" s="168"/>
    </row>
    <row r="131" spans="1:26" ht="15.75" customHeight="1" x14ac:dyDescent="0.25">
      <c r="A131" s="168"/>
      <c r="B131" s="168"/>
      <c r="C131" s="168"/>
      <c r="D131" s="168"/>
      <c r="E131" s="168"/>
      <c r="F131" s="168"/>
      <c r="G131" s="168"/>
      <c r="H131" s="168"/>
      <c r="I131" s="168"/>
      <c r="J131" s="169"/>
      <c r="K131" s="168"/>
      <c r="L131" s="168"/>
      <c r="M131" s="168"/>
      <c r="N131" s="168"/>
      <c r="O131" s="168"/>
      <c r="P131" s="168"/>
      <c r="Q131" s="168"/>
      <c r="R131" s="168"/>
      <c r="S131" s="168"/>
      <c r="T131" s="168"/>
      <c r="U131" s="168"/>
      <c r="V131" s="168"/>
      <c r="W131" s="168"/>
      <c r="X131" s="168"/>
      <c r="Y131" s="168"/>
      <c r="Z131" s="168"/>
    </row>
    <row r="132" spans="1:26" ht="15.75" customHeight="1" x14ac:dyDescent="0.25">
      <c r="A132" s="168"/>
      <c r="B132" s="168"/>
      <c r="C132" s="168"/>
      <c r="D132" s="168"/>
      <c r="E132" s="168"/>
      <c r="F132" s="168"/>
      <c r="G132" s="168"/>
      <c r="H132" s="168"/>
      <c r="I132" s="168"/>
      <c r="J132" s="169"/>
      <c r="K132" s="168"/>
      <c r="L132" s="168"/>
      <c r="M132" s="168"/>
      <c r="N132" s="168"/>
      <c r="O132" s="168"/>
      <c r="P132" s="168"/>
      <c r="Q132" s="168"/>
      <c r="R132" s="168"/>
      <c r="S132" s="168"/>
      <c r="T132" s="168"/>
      <c r="U132" s="168"/>
      <c r="V132" s="168"/>
      <c r="W132" s="168"/>
      <c r="X132" s="168"/>
      <c r="Y132" s="168"/>
      <c r="Z132" s="168"/>
    </row>
    <row r="133" spans="1:26" ht="15.75" customHeight="1" x14ac:dyDescent="0.25">
      <c r="A133" s="168"/>
      <c r="B133" s="168"/>
      <c r="C133" s="168"/>
      <c r="D133" s="168"/>
      <c r="E133" s="168"/>
      <c r="F133" s="168"/>
      <c r="G133" s="168"/>
      <c r="H133" s="168"/>
      <c r="I133" s="168"/>
      <c r="J133" s="169"/>
      <c r="K133" s="168"/>
      <c r="L133" s="168"/>
      <c r="M133" s="168"/>
      <c r="N133" s="168"/>
      <c r="O133" s="168"/>
      <c r="P133" s="168"/>
      <c r="Q133" s="168"/>
      <c r="R133" s="168"/>
      <c r="S133" s="168"/>
      <c r="T133" s="168"/>
      <c r="U133" s="168"/>
      <c r="V133" s="168"/>
      <c r="W133" s="168"/>
      <c r="X133" s="168"/>
      <c r="Y133" s="168"/>
      <c r="Z133" s="168"/>
    </row>
    <row r="134" spans="1:26" ht="15.75" customHeight="1" x14ac:dyDescent="0.25">
      <c r="A134" s="168"/>
      <c r="B134" s="168"/>
      <c r="C134" s="168"/>
      <c r="D134" s="168"/>
      <c r="E134" s="168"/>
      <c r="F134" s="168"/>
      <c r="G134" s="168"/>
      <c r="H134" s="168"/>
      <c r="I134" s="168"/>
      <c r="J134" s="169"/>
      <c r="K134" s="168"/>
      <c r="L134" s="168"/>
      <c r="M134" s="168"/>
      <c r="N134" s="168"/>
      <c r="O134" s="168"/>
      <c r="P134" s="168"/>
      <c r="Q134" s="168"/>
      <c r="R134" s="168"/>
      <c r="S134" s="168"/>
      <c r="T134" s="168"/>
      <c r="U134" s="168"/>
      <c r="V134" s="168"/>
      <c r="W134" s="168"/>
      <c r="X134" s="168"/>
      <c r="Y134" s="168"/>
      <c r="Z134" s="168"/>
    </row>
    <row r="135" spans="1:26" ht="15.75" customHeight="1" x14ac:dyDescent="0.25">
      <c r="A135" s="168"/>
      <c r="B135" s="168"/>
      <c r="C135" s="168"/>
      <c r="D135" s="168"/>
      <c r="E135" s="168"/>
      <c r="F135" s="168"/>
      <c r="G135" s="168"/>
      <c r="H135" s="168"/>
      <c r="I135" s="168"/>
      <c r="J135" s="169"/>
      <c r="K135" s="168"/>
      <c r="L135" s="168"/>
      <c r="M135" s="168"/>
      <c r="N135" s="168"/>
      <c r="O135" s="168"/>
      <c r="P135" s="168"/>
      <c r="Q135" s="168"/>
      <c r="R135" s="168"/>
      <c r="S135" s="168"/>
      <c r="T135" s="168"/>
      <c r="U135" s="168"/>
      <c r="V135" s="168"/>
      <c r="W135" s="168"/>
      <c r="X135" s="168"/>
      <c r="Y135" s="168"/>
      <c r="Z135" s="168"/>
    </row>
    <row r="136" spans="1:26" ht="15.75" customHeight="1" x14ac:dyDescent="0.25">
      <c r="A136" s="168"/>
      <c r="B136" s="168"/>
      <c r="C136" s="168"/>
      <c r="D136" s="168"/>
      <c r="E136" s="168"/>
      <c r="F136" s="168"/>
      <c r="G136" s="168"/>
      <c r="H136" s="168"/>
      <c r="I136" s="168"/>
      <c r="J136" s="169"/>
      <c r="K136" s="168"/>
      <c r="L136" s="168"/>
      <c r="M136" s="168"/>
      <c r="N136" s="168"/>
      <c r="O136" s="168"/>
      <c r="P136" s="168"/>
      <c r="Q136" s="168"/>
      <c r="R136" s="168"/>
      <c r="S136" s="168"/>
      <c r="T136" s="168"/>
      <c r="U136" s="168"/>
      <c r="V136" s="168"/>
      <c r="W136" s="168"/>
      <c r="X136" s="168"/>
      <c r="Y136" s="168"/>
      <c r="Z136" s="168"/>
    </row>
    <row r="137" spans="1:26" ht="15.75" customHeight="1" x14ac:dyDescent="0.25">
      <c r="A137" s="168"/>
      <c r="B137" s="168"/>
      <c r="C137" s="168"/>
      <c r="D137" s="168"/>
      <c r="E137" s="168"/>
      <c r="F137" s="168"/>
      <c r="G137" s="168"/>
      <c r="H137" s="168"/>
      <c r="I137" s="168"/>
      <c r="J137" s="169"/>
      <c r="K137" s="168"/>
      <c r="L137" s="168"/>
      <c r="M137" s="168"/>
      <c r="N137" s="168"/>
      <c r="O137" s="168"/>
      <c r="P137" s="168"/>
      <c r="Q137" s="168"/>
      <c r="R137" s="168"/>
      <c r="S137" s="168"/>
      <c r="T137" s="168"/>
      <c r="U137" s="168"/>
      <c r="V137" s="168"/>
      <c r="W137" s="168"/>
      <c r="X137" s="168"/>
      <c r="Y137" s="168"/>
      <c r="Z137" s="168"/>
    </row>
    <row r="138" spans="1:26" ht="15.75" customHeight="1" x14ac:dyDescent="0.25">
      <c r="A138" s="168"/>
      <c r="B138" s="168"/>
      <c r="C138" s="168"/>
      <c r="D138" s="168"/>
      <c r="E138" s="168"/>
      <c r="F138" s="168"/>
      <c r="G138" s="168"/>
      <c r="H138" s="168"/>
      <c r="I138" s="168"/>
      <c r="J138" s="169"/>
      <c r="K138" s="168"/>
      <c r="L138" s="168"/>
      <c r="M138" s="168"/>
      <c r="N138" s="168"/>
      <c r="O138" s="168"/>
      <c r="P138" s="168"/>
      <c r="Q138" s="168"/>
      <c r="R138" s="168"/>
      <c r="S138" s="168"/>
      <c r="T138" s="168"/>
      <c r="U138" s="168"/>
      <c r="V138" s="168"/>
      <c r="W138" s="168"/>
      <c r="X138" s="168"/>
      <c r="Y138" s="168"/>
      <c r="Z138" s="168"/>
    </row>
    <row r="139" spans="1:26" ht="15.75" customHeight="1" x14ac:dyDescent="0.25">
      <c r="A139" s="168"/>
      <c r="B139" s="168"/>
      <c r="C139" s="168"/>
      <c r="D139" s="168"/>
      <c r="E139" s="168"/>
      <c r="F139" s="168"/>
      <c r="G139" s="168"/>
      <c r="H139" s="168"/>
      <c r="I139" s="168"/>
      <c r="J139" s="169"/>
      <c r="K139" s="168"/>
      <c r="L139" s="168"/>
      <c r="M139" s="168"/>
      <c r="N139" s="168"/>
      <c r="O139" s="168"/>
      <c r="P139" s="168"/>
      <c r="Q139" s="168"/>
      <c r="R139" s="168"/>
      <c r="S139" s="168"/>
      <c r="T139" s="168"/>
      <c r="U139" s="168"/>
      <c r="V139" s="168"/>
      <c r="W139" s="168"/>
      <c r="X139" s="168"/>
      <c r="Y139" s="168"/>
      <c r="Z139" s="168"/>
    </row>
    <row r="140" spans="1:26" ht="15.75" customHeight="1" x14ac:dyDescent="0.25">
      <c r="A140" s="168"/>
      <c r="B140" s="168"/>
      <c r="C140" s="168"/>
      <c r="D140" s="168"/>
      <c r="E140" s="168"/>
      <c r="F140" s="168"/>
      <c r="G140" s="168"/>
      <c r="H140" s="168"/>
      <c r="I140" s="168"/>
      <c r="J140" s="169"/>
      <c r="K140" s="168"/>
      <c r="L140" s="168"/>
      <c r="M140" s="168"/>
      <c r="N140" s="168"/>
      <c r="O140" s="168"/>
      <c r="P140" s="168"/>
      <c r="Q140" s="168"/>
      <c r="R140" s="168"/>
      <c r="S140" s="168"/>
      <c r="T140" s="168"/>
      <c r="U140" s="168"/>
      <c r="V140" s="168"/>
      <c r="W140" s="168"/>
      <c r="X140" s="168"/>
      <c r="Y140" s="168"/>
      <c r="Z140" s="168"/>
    </row>
    <row r="141" spans="1:26" ht="15.75" customHeight="1" x14ac:dyDescent="0.25">
      <c r="A141" s="168"/>
      <c r="B141" s="168"/>
      <c r="C141" s="168"/>
      <c r="D141" s="168"/>
      <c r="E141" s="168"/>
      <c r="F141" s="168"/>
      <c r="G141" s="168"/>
      <c r="H141" s="168"/>
      <c r="I141" s="168"/>
      <c r="J141" s="169"/>
      <c r="K141" s="168"/>
      <c r="L141" s="168"/>
      <c r="M141" s="168"/>
      <c r="N141" s="168"/>
      <c r="O141" s="168"/>
      <c r="P141" s="168"/>
      <c r="Q141" s="168"/>
      <c r="R141" s="168"/>
      <c r="S141" s="168"/>
      <c r="T141" s="168"/>
      <c r="U141" s="168"/>
      <c r="V141" s="168"/>
      <c r="W141" s="168"/>
      <c r="X141" s="168"/>
      <c r="Y141" s="168"/>
      <c r="Z141" s="168"/>
    </row>
    <row r="142" spans="1:26" ht="15.75" customHeight="1" x14ac:dyDescent="0.25">
      <c r="A142" s="168"/>
      <c r="B142" s="168"/>
      <c r="C142" s="168"/>
      <c r="D142" s="168"/>
      <c r="E142" s="168"/>
      <c r="F142" s="168"/>
      <c r="G142" s="168"/>
      <c r="H142" s="168"/>
      <c r="I142" s="168"/>
      <c r="J142" s="169"/>
      <c r="K142" s="168"/>
      <c r="L142" s="168"/>
      <c r="M142" s="168"/>
      <c r="N142" s="168"/>
      <c r="O142" s="168"/>
      <c r="P142" s="168"/>
      <c r="Q142" s="168"/>
      <c r="R142" s="168"/>
      <c r="S142" s="168"/>
      <c r="T142" s="168"/>
      <c r="U142" s="168"/>
      <c r="V142" s="168"/>
      <c r="W142" s="168"/>
      <c r="X142" s="168"/>
      <c r="Y142" s="168"/>
      <c r="Z142" s="168"/>
    </row>
    <row r="143" spans="1:26" ht="15.75" customHeight="1" x14ac:dyDescent="0.25">
      <c r="A143" s="168"/>
      <c r="B143" s="168"/>
      <c r="C143" s="168"/>
      <c r="D143" s="168"/>
      <c r="E143" s="168"/>
      <c r="F143" s="168"/>
      <c r="G143" s="168"/>
      <c r="H143" s="168"/>
      <c r="I143" s="168"/>
      <c r="J143" s="169"/>
      <c r="K143" s="168"/>
      <c r="L143" s="168"/>
      <c r="M143" s="168"/>
      <c r="N143" s="168"/>
      <c r="O143" s="168"/>
      <c r="P143" s="168"/>
      <c r="Q143" s="168"/>
      <c r="R143" s="168"/>
      <c r="S143" s="168"/>
      <c r="T143" s="168"/>
      <c r="U143" s="168"/>
      <c r="V143" s="168"/>
      <c r="W143" s="168"/>
      <c r="X143" s="168"/>
      <c r="Y143" s="168"/>
      <c r="Z143" s="168"/>
    </row>
    <row r="144" spans="1:26" ht="15.75" customHeight="1" x14ac:dyDescent="0.25">
      <c r="A144" s="168"/>
      <c r="B144" s="168"/>
      <c r="C144" s="168"/>
      <c r="D144" s="168"/>
      <c r="E144" s="168"/>
      <c r="F144" s="168"/>
      <c r="G144" s="168"/>
      <c r="H144" s="168"/>
      <c r="I144" s="168"/>
      <c r="J144" s="169"/>
      <c r="K144" s="168"/>
      <c r="L144" s="168"/>
      <c r="M144" s="168"/>
      <c r="N144" s="168"/>
      <c r="O144" s="168"/>
      <c r="P144" s="168"/>
      <c r="Q144" s="168"/>
      <c r="R144" s="168"/>
      <c r="S144" s="168"/>
      <c r="T144" s="168"/>
      <c r="U144" s="168"/>
      <c r="V144" s="168"/>
      <c r="W144" s="168"/>
      <c r="X144" s="168"/>
      <c r="Y144" s="168"/>
      <c r="Z144" s="168"/>
    </row>
    <row r="145" spans="1:26" ht="15.75" customHeight="1" x14ac:dyDescent="0.25">
      <c r="A145" s="168"/>
      <c r="B145" s="168"/>
      <c r="C145" s="168"/>
      <c r="D145" s="168"/>
      <c r="E145" s="168"/>
      <c r="F145" s="168"/>
      <c r="G145" s="168"/>
      <c r="H145" s="168"/>
      <c r="I145" s="168"/>
      <c r="J145" s="169"/>
      <c r="K145" s="168"/>
      <c r="L145" s="168"/>
      <c r="M145" s="168"/>
      <c r="N145" s="168"/>
      <c r="O145" s="168"/>
      <c r="P145" s="168"/>
      <c r="Q145" s="168"/>
      <c r="R145" s="168"/>
      <c r="S145" s="168"/>
      <c r="T145" s="168"/>
      <c r="U145" s="168"/>
      <c r="V145" s="168"/>
      <c r="W145" s="168"/>
      <c r="X145" s="168"/>
      <c r="Y145" s="168"/>
      <c r="Z145" s="168"/>
    </row>
    <row r="146" spans="1:26" ht="15.75" customHeight="1" x14ac:dyDescent="0.25">
      <c r="A146" s="168"/>
      <c r="B146" s="168"/>
      <c r="C146" s="168"/>
      <c r="D146" s="168"/>
      <c r="E146" s="168"/>
      <c r="F146" s="168"/>
      <c r="G146" s="168"/>
      <c r="H146" s="168"/>
      <c r="I146" s="168"/>
      <c r="J146" s="169"/>
      <c r="K146" s="168"/>
      <c r="L146" s="168"/>
      <c r="M146" s="168"/>
      <c r="N146" s="168"/>
      <c r="O146" s="168"/>
      <c r="P146" s="168"/>
      <c r="Q146" s="168"/>
      <c r="R146" s="168"/>
      <c r="S146" s="168"/>
      <c r="T146" s="168"/>
      <c r="U146" s="168"/>
      <c r="V146" s="168"/>
      <c r="W146" s="168"/>
      <c r="X146" s="168"/>
      <c r="Y146" s="168"/>
      <c r="Z146" s="168"/>
    </row>
    <row r="147" spans="1:26" ht="15.75" customHeight="1" x14ac:dyDescent="0.25">
      <c r="A147" s="168"/>
      <c r="B147" s="168"/>
      <c r="C147" s="168"/>
      <c r="D147" s="168"/>
      <c r="E147" s="168"/>
      <c r="F147" s="168"/>
      <c r="G147" s="168"/>
      <c r="H147" s="168"/>
      <c r="I147" s="168"/>
      <c r="J147" s="169"/>
      <c r="K147" s="168"/>
      <c r="L147" s="168"/>
      <c r="M147" s="168"/>
      <c r="N147" s="168"/>
      <c r="O147" s="168"/>
      <c r="P147" s="168"/>
      <c r="Q147" s="168"/>
      <c r="R147" s="168"/>
      <c r="S147" s="168"/>
      <c r="T147" s="168"/>
      <c r="U147" s="168"/>
      <c r="V147" s="168"/>
      <c r="W147" s="168"/>
      <c r="X147" s="168"/>
      <c r="Y147" s="168"/>
      <c r="Z147" s="168"/>
    </row>
    <row r="148" spans="1:26" ht="15.75" customHeight="1" x14ac:dyDescent="0.25">
      <c r="A148" s="168"/>
      <c r="B148" s="168"/>
      <c r="C148" s="168"/>
      <c r="D148" s="168"/>
      <c r="E148" s="168"/>
      <c r="F148" s="168"/>
      <c r="G148" s="168"/>
      <c r="H148" s="168"/>
      <c r="I148" s="168"/>
      <c r="J148" s="169"/>
      <c r="K148" s="168"/>
      <c r="L148" s="168"/>
      <c r="M148" s="168"/>
      <c r="N148" s="168"/>
      <c r="O148" s="168"/>
      <c r="P148" s="168"/>
      <c r="Q148" s="168"/>
      <c r="R148" s="168"/>
      <c r="S148" s="168"/>
      <c r="T148" s="168"/>
      <c r="U148" s="168"/>
      <c r="V148" s="168"/>
      <c r="W148" s="168"/>
      <c r="X148" s="168"/>
      <c r="Y148" s="168"/>
      <c r="Z148" s="168"/>
    </row>
    <row r="149" spans="1:26" ht="15.75" customHeight="1" x14ac:dyDescent="0.25">
      <c r="A149" s="168"/>
      <c r="B149" s="168"/>
      <c r="C149" s="168"/>
      <c r="D149" s="168"/>
      <c r="E149" s="168"/>
      <c r="F149" s="168"/>
      <c r="G149" s="168"/>
      <c r="H149" s="168"/>
      <c r="I149" s="168"/>
      <c r="J149" s="169"/>
      <c r="K149" s="168"/>
      <c r="L149" s="168"/>
      <c r="M149" s="168"/>
      <c r="N149" s="168"/>
      <c r="O149" s="168"/>
      <c r="P149" s="168"/>
      <c r="Q149" s="168"/>
      <c r="R149" s="168"/>
      <c r="S149" s="168"/>
      <c r="T149" s="168"/>
      <c r="U149" s="168"/>
      <c r="V149" s="168"/>
      <c r="W149" s="168"/>
      <c r="X149" s="168"/>
      <c r="Y149" s="168"/>
      <c r="Z149" s="168"/>
    </row>
    <row r="150" spans="1:26" ht="15.75" customHeight="1" x14ac:dyDescent="0.25">
      <c r="A150" s="168"/>
      <c r="B150" s="168"/>
      <c r="C150" s="168"/>
      <c r="D150" s="168"/>
      <c r="E150" s="168"/>
      <c r="F150" s="168"/>
      <c r="G150" s="168"/>
      <c r="H150" s="168"/>
      <c r="I150" s="168"/>
      <c r="J150" s="169"/>
      <c r="K150" s="168"/>
      <c r="L150" s="168"/>
      <c r="M150" s="168"/>
      <c r="N150" s="168"/>
      <c r="O150" s="168"/>
      <c r="P150" s="168"/>
      <c r="Q150" s="168"/>
      <c r="R150" s="168"/>
      <c r="S150" s="168"/>
      <c r="T150" s="168"/>
      <c r="U150" s="168"/>
      <c r="V150" s="168"/>
      <c r="W150" s="168"/>
      <c r="X150" s="168"/>
      <c r="Y150" s="168"/>
      <c r="Z150" s="168"/>
    </row>
    <row r="151" spans="1:26" ht="15.75" customHeight="1" x14ac:dyDescent="0.25">
      <c r="A151" s="168"/>
      <c r="B151" s="168"/>
      <c r="C151" s="168"/>
      <c r="D151" s="168"/>
      <c r="E151" s="168"/>
      <c r="F151" s="168"/>
      <c r="G151" s="168"/>
      <c r="H151" s="168"/>
      <c r="I151" s="168"/>
      <c r="J151" s="169"/>
      <c r="K151" s="168"/>
      <c r="L151" s="168"/>
      <c r="M151" s="168"/>
      <c r="N151" s="168"/>
      <c r="O151" s="168"/>
      <c r="P151" s="168"/>
      <c r="Q151" s="168"/>
      <c r="R151" s="168"/>
      <c r="S151" s="168"/>
      <c r="T151" s="168"/>
      <c r="U151" s="168"/>
      <c r="V151" s="168"/>
      <c r="W151" s="168"/>
      <c r="X151" s="168"/>
      <c r="Y151" s="168"/>
      <c r="Z151" s="168"/>
    </row>
    <row r="152" spans="1:26" ht="15.75" customHeight="1" x14ac:dyDescent="0.25">
      <c r="A152" s="168"/>
      <c r="B152" s="168"/>
      <c r="C152" s="168"/>
      <c r="D152" s="168"/>
      <c r="E152" s="168"/>
      <c r="F152" s="168"/>
      <c r="G152" s="168"/>
      <c r="H152" s="168"/>
      <c r="I152" s="168"/>
      <c r="J152" s="169"/>
      <c r="K152" s="168"/>
      <c r="L152" s="168"/>
      <c r="M152" s="168"/>
      <c r="N152" s="168"/>
      <c r="O152" s="168"/>
      <c r="P152" s="168"/>
      <c r="Q152" s="168"/>
      <c r="R152" s="168"/>
      <c r="S152" s="168"/>
      <c r="T152" s="168"/>
      <c r="U152" s="168"/>
      <c r="V152" s="168"/>
      <c r="W152" s="168"/>
      <c r="X152" s="168"/>
      <c r="Y152" s="168"/>
      <c r="Z152" s="168"/>
    </row>
    <row r="153" spans="1:26" ht="15.75" customHeight="1" x14ac:dyDescent="0.25">
      <c r="A153" s="168"/>
      <c r="B153" s="168"/>
      <c r="C153" s="168"/>
      <c r="D153" s="168"/>
      <c r="E153" s="168"/>
      <c r="F153" s="168"/>
      <c r="G153" s="168"/>
      <c r="H153" s="168"/>
      <c r="I153" s="168"/>
      <c r="J153" s="169"/>
      <c r="K153" s="168"/>
      <c r="L153" s="168"/>
      <c r="M153" s="168"/>
      <c r="N153" s="168"/>
      <c r="O153" s="168"/>
      <c r="P153" s="168"/>
      <c r="Q153" s="168"/>
      <c r="R153" s="168"/>
      <c r="S153" s="168"/>
      <c r="T153" s="168"/>
      <c r="U153" s="168"/>
      <c r="V153" s="168"/>
      <c r="W153" s="168"/>
      <c r="X153" s="168"/>
      <c r="Y153" s="168"/>
      <c r="Z153" s="168"/>
    </row>
    <row r="154" spans="1:26" ht="15.75" customHeight="1" x14ac:dyDescent="0.25">
      <c r="A154" s="168"/>
      <c r="B154" s="168"/>
      <c r="C154" s="168"/>
      <c r="D154" s="168"/>
      <c r="E154" s="168"/>
      <c r="F154" s="168"/>
      <c r="G154" s="168"/>
      <c r="H154" s="168"/>
      <c r="I154" s="168"/>
      <c r="J154" s="169"/>
      <c r="K154" s="168"/>
      <c r="L154" s="168"/>
      <c r="M154" s="168"/>
      <c r="N154" s="168"/>
      <c r="O154" s="168"/>
      <c r="P154" s="168"/>
      <c r="Q154" s="168"/>
      <c r="R154" s="168"/>
      <c r="S154" s="168"/>
      <c r="T154" s="168"/>
      <c r="U154" s="168"/>
      <c r="V154" s="168"/>
      <c r="W154" s="168"/>
      <c r="X154" s="168"/>
      <c r="Y154" s="168"/>
      <c r="Z154" s="168"/>
    </row>
    <row r="155" spans="1:26" ht="15.75" customHeight="1" x14ac:dyDescent="0.25">
      <c r="A155" s="168"/>
      <c r="B155" s="168"/>
      <c r="C155" s="168"/>
      <c r="D155" s="168"/>
      <c r="E155" s="168"/>
      <c r="F155" s="168"/>
      <c r="G155" s="168"/>
      <c r="H155" s="168"/>
      <c r="I155" s="168"/>
      <c r="J155" s="169"/>
      <c r="K155" s="168"/>
      <c r="L155" s="168"/>
      <c r="M155" s="168"/>
      <c r="N155" s="168"/>
      <c r="O155" s="168"/>
      <c r="P155" s="168"/>
      <c r="Q155" s="168"/>
      <c r="R155" s="168"/>
      <c r="S155" s="168"/>
      <c r="T155" s="168"/>
      <c r="U155" s="168"/>
      <c r="V155" s="168"/>
      <c r="W155" s="168"/>
      <c r="X155" s="168"/>
      <c r="Y155" s="168"/>
      <c r="Z155" s="168"/>
    </row>
    <row r="156" spans="1:26" ht="15.75" customHeight="1" x14ac:dyDescent="0.25">
      <c r="A156" s="168"/>
      <c r="B156" s="168"/>
      <c r="C156" s="168"/>
      <c r="D156" s="168"/>
      <c r="E156" s="168"/>
      <c r="F156" s="168"/>
      <c r="G156" s="168"/>
      <c r="H156" s="168"/>
      <c r="I156" s="168"/>
      <c r="J156" s="169"/>
      <c r="K156" s="168"/>
      <c r="L156" s="168"/>
      <c r="M156" s="168"/>
      <c r="N156" s="168"/>
      <c r="O156" s="168"/>
      <c r="P156" s="168"/>
      <c r="Q156" s="168"/>
      <c r="R156" s="168"/>
      <c r="S156" s="168"/>
      <c r="T156" s="168"/>
      <c r="U156" s="168"/>
      <c r="V156" s="168"/>
      <c r="W156" s="168"/>
      <c r="X156" s="168"/>
      <c r="Y156" s="168"/>
      <c r="Z156" s="168"/>
    </row>
    <row r="157" spans="1:26" ht="15.75" customHeight="1" x14ac:dyDescent="0.25">
      <c r="A157" s="168"/>
      <c r="B157" s="168"/>
      <c r="C157" s="168"/>
      <c r="D157" s="168"/>
      <c r="E157" s="168"/>
      <c r="F157" s="168"/>
      <c r="G157" s="168"/>
      <c r="H157" s="168"/>
      <c r="I157" s="168"/>
      <c r="J157" s="169"/>
      <c r="K157" s="168"/>
      <c r="L157" s="168"/>
      <c r="M157" s="168"/>
      <c r="N157" s="168"/>
      <c r="O157" s="168"/>
      <c r="P157" s="168"/>
      <c r="Q157" s="168"/>
      <c r="R157" s="168"/>
      <c r="S157" s="168"/>
      <c r="T157" s="168"/>
      <c r="U157" s="168"/>
      <c r="V157" s="168"/>
      <c r="W157" s="168"/>
      <c r="X157" s="168"/>
      <c r="Y157" s="168"/>
      <c r="Z157" s="168"/>
    </row>
    <row r="158" spans="1:26" ht="15.75" customHeight="1" x14ac:dyDescent="0.25">
      <c r="A158" s="168"/>
      <c r="B158" s="168"/>
      <c r="C158" s="168"/>
      <c r="D158" s="168"/>
      <c r="E158" s="168"/>
      <c r="F158" s="168"/>
      <c r="G158" s="168"/>
      <c r="H158" s="168"/>
      <c r="I158" s="168"/>
      <c r="J158" s="169"/>
      <c r="K158" s="168"/>
      <c r="L158" s="168"/>
      <c r="M158" s="168"/>
      <c r="N158" s="168"/>
      <c r="O158" s="168"/>
      <c r="P158" s="168"/>
      <c r="Q158" s="168"/>
      <c r="R158" s="168"/>
      <c r="S158" s="168"/>
      <c r="T158" s="168"/>
      <c r="U158" s="168"/>
      <c r="V158" s="168"/>
      <c r="W158" s="168"/>
      <c r="X158" s="168"/>
      <c r="Y158" s="168"/>
      <c r="Z158" s="168"/>
    </row>
    <row r="159" spans="1:26" ht="15.75" customHeight="1" x14ac:dyDescent="0.25">
      <c r="A159" s="168"/>
      <c r="B159" s="168"/>
      <c r="C159" s="168"/>
      <c r="D159" s="168"/>
      <c r="E159" s="168"/>
      <c r="F159" s="168"/>
      <c r="G159" s="168"/>
      <c r="H159" s="168"/>
      <c r="I159" s="168"/>
      <c r="J159" s="169"/>
      <c r="K159" s="168"/>
      <c r="L159" s="168"/>
      <c r="M159" s="168"/>
      <c r="N159" s="168"/>
      <c r="O159" s="168"/>
      <c r="P159" s="168"/>
      <c r="Q159" s="168"/>
      <c r="R159" s="168"/>
      <c r="S159" s="168"/>
      <c r="T159" s="168"/>
      <c r="U159" s="168"/>
      <c r="V159" s="168"/>
      <c r="W159" s="168"/>
      <c r="X159" s="168"/>
      <c r="Y159" s="168"/>
      <c r="Z159" s="168"/>
    </row>
    <row r="160" spans="1:26" ht="15.75" customHeight="1" x14ac:dyDescent="0.25">
      <c r="A160" s="168"/>
      <c r="B160" s="168"/>
      <c r="C160" s="168"/>
      <c r="D160" s="168"/>
      <c r="E160" s="168"/>
      <c r="F160" s="168"/>
      <c r="G160" s="168"/>
      <c r="H160" s="168"/>
      <c r="I160" s="168"/>
      <c r="J160" s="169"/>
      <c r="K160" s="168"/>
      <c r="L160" s="168"/>
      <c r="M160" s="168"/>
      <c r="N160" s="168"/>
      <c r="O160" s="168"/>
      <c r="P160" s="168"/>
      <c r="Q160" s="168"/>
      <c r="R160" s="168"/>
      <c r="S160" s="168"/>
      <c r="T160" s="168"/>
      <c r="U160" s="168"/>
      <c r="V160" s="168"/>
      <c r="W160" s="168"/>
      <c r="X160" s="168"/>
      <c r="Y160" s="168"/>
      <c r="Z160" s="168"/>
    </row>
    <row r="161" spans="1:26" ht="15.75" customHeight="1" x14ac:dyDescent="0.25">
      <c r="A161" s="168"/>
      <c r="B161" s="168"/>
      <c r="C161" s="168"/>
      <c r="D161" s="168"/>
      <c r="E161" s="168"/>
      <c r="F161" s="168"/>
      <c r="G161" s="168"/>
      <c r="H161" s="168"/>
      <c r="I161" s="168"/>
      <c r="J161" s="169"/>
      <c r="K161" s="168"/>
      <c r="L161" s="168"/>
      <c r="M161" s="168"/>
      <c r="N161" s="168"/>
      <c r="O161" s="168"/>
      <c r="P161" s="168"/>
      <c r="Q161" s="168"/>
      <c r="R161" s="168"/>
      <c r="S161" s="168"/>
      <c r="T161" s="168"/>
      <c r="U161" s="168"/>
      <c r="V161" s="168"/>
      <c r="W161" s="168"/>
      <c r="X161" s="168"/>
      <c r="Y161" s="168"/>
      <c r="Z161" s="168"/>
    </row>
    <row r="162" spans="1:26" ht="15.75" customHeight="1" x14ac:dyDescent="0.25">
      <c r="A162" s="168"/>
      <c r="B162" s="168"/>
      <c r="C162" s="168"/>
      <c r="D162" s="168"/>
      <c r="E162" s="168"/>
      <c r="F162" s="168"/>
      <c r="G162" s="168"/>
      <c r="H162" s="168"/>
      <c r="I162" s="168"/>
      <c r="J162" s="169"/>
      <c r="K162" s="168"/>
      <c r="L162" s="168"/>
      <c r="M162" s="168"/>
      <c r="N162" s="168"/>
      <c r="O162" s="168"/>
      <c r="P162" s="168"/>
      <c r="Q162" s="168"/>
      <c r="R162" s="168"/>
      <c r="S162" s="168"/>
      <c r="T162" s="168"/>
      <c r="U162" s="168"/>
      <c r="V162" s="168"/>
      <c r="W162" s="168"/>
      <c r="X162" s="168"/>
      <c r="Y162" s="168"/>
      <c r="Z162" s="168"/>
    </row>
    <row r="163" spans="1:26" ht="15.75" customHeight="1" x14ac:dyDescent="0.25">
      <c r="A163" s="168"/>
      <c r="B163" s="168"/>
      <c r="C163" s="168"/>
      <c r="D163" s="168"/>
      <c r="E163" s="168"/>
      <c r="F163" s="168"/>
      <c r="G163" s="168"/>
      <c r="H163" s="168"/>
      <c r="I163" s="168"/>
      <c r="J163" s="169"/>
      <c r="K163" s="168"/>
      <c r="L163" s="168"/>
      <c r="M163" s="168"/>
      <c r="N163" s="168"/>
      <c r="O163" s="168"/>
      <c r="P163" s="168"/>
      <c r="Q163" s="168"/>
      <c r="R163" s="168"/>
      <c r="S163" s="168"/>
      <c r="T163" s="168"/>
      <c r="U163" s="168"/>
      <c r="V163" s="168"/>
      <c r="W163" s="168"/>
      <c r="X163" s="168"/>
      <c r="Y163" s="168"/>
      <c r="Z163" s="168"/>
    </row>
    <row r="164" spans="1:26" ht="15.75" customHeight="1" x14ac:dyDescent="0.25">
      <c r="A164" s="168"/>
      <c r="B164" s="168"/>
      <c r="C164" s="168"/>
      <c r="D164" s="168"/>
      <c r="E164" s="168"/>
      <c r="F164" s="168"/>
      <c r="G164" s="168"/>
      <c r="H164" s="168"/>
      <c r="I164" s="168"/>
      <c r="J164" s="169"/>
      <c r="K164" s="168"/>
      <c r="L164" s="168"/>
      <c r="M164" s="168"/>
      <c r="N164" s="168"/>
      <c r="O164" s="168"/>
      <c r="P164" s="168"/>
      <c r="Q164" s="168"/>
      <c r="R164" s="168"/>
      <c r="S164" s="168"/>
      <c r="T164" s="168"/>
      <c r="U164" s="168"/>
      <c r="V164" s="168"/>
      <c r="W164" s="168"/>
      <c r="X164" s="168"/>
      <c r="Y164" s="168"/>
      <c r="Z164" s="168"/>
    </row>
    <row r="165" spans="1:26" ht="15.75" customHeight="1" x14ac:dyDescent="0.25">
      <c r="A165" s="168"/>
      <c r="B165" s="168"/>
      <c r="C165" s="168"/>
      <c r="D165" s="168"/>
      <c r="E165" s="168"/>
      <c r="F165" s="168"/>
      <c r="G165" s="168"/>
      <c r="H165" s="168"/>
      <c r="I165" s="168"/>
      <c r="J165" s="169"/>
      <c r="K165" s="168"/>
      <c r="L165" s="168"/>
      <c r="M165" s="168"/>
      <c r="N165" s="168"/>
      <c r="O165" s="168"/>
      <c r="P165" s="168"/>
      <c r="Q165" s="168"/>
      <c r="R165" s="168"/>
      <c r="S165" s="168"/>
      <c r="T165" s="168"/>
      <c r="U165" s="168"/>
      <c r="V165" s="168"/>
      <c r="W165" s="168"/>
      <c r="X165" s="168"/>
      <c r="Y165" s="168"/>
      <c r="Z165" s="168"/>
    </row>
    <row r="166" spans="1:26" ht="15.75" customHeight="1" x14ac:dyDescent="0.25">
      <c r="A166" s="168"/>
      <c r="B166" s="168"/>
      <c r="C166" s="168"/>
      <c r="D166" s="168"/>
      <c r="E166" s="168"/>
      <c r="F166" s="168"/>
      <c r="G166" s="168"/>
      <c r="H166" s="168"/>
      <c r="I166" s="168"/>
      <c r="J166" s="169"/>
      <c r="K166" s="168"/>
      <c r="L166" s="168"/>
      <c r="M166" s="168"/>
      <c r="N166" s="168"/>
      <c r="O166" s="168"/>
      <c r="P166" s="168"/>
      <c r="Q166" s="168"/>
      <c r="R166" s="168"/>
      <c r="S166" s="168"/>
      <c r="T166" s="168"/>
      <c r="U166" s="168"/>
      <c r="V166" s="168"/>
      <c r="W166" s="168"/>
      <c r="X166" s="168"/>
      <c r="Y166" s="168"/>
      <c r="Z166" s="168"/>
    </row>
    <row r="167" spans="1:26" ht="15.75" customHeight="1" x14ac:dyDescent="0.25">
      <c r="A167" s="168"/>
      <c r="B167" s="168"/>
      <c r="C167" s="168"/>
      <c r="D167" s="168"/>
      <c r="E167" s="168"/>
      <c r="F167" s="168"/>
      <c r="G167" s="168"/>
      <c r="H167" s="168"/>
      <c r="I167" s="168"/>
      <c r="J167" s="169"/>
      <c r="K167" s="168"/>
      <c r="L167" s="168"/>
      <c r="M167" s="168"/>
      <c r="N167" s="168"/>
      <c r="O167" s="168"/>
      <c r="P167" s="168"/>
      <c r="Q167" s="168"/>
      <c r="R167" s="168"/>
      <c r="S167" s="168"/>
      <c r="T167" s="168"/>
      <c r="U167" s="168"/>
      <c r="V167" s="168"/>
      <c r="W167" s="168"/>
      <c r="X167" s="168"/>
      <c r="Y167" s="168"/>
      <c r="Z167" s="168"/>
    </row>
    <row r="168" spans="1:26" ht="15.75" customHeight="1" x14ac:dyDescent="0.25">
      <c r="A168" s="168"/>
      <c r="B168" s="168"/>
      <c r="C168" s="168"/>
      <c r="D168" s="168"/>
      <c r="E168" s="168"/>
      <c r="F168" s="168"/>
      <c r="G168" s="168"/>
      <c r="H168" s="168"/>
      <c r="I168" s="168"/>
      <c r="J168" s="169"/>
      <c r="K168" s="168"/>
      <c r="L168" s="168"/>
      <c r="M168" s="168"/>
      <c r="N168" s="168"/>
      <c r="O168" s="168"/>
      <c r="P168" s="168"/>
      <c r="Q168" s="168"/>
      <c r="R168" s="168"/>
      <c r="S168" s="168"/>
      <c r="T168" s="168"/>
      <c r="U168" s="168"/>
      <c r="V168" s="168"/>
      <c r="W168" s="168"/>
      <c r="X168" s="168"/>
      <c r="Y168" s="168"/>
      <c r="Z168" s="168"/>
    </row>
    <row r="169" spans="1:26" ht="15.75" customHeight="1" x14ac:dyDescent="0.25">
      <c r="A169" s="168"/>
      <c r="B169" s="168"/>
      <c r="C169" s="168"/>
      <c r="D169" s="168"/>
      <c r="E169" s="168"/>
      <c r="F169" s="168"/>
      <c r="G169" s="168"/>
      <c r="H169" s="168"/>
      <c r="I169" s="168"/>
      <c r="J169" s="169"/>
      <c r="K169" s="168"/>
      <c r="L169" s="168"/>
      <c r="M169" s="168"/>
      <c r="N169" s="168"/>
      <c r="O169" s="168"/>
      <c r="P169" s="168"/>
      <c r="Q169" s="168"/>
      <c r="R169" s="168"/>
      <c r="S169" s="168"/>
      <c r="T169" s="168"/>
      <c r="U169" s="168"/>
      <c r="V169" s="168"/>
      <c r="W169" s="168"/>
      <c r="X169" s="168"/>
      <c r="Y169" s="168"/>
      <c r="Z169" s="168"/>
    </row>
    <row r="170" spans="1:26" ht="15.75" customHeight="1" x14ac:dyDescent="0.25">
      <c r="A170" s="168"/>
      <c r="B170" s="168"/>
      <c r="C170" s="168"/>
      <c r="D170" s="168"/>
      <c r="E170" s="168"/>
      <c r="F170" s="168"/>
      <c r="G170" s="168"/>
      <c r="H170" s="168"/>
      <c r="I170" s="168"/>
      <c r="J170" s="169"/>
      <c r="K170" s="168"/>
      <c r="L170" s="168"/>
      <c r="M170" s="168"/>
      <c r="N170" s="168"/>
      <c r="O170" s="168"/>
      <c r="P170" s="168"/>
      <c r="Q170" s="168"/>
      <c r="R170" s="168"/>
      <c r="S170" s="168"/>
      <c r="T170" s="168"/>
      <c r="U170" s="168"/>
      <c r="V170" s="168"/>
      <c r="W170" s="168"/>
      <c r="X170" s="168"/>
      <c r="Y170" s="168"/>
      <c r="Z170" s="168"/>
    </row>
    <row r="171" spans="1:26" ht="15.75" customHeight="1" x14ac:dyDescent="0.25">
      <c r="A171" s="168"/>
      <c r="B171" s="168"/>
      <c r="C171" s="168"/>
      <c r="D171" s="168"/>
      <c r="E171" s="168"/>
      <c r="F171" s="168"/>
      <c r="G171" s="168"/>
      <c r="H171" s="168"/>
      <c r="I171" s="168"/>
      <c r="J171" s="169"/>
      <c r="K171" s="168"/>
      <c r="L171" s="168"/>
      <c r="M171" s="168"/>
      <c r="N171" s="168"/>
      <c r="O171" s="168"/>
      <c r="P171" s="168"/>
      <c r="Q171" s="168"/>
      <c r="R171" s="168"/>
      <c r="S171" s="168"/>
      <c r="T171" s="168"/>
      <c r="U171" s="168"/>
      <c r="V171" s="168"/>
      <c r="W171" s="168"/>
      <c r="X171" s="168"/>
      <c r="Y171" s="168"/>
      <c r="Z171" s="168"/>
    </row>
    <row r="172" spans="1:26" ht="15.75" customHeight="1" x14ac:dyDescent="0.25">
      <c r="A172" s="168"/>
      <c r="B172" s="168"/>
      <c r="C172" s="168"/>
      <c r="D172" s="168"/>
      <c r="E172" s="168"/>
      <c r="F172" s="168"/>
      <c r="G172" s="168"/>
      <c r="H172" s="168"/>
      <c r="I172" s="168"/>
      <c r="J172" s="169"/>
      <c r="K172" s="168"/>
      <c r="L172" s="168"/>
      <c r="M172" s="168"/>
      <c r="N172" s="168"/>
      <c r="O172" s="168"/>
      <c r="P172" s="168"/>
      <c r="Q172" s="168"/>
      <c r="R172" s="168"/>
      <c r="S172" s="168"/>
      <c r="T172" s="168"/>
      <c r="U172" s="168"/>
      <c r="V172" s="168"/>
      <c r="W172" s="168"/>
      <c r="X172" s="168"/>
      <c r="Y172" s="168"/>
      <c r="Z172" s="168"/>
    </row>
    <row r="173" spans="1:26" ht="15.75" customHeight="1" x14ac:dyDescent="0.25">
      <c r="A173" s="168"/>
      <c r="B173" s="168"/>
      <c r="C173" s="168"/>
      <c r="D173" s="168"/>
      <c r="E173" s="168"/>
      <c r="F173" s="168"/>
      <c r="G173" s="168"/>
      <c r="H173" s="168"/>
      <c r="I173" s="168"/>
      <c r="J173" s="169"/>
      <c r="K173" s="168"/>
      <c r="L173" s="168"/>
      <c r="M173" s="168"/>
      <c r="N173" s="168"/>
      <c r="O173" s="168"/>
      <c r="P173" s="168"/>
      <c r="Q173" s="168"/>
      <c r="R173" s="168"/>
      <c r="S173" s="168"/>
      <c r="T173" s="168"/>
      <c r="U173" s="168"/>
      <c r="V173" s="168"/>
      <c r="W173" s="168"/>
      <c r="X173" s="168"/>
      <c r="Y173" s="168"/>
      <c r="Z173" s="168"/>
    </row>
    <row r="174" spans="1:26" ht="15.75" customHeight="1" x14ac:dyDescent="0.25">
      <c r="A174" s="168"/>
      <c r="B174" s="168"/>
      <c r="C174" s="168"/>
      <c r="D174" s="168"/>
      <c r="E174" s="168"/>
      <c r="F174" s="168"/>
      <c r="G174" s="168"/>
      <c r="H174" s="168"/>
      <c r="I174" s="168"/>
      <c r="J174" s="169"/>
      <c r="K174" s="168"/>
      <c r="L174" s="168"/>
      <c r="M174" s="168"/>
      <c r="N174" s="168"/>
      <c r="O174" s="168"/>
      <c r="P174" s="168"/>
      <c r="Q174" s="168"/>
      <c r="R174" s="168"/>
      <c r="S174" s="168"/>
      <c r="T174" s="168"/>
      <c r="U174" s="168"/>
      <c r="V174" s="168"/>
      <c r="W174" s="168"/>
      <c r="X174" s="168"/>
      <c r="Y174" s="168"/>
      <c r="Z174" s="168"/>
    </row>
    <row r="175" spans="1:26" ht="15.75" customHeight="1" x14ac:dyDescent="0.25">
      <c r="A175" s="168"/>
      <c r="B175" s="168"/>
      <c r="C175" s="168"/>
      <c r="D175" s="168"/>
      <c r="E175" s="168"/>
      <c r="F175" s="168"/>
      <c r="G175" s="168"/>
      <c r="H175" s="168"/>
      <c r="I175" s="168"/>
      <c r="J175" s="169"/>
      <c r="K175" s="168"/>
      <c r="L175" s="168"/>
      <c r="M175" s="168"/>
      <c r="N175" s="168"/>
      <c r="O175" s="168"/>
      <c r="P175" s="168"/>
      <c r="Q175" s="168"/>
      <c r="R175" s="168"/>
      <c r="S175" s="168"/>
      <c r="T175" s="168"/>
      <c r="U175" s="168"/>
      <c r="V175" s="168"/>
      <c r="W175" s="168"/>
      <c r="X175" s="168"/>
      <c r="Y175" s="168"/>
      <c r="Z175" s="168"/>
    </row>
    <row r="176" spans="1:26" ht="15.75" customHeight="1" x14ac:dyDescent="0.25">
      <c r="A176" s="168"/>
      <c r="B176" s="168"/>
      <c r="C176" s="168"/>
      <c r="D176" s="168"/>
      <c r="E176" s="168"/>
      <c r="F176" s="168"/>
      <c r="G176" s="168"/>
      <c r="H176" s="168"/>
      <c r="I176" s="168"/>
      <c r="J176" s="169"/>
      <c r="K176" s="168"/>
      <c r="L176" s="168"/>
      <c r="M176" s="168"/>
      <c r="N176" s="168"/>
      <c r="O176" s="168"/>
      <c r="P176" s="168"/>
      <c r="Q176" s="168"/>
      <c r="R176" s="168"/>
      <c r="S176" s="168"/>
      <c r="T176" s="168"/>
      <c r="U176" s="168"/>
      <c r="V176" s="168"/>
      <c r="W176" s="168"/>
      <c r="X176" s="168"/>
      <c r="Y176" s="168"/>
      <c r="Z176" s="168"/>
    </row>
    <row r="177" spans="1:26" ht="15.75" customHeight="1" x14ac:dyDescent="0.25">
      <c r="A177" s="168"/>
      <c r="B177" s="168"/>
      <c r="C177" s="168"/>
      <c r="D177" s="168"/>
      <c r="E177" s="168"/>
      <c r="F177" s="168"/>
      <c r="G177" s="168"/>
      <c r="H177" s="168"/>
      <c r="I177" s="168"/>
      <c r="J177" s="169"/>
      <c r="K177" s="168"/>
      <c r="L177" s="168"/>
      <c r="M177" s="168"/>
      <c r="N177" s="168"/>
      <c r="O177" s="168"/>
      <c r="P177" s="168"/>
      <c r="Q177" s="168"/>
      <c r="R177" s="168"/>
      <c r="S177" s="168"/>
      <c r="T177" s="168"/>
      <c r="U177" s="168"/>
      <c r="V177" s="168"/>
      <c r="W177" s="168"/>
      <c r="X177" s="168"/>
      <c r="Y177" s="168"/>
      <c r="Z177" s="168"/>
    </row>
    <row r="178" spans="1:26" ht="15.75" customHeight="1" x14ac:dyDescent="0.25">
      <c r="A178" s="168"/>
      <c r="B178" s="168"/>
      <c r="C178" s="168"/>
      <c r="D178" s="168"/>
      <c r="E178" s="168"/>
      <c r="F178" s="168"/>
      <c r="G178" s="168"/>
      <c r="H178" s="168"/>
      <c r="I178" s="168"/>
      <c r="J178" s="169"/>
      <c r="K178" s="168"/>
      <c r="L178" s="168"/>
      <c r="M178" s="168"/>
      <c r="N178" s="168"/>
      <c r="O178" s="168"/>
      <c r="P178" s="168"/>
      <c r="Q178" s="168"/>
      <c r="R178" s="168"/>
      <c r="S178" s="168"/>
      <c r="T178" s="168"/>
      <c r="U178" s="168"/>
      <c r="V178" s="168"/>
      <c r="W178" s="168"/>
      <c r="X178" s="168"/>
      <c r="Y178" s="168"/>
      <c r="Z178" s="168"/>
    </row>
    <row r="179" spans="1:26" ht="15.75" customHeight="1" x14ac:dyDescent="0.25">
      <c r="A179" s="168"/>
      <c r="B179" s="168"/>
      <c r="C179" s="168"/>
      <c r="D179" s="168"/>
      <c r="E179" s="168"/>
      <c r="F179" s="168"/>
      <c r="G179" s="168"/>
      <c r="H179" s="168"/>
      <c r="I179" s="168"/>
      <c r="J179" s="169"/>
      <c r="K179" s="168"/>
      <c r="L179" s="168"/>
      <c r="M179" s="168"/>
      <c r="N179" s="168"/>
      <c r="O179" s="168"/>
      <c r="P179" s="168"/>
      <c r="Q179" s="168"/>
      <c r="R179" s="168"/>
      <c r="S179" s="168"/>
      <c r="T179" s="168"/>
      <c r="U179" s="168"/>
      <c r="V179" s="168"/>
      <c r="W179" s="168"/>
      <c r="X179" s="168"/>
      <c r="Y179" s="168"/>
      <c r="Z179" s="168"/>
    </row>
    <row r="180" spans="1:26" ht="15.75" customHeight="1" x14ac:dyDescent="0.25">
      <c r="A180" s="168"/>
      <c r="B180" s="168"/>
      <c r="C180" s="168"/>
      <c r="D180" s="168"/>
      <c r="E180" s="168"/>
      <c r="F180" s="168"/>
      <c r="G180" s="168"/>
      <c r="H180" s="168"/>
      <c r="I180" s="168"/>
      <c r="J180" s="169"/>
      <c r="K180" s="168"/>
      <c r="L180" s="168"/>
      <c r="M180" s="168"/>
      <c r="N180" s="168"/>
      <c r="O180" s="168"/>
      <c r="P180" s="168"/>
      <c r="Q180" s="168"/>
      <c r="R180" s="168"/>
      <c r="S180" s="168"/>
      <c r="T180" s="168"/>
      <c r="U180" s="168"/>
      <c r="V180" s="168"/>
      <c r="W180" s="168"/>
      <c r="X180" s="168"/>
      <c r="Y180" s="168"/>
      <c r="Z180" s="168"/>
    </row>
    <row r="181" spans="1:26" ht="15.75" customHeight="1" x14ac:dyDescent="0.25">
      <c r="A181" s="168"/>
      <c r="B181" s="168"/>
      <c r="C181" s="168"/>
      <c r="D181" s="168"/>
      <c r="E181" s="168"/>
      <c r="F181" s="168"/>
      <c r="G181" s="168"/>
      <c r="H181" s="168"/>
      <c r="I181" s="168"/>
      <c r="J181" s="169"/>
      <c r="K181" s="168"/>
      <c r="L181" s="168"/>
      <c r="M181" s="168"/>
      <c r="N181" s="168"/>
      <c r="O181" s="168"/>
      <c r="P181" s="168"/>
      <c r="Q181" s="168"/>
      <c r="R181" s="168"/>
      <c r="S181" s="168"/>
      <c r="T181" s="168"/>
      <c r="U181" s="168"/>
      <c r="V181" s="168"/>
      <c r="W181" s="168"/>
      <c r="X181" s="168"/>
      <c r="Y181" s="168"/>
      <c r="Z181" s="168"/>
    </row>
    <row r="182" spans="1:26" ht="15.75" customHeight="1" x14ac:dyDescent="0.25">
      <c r="A182" s="168"/>
      <c r="B182" s="168"/>
      <c r="C182" s="168"/>
      <c r="D182" s="168"/>
      <c r="E182" s="168"/>
      <c r="F182" s="168"/>
      <c r="G182" s="168"/>
      <c r="H182" s="168"/>
      <c r="I182" s="168"/>
      <c r="J182" s="169"/>
      <c r="K182" s="168"/>
      <c r="L182" s="168"/>
      <c r="M182" s="168"/>
      <c r="N182" s="168"/>
      <c r="O182" s="168"/>
      <c r="P182" s="168"/>
      <c r="Q182" s="168"/>
      <c r="R182" s="168"/>
      <c r="S182" s="168"/>
      <c r="T182" s="168"/>
      <c r="U182" s="168"/>
      <c r="V182" s="168"/>
      <c r="W182" s="168"/>
      <c r="X182" s="168"/>
      <c r="Y182" s="168"/>
      <c r="Z182" s="168"/>
    </row>
    <row r="183" spans="1:26" ht="15.75" customHeight="1" x14ac:dyDescent="0.25">
      <c r="A183" s="168"/>
      <c r="B183" s="168"/>
      <c r="C183" s="168"/>
      <c r="D183" s="168"/>
      <c r="E183" s="168"/>
      <c r="F183" s="168"/>
      <c r="G183" s="168"/>
      <c r="H183" s="168"/>
      <c r="I183" s="168"/>
      <c r="J183" s="169"/>
      <c r="K183" s="168"/>
      <c r="L183" s="168"/>
      <c r="M183" s="168"/>
      <c r="N183" s="168"/>
      <c r="O183" s="168"/>
      <c r="P183" s="168"/>
      <c r="Q183" s="168"/>
      <c r="R183" s="168"/>
      <c r="S183" s="168"/>
      <c r="T183" s="168"/>
      <c r="U183" s="168"/>
      <c r="V183" s="168"/>
      <c r="W183" s="168"/>
      <c r="X183" s="168"/>
      <c r="Y183" s="168"/>
      <c r="Z183" s="168"/>
    </row>
    <row r="184" spans="1:26" ht="15.75" customHeight="1" x14ac:dyDescent="0.25">
      <c r="A184" s="168"/>
      <c r="B184" s="168"/>
      <c r="C184" s="168"/>
      <c r="D184" s="168"/>
      <c r="E184" s="168"/>
      <c r="F184" s="168"/>
      <c r="G184" s="168"/>
      <c r="H184" s="168"/>
      <c r="I184" s="168"/>
      <c r="J184" s="169"/>
      <c r="K184" s="168"/>
      <c r="L184" s="168"/>
      <c r="M184" s="168"/>
      <c r="N184" s="168"/>
      <c r="O184" s="168"/>
      <c r="P184" s="168"/>
      <c r="Q184" s="168"/>
      <c r="R184" s="168"/>
      <c r="S184" s="168"/>
      <c r="T184" s="168"/>
      <c r="U184" s="168"/>
      <c r="V184" s="168"/>
      <c r="W184" s="168"/>
      <c r="X184" s="168"/>
      <c r="Y184" s="168"/>
      <c r="Z184" s="168"/>
    </row>
    <row r="185" spans="1:26" ht="15.75" customHeight="1" x14ac:dyDescent="0.25">
      <c r="A185" s="168"/>
      <c r="B185" s="168"/>
      <c r="C185" s="168"/>
      <c r="D185" s="168"/>
      <c r="E185" s="168"/>
      <c r="F185" s="168"/>
      <c r="G185" s="168"/>
      <c r="H185" s="168"/>
      <c r="I185" s="168"/>
      <c r="J185" s="169"/>
      <c r="K185" s="168"/>
      <c r="L185" s="168"/>
      <c r="M185" s="168"/>
      <c r="N185" s="168"/>
      <c r="O185" s="168"/>
      <c r="P185" s="168"/>
      <c r="Q185" s="168"/>
      <c r="R185" s="168"/>
      <c r="S185" s="168"/>
      <c r="T185" s="168"/>
      <c r="U185" s="168"/>
      <c r="V185" s="168"/>
      <c r="W185" s="168"/>
      <c r="X185" s="168"/>
      <c r="Y185" s="168"/>
      <c r="Z185" s="168"/>
    </row>
    <row r="186" spans="1:26" ht="15.75" customHeight="1" x14ac:dyDescent="0.25">
      <c r="A186" s="168"/>
      <c r="B186" s="168"/>
      <c r="C186" s="168"/>
      <c r="D186" s="168"/>
      <c r="E186" s="168"/>
      <c r="F186" s="168"/>
      <c r="G186" s="168"/>
      <c r="H186" s="168"/>
      <c r="I186" s="168"/>
      <c r="J186" s="169"/>
      <c r="K186" s="168"/>
      <c r="L186" s="168"/>
      <c r="M186" s="168"/>
      <c r="N186" s="168"/>
      <c r="O186" s="168"/>
      <c r="P186" s="168"/>
      <c r="Q186" s="168"/>
      <c r="R186" s="168"/>
      <c r="S186" s="168"/>
      <c r="T186" s="168"/>
      <c r="U186" s="168"/>
      <c r="V186" s="168"/>
      <c r="W186" s="168"/>
      <c r="X186" s="168"/>
      <c r="Y186" s="168"/>
      <c r="Z186" s="168"/>
    </row>
    <row r="187" spans="1:26" ht="15.75" customHeight="1" x14ac:dyDescent="0.25">
      <c r="A187" s="168"/>
      <c r="B187" s="168"/>
      <c r="C187" s="168"/>
      <c r="D187" s="168"/>
      <c r="E187" s="168"/>
      <c r="F187" s="168"/>
      <c r="G187" s="168"/>
      <c r="H187" s="168"/>
      <c r="I187" s="168"/>
      <c r="J187" s="169"/>
      <c r="K187" s="168"/>
      <c r="L187" s="168"/>
      <c r="M187" s="168"/>
      <c r="N187" s="168"/>
      <c r="O187" s="168"/>
      <c r="P187" s="168"/>
      <c r="Q187" s="168"/>
      <c r="R187" s="168"/>
      <c r="S187" s="168"/>
      <c r="T187" s="168"/>
      <c r="U187" s="168"/>
      <c r="V187" s="168"/>
      <c r="W187" s="168"/>
      <c r="X187" s="168"/>
      <c r="Y187" s="168"/>
      <c r="Z187" s="168"/>
    </row>
    <row r="188" spans="1:26" ht="15.75" customHeight="1" x14ac:dyDescent="0.25">
      <c r="A188" s="168"/>
      <c r="B188" s="168"/>
      <c r="C188" s="168"/>
      <c r="D188" s="168"/>
      <c r="E188" s="168"/>
      <c r="F188" s="168"/>
      <c r="G188" s="168"/>
      <c r="H188" s="168"/>
      <c r="I188" s="168"/>
      <c r="J188" s="169"/>
      <c r="K188" s="168"/>
      <c r="L188" s="168"/>
      <c r="M188" s="168"/>
      <c r="N188" s="168"/>
      <c r="O188" s="168"/>
      <c r="P188" s="168"/>
      <c r="Q188" s="168"/>
      <c r="R188" s="168"/>
      <c r="S188" s="168"/>
      <c r="T188" s="168"/>
      <c r="U188" s="168"/>
      <c r="V188" s="168"/>
      <c r="W188" s="168"/>
      <c r="X188" s="168"/>
      <c r="Y188" s="168"/>
      <c r="Z188" s="168"/>
    </row>
    <row r="189" spans="1:26" ht="15.75" customHeight="1" x14ac:dyDescent="0.25">
      <c r="A189" s="168"/>
      <c r="B189" s="168"/>
      <c r="C189" s="168"/>
      <c r="D189" s="168"/>
      <c r="E189" s="168"/>
      <c r="F189" s="168"/>
      <c r="G189" s="168"/>
      <c r="H189" s="168"/>
      <c r="I189" s="168"/>
      <c r="J189" s="169"/>
      <c r="K189" s="168"/>
      <c r="L189" s="168"/>
      <c r="M189" s="168"/>
      <c r="N189" s="168"/>
      <c r="O189" s="168"/>
      <c r="P189" s="168"/>
      <c r="Q189" s="168"/>
      <c r="R189" s="168"/>
      <c r="S189" s="168"/>
      <c r="T189" s="168"/>
      <c r="U189" s="168"/>
      <c r="V189" s="168"/>
      <c r="W189" s="168"/>
      <c r="X189" s="168"/>
      <c r="Y189" s="168"/>
      <c r="Z189" s="168"/>
    </row>
    <row r="190" spans="1:26" ht="15.75" customHeight="1" x14ac:dyDescent="0.25">
      <c r="A190" s="168"/>
      <c r="B190" s="168"/>
      <c r="C190" s="168"/>
      <c r="D190" s="168"/>
      <c r="E190" s="168"/>
      <c r="F190" s="168"/>
      <c r="G190" s="168"/>
      <c r="H190" s="168"/>
      <c r="I190" s="168"/>
      <c r="J190" s="169"/>
      <c r="K190" s="168"/>
      <c r="L190" s="168"/>
      <c r="M190" s="168"/>
      <c r="N190" s="168"/>
      <c r="O190" s="168"/>
      <c r="P190" s="168"/>
      <c r="Q190" s="168"/>
      <c r="R190" s="168"/>
      <c r="S190" s="168"/>
      <c r="T190" s="168"/>
      <c r="U190" s="168"/>
      <c r="V190" s="168"/>
      <c r="W190" s="168"/>
      <c r="X190" s="168"/>
      <c r="Y190" s="168"/>
      <c r="Z190" s="168"/>
    </row>
    <row r="191" spans="1:26" ht="15.75" customHeight="1" x14ac:dyDescent="0.25">
      <c r="A191" s="168"/>
      <c r="B191" s="168"/>
      <c r="C191" s="168"/>
      <c r="D191" s="168"/>
      <c r="E191" s="168"/>
      <c r="F191" s="168"/>
      <c r="G191" s="168"/>
      <c r="H191" s="168"/>
      <c r="I191" s="168"/>
      <c r="J191" s="169"/>
      <c r="K191" s="168"/>
      <c r="L191" s="168"/>
      <c r="M191" s="168"/>
      <c r="N191" s="168"/>
      <c r="O191" s="168"/>
      <c r="P191" s="168"/>
      <c r="Q191" s="168"/>
      <c r="R191" s="168"/>
      <c r="S191" s="168"/>
      <c r="T191" s="168"/>
      <c r="U191" s="168"/>
      <c r="V191" s="168"/>
      <c r="W191" s="168"/>
      <c r="X191" s="168"/>
      <c r="Y191" s="168"/>
      <c r="Z191" s="168"/>
    </row>
    <row r="192" spans="1:26" ht="15.75" customHeight="1" x14ac:dyDescent="0.25">
      <c r="A192" s="168"/>
      <c r="B192" s="168"/>
      <c r="C192" s="168"/>
      <c r="D192" s="168"/>
      <c r="E192" s="168"/>
      <c r="F192" s="168"/>
      <c r="G192" s="168"/>
      <c r="H192" s="168"/>
      <c r="I192" s="168"/>
      <c r="J192" s="169"/>
      <c r="K192" s="168"/>
      <c r="L192" s="168"/>
      <c r="M192" s="168"/>
      <c r="N192" s="168"/>
      <c r="O192" s="168"/>
      <c r="P192" s="168"/>
      <c r="Q192" s="168"/>
      <c r="R192" s="168"/>
      <c r="S192" s="168"/>
      <c r="T192" s="168"/>
      <c r="U192" s="168"/>
      <c r="V192" s="168"/>
      <c r="W192" s="168"/>
      <c r="X192" s="168"/>
      <c r="Y192" s="168"/>
      <c r="Z192" s="168"/>
    </row>
    <row r="193" spans="1:26" ht="15.75" customHeight="1" x14ac:dyDescent="0.25">
      <c r="A193" s="168"/>
      <c r="B193" s="168"/>
      <c r="C193" s="168"/>
      <c r="D193" s="168"/>
      <c r="E193" s="168"/>
      <c r="F193" s="168"/>
      <c r="G193" s="168"/>
      <c r="H193" s="168"/>
      <c r="I193" s="168"/>
      <c r="J193" s="169"/>
      <c r="K193" s="168"/>
      <c r="L193" s="168"/>
      <c r="M193" s="168"/>
      <c r="N193" s="168"/>
      <c r="O193" s="168"/>
      <c r="P193" s="168"/>
      <c r="Q193" s="168"/>
      <c r="R193" s="168"/>
      <c r="S193" s="168"/>
      <c r="T193" s="168"/>
      <c r="U193" s="168"/>
      <c r="V193" s="168"/>
      <c r="W193" s="168"/>
      <c r="X193" s="168"/>
      <c r="Y193" s="168"/>
      <c r="Z193" s="168"/>
    </row>
    <row r="194" spans="1:26" ht="15.75" customHeight="1" x14ac:dyDescent="0.25">
      <c r="A194" s="168"/>
      <c r="B194" s="168"/>
      <c r="C194" s="168"/>
      <c r="D194" s="168"/>
      <c r="E194" s="168"/>
      <c r="F194" s="168"/>
      <c r="G194" s="168"/>
      <c r="H194" s="168"/>
      <c r="I194" s="168"/>
      <c r="J194" s="169"/>
      <c r="K194" s="168"/>
      <c r="L194" s="168"/>
      <c r="M194" s="168"/>
      <c r="N194" s="168"/>
      <c r="O194" s="168"/>
      <c r="P194" s="168"/>
      <c r="Q194" s="168"/>
      <c r="R194" s="168"/>
      <c r="S194" s="168"/>
      <c r="T194" s="168"/>
      <c r="U194" s="168"/>
      <c r="V194" s="168"/>
      <c r="W194" s="168"/>
      <c r="X194" s="168"/>
      <c r="Y194" s="168"/>
      <c r="Z194" s="168"/>
    </row>
    <row r="195" spans="1:26" ht="15.75" customHeight="1" x14ac:dyDescent="0.25">
      <c r="A195" s="168"/>
      <c r="B195" s="168"/>
      <c r="C195" s="168"/>
      <c r="D195" s="168"/>
      <c r="E195" s="168"/>
      <c r="F195" s="168"/>
      <c r="G195" s="168"/>
      <c r="H195" s="168"/>
      <c r="I195" s="168"/>
      <c r="J195" s="169"/>
      <c r="K195" s="168"/>
      <c r="L195" s="168"/>
      <c r="M195" s="168"/>
      <c r="N195" s="168"/>
      <c r="O195" s="168"/>
      <c r="P195" s="168"/>
      <c r="Q195" s="168"/>
      <c r="R195" s="168"/>
      <c r="S195" s="168"/>
      <c r="T195" s="168"/>
      <c r="U195" s="168"/>
      <c r="V195" s="168"/>
      <c r="W195" s="168"/>
      <c r="X195" s="168"/>
      <c r="Y195" s="168"/>
      <c r="Z195" s="168"/>
    </row>
    <row r="196" spans="1:26" ht="15.75" customHeight="1" x14ac:dyDescent="0.25">
      <c r="A196" s="168"/>
      <c r="B196" s="168"/>
      <c r="C196" s="168"/>
      <c r="D196" s="168"/>
      <c r="E196" s="168"/>
      <c r="F196" s="168"/>
      <c r="G196" s="168"/>
      <c r="H196" s="168"/>
      <c r="I196" s="168"/>
      <c r="J196" s="169"/>
      <c r="K196" s="168"/>
      <c r="L196" s="168"/>
      <c r="M196" s="168"/>
      <c r="N196" s="168"/>
      <c r="O196" s="168"/>
      <c r="P196" s="168"/>
      <c r="Q196" s="168"/>
      <c r="R196" s="168"/>
      <c r="S196" s="168"/>
      <c r="T196" s="168"/>
      <c r="U196" s="168"/>
      <c r="V196" s="168"/>
      <c r="W196" s="168"/>
      <c r="X196" s="168"/>
      <c r="Y196" s="168"/>
      <c r="Z196" s="168"/>
    </row>
    <row r="197" spans="1:26" ht="15.75" customHeight="1" x14ac:dyDescent="0.25">
      <c r="A197" s="168"/>
      <c r="B197" s="168"/>
      <c r="C197" s="168"/>
      <c r="D197" s="168"/>
      <c r="E197" s="168"/>
      <c r="F197" s="168"/>
      <c r="G197" s="168"/>
      <c r="H197" s="168"/>
      <c r="I197" s="168"/>
      <c r="J197" s="169"/>
      <c r="K197" s="168"/>
      <c r="L197" s="168"/>
      <c r="M197" s="168"/>
      <c r="N197" s="168"/>
      <c r="O197" s="168"/>
      <c r="P197" s="168"/>
      <c r="Q197" s="168"/>
      <c r="R197" s="168"/>
      <c r="S197" s="168"/>
      <c r="T197" s="168"/>
      <c r="U197" s="168"/>
      <c r="V197" s="168"/>
      <c r="W197" s="168"/>
      <c r="X197" s="168"/>
      <c r="Y197" s="168"/>
      <c r="Z197" s="168"/>
    </row>
    <row r="198" spans="1:26" ht="15.75" customHeight="1" x14ac:dyDescent="0.25">
      <c r="A198" s="168"/>
      <c r="B198" s="168"/>
      <c r="C198" s="168"/>
      <c r="D198" s="168"/>
      <c r="E198" s="168"/>
      <c r="F198" s="168"/>
      <c r="G198" s="168"/>
      <c r="H198" s="168"/>
      <c r="I198" s="168"/>
      <c r="J198" s="169"/>
      <c r="K198" s="168"/>
      <c r="L198" s="168"/>
      <c r="M198" s="168"/>
      <c r="N198" s="168"/>
      <c r="O198" s="168"/>
      <c r="P198" s="168"/>
      <c r="Q198" s="168"/>
      <c r="R198" s="168"/>
      <c r="S198" s="168"/>
      <c r="T198" s="168"/>
      <c r="U198" s="168"/>
      <c r="V198" s="168"/>
      <c r="W198" s="168"/>
      <c r="X198" s="168"/>
      <c r="Y198" s="168"/>
      <c r="Z198" s="168"/>
    </row>
    <row r="199" spans="1:26" ht="15.75" customHeight="1" x14ac:dyDescent="0.25">
      <c r="A199" s="168"/>
      <c r="B199" s="168"/>
      <c r="C199" s="168"/>
      <c r="D199" s="168"/>
      <c r="E199" s="168"/>
      <c r="F199" s="168"/>
      <c r="G199" s="168"/>
      <c r="H199" s="168"/>
      <c r="I199" s="168"/>
      <c r="J199" s="169"/>
      <c r="K199" s="168"/>
      <c r="L199" s="168"/>
      <c r="M199" s="168"/>
      <c r="N199" s="168"/>
      <c r="O199" s="168"/>
      <c r="P199" s="168"/>
      <c r="Q199" s="168"/>
      <c r="R199" s="168"/>
      <c r="S199" s="168"/>
      <c r="T199" s="168"/>
      <c r="U199" s="168"/>
      <c r="V199" s="168"/>
      <c r="W199" s="168"/>
      <c r="X199" s="168"/>
      <c r="Y199" s="168"/>
      <c r="Z199" s="168"/>
    </row>
    <row r="200" spans="1:26" ht="15.75" customHeight="1" x14ac:dyDescent="0.25">
      <c r="A200" s="168"/>
      <c r="B200" s="168"/>
      <c r="C200" s="168"/>
      <c r="D200" s="168"/>
      <c r="E200" s="168"/>
      <c r="F200" s="168"/>
      <c r="G200" s="168"/>
      <c r="H200" s="168"/>
      <c r="I200" s="168"/>
      <c r="J200" s="169"/>
      <c r="K200" s="168"/>
      <c r="L200" s="168"/>
      <c r="M200" s="168"/>
      <c r="N200" s="168"/>
      <c r="O200" s="168"/>
      <c r="P200" s="168"/>
      <c r="Q200" s="168"/>
      <c r="R200" s="168"/>
      <c r="S200" s="168"/>
      <c r="T200" s="168"/>
      <c r="U200" s="168"/>
      <c r="V200" s="168"/>
      <c r="W200" s="168"/>
      <c r="X200" s="168"/>
      <c r="Y200" s="168"/>
      <c r="Z200" s="168"/>
    </row>
    <row r="201" spans="1:26" ht="15.75" customHeight="1" x14ac:dyDescent="0.25">
      <c r="A201" s="168"/>
      <c r="B201" s="168"/>
      <c r="C201" s="168"/>
      <c r="D201" s="168"/>
      <c r="E201" s="168"/>
      <c r="F201" s="168"/>
      <c r="G201" s="168"/>
      <c r="H201" s="168"/>
      <c r="I201" s="168"/>
      <c r="J201" s="169"/>
      <c r="K201" s="168"/>
      <c r="L201" s="168"/>
      <c r="M201" s="168"/>
      <c r="N201" s="168"/>
      <c r="O201" s="168"/>
      <c r="P201" s="168"/>
      <c r="Q201" s="168"/>
      <c r="R201" s="168"/>
      <c r="S201" s="168"/>
      <c r="T201" s="168"/>
      <c r="U201" s="168"/>
      <c r="V201" s="168"/>
      <c r="W201" s="168"/>
      <c r="X201" s="168"/>
      <c r="Y201" s="168"/>
      <c r="Z201" s="168"/>
    </row>
    <row r="202" spans="1:26" ht="15.75" customHeight="1" x14ac:dyDescent="0.25">
      <c r="A202" s="168"/>
      <c r="B202" s="168"/>
      <c r="C202" s="168"/>
      <c r="D202" s="168"/>
      <c r="E202" s="168"/>
      <c r="F202" s="168"/>
      <c r="G202" s="168"/>
      <c r="H202" s="168"/>
      <c r="I202" s="168"/>
      <c r="J202" s="169"/>
      <c r="K202" s="168"/>
      <c r="L202" s="168"/>
      <c r="M202" s="168"/>
      <c r="N202" s="168"/>
      <c r="O202" s="168"/>
      <c r="P202" s="168"/>
      <c r="Q202" s="168"/>
      <c r="R202" s="168"/>
      <c r="S202" s="168"/>
      <c r="T202" s="168"/>
      <c r="U202" s="168"/>
      <c r="V202" s="168"/>
      <c r="W202" s="168"/>
      <c r="X202" s="168"/>
      <c r="Y202" s="168"/>
      <c r="Z202" s="168"/>
    </row>
    <row r="203" spans="1:26" ht="15.75" customHeight="1" x14ac:dyDescent="0.25">
      <c r="A203" s="168"/>
      <c r="B203" s="168"/>
      <c r="C203" s="168"/>
      <c r="D203" s="168"/>
      <c r="E203" s="168"/>
      <c r="F203" s="168"/>
      <c r="G203" s="168"/>
      <c r="H203" s="168"/>
      <c r="I203" s="168"/>
      <c r="J203" s="169"/>
      <c r="K203" s="168"/>
      <c r="L203" s="168"/>
      <c r="M203" s="168"/>
      <c r="N203" s="168"/>
      <c r="O203" s="168"/>
      <c r="P203" s="168"/>
      <c r="Q203" s="168"/>
      <c r="R203" s="168"/>
      <c r="S203" s="168"/>
      <c r="T203" s="168"/>
      <c r="U203" s="168"/>
      <c r="V203" s="168"/>
      <c r="W203" s="168"/>
      <c r="X203" s="168"/>
      <c r="Y203" s="168"/>
      <c r="Z203" s="168"/>
    </row>
    <row r="204" spans="1:26" ht="15.75" customHeight="1" x14ac:dyDescent="0.25">
      <c r="A204" s="168"/>
      <c r="B204" s="168"/>
      <c r="C204" s="168"/>
      <c r="D204" s="168"/>
      <c r="E204" s="168"/>
      <c r="F204" s="168"/>
      <c r="G204" s="168"/>
      <c r="H204" s="168"/>
      <c r="I204" s="168"/>
      <c r="J204" s="169"/>
      <c r="K204" s="168"/>
      <c r="L204" s="168"/>
      <c r="M204" s="168"/>
      <c r="N204" s="168"/>
      <c r="O204" s="168"/>
      <c r="P204" s="168"/>
      <c r="Q204" s="168"/>
      <c r="R204" s="168"/>
      <c r="S204" s="168"/>
      <c r="T204" s="168"/>
      <c r="U204" s="168"/>
      <c r="V204" s="168"/>
      <c r="W204" s="168"/>
      <c r="X204" s="168"/>
      <c r="Y204" s="168"/>
      <c r="Z204" s="168"/>
    </row>
    <row r="205" spans="1:26" ht="15.75" customHeight="1" x14ac:dyDescent="0.25">
      <c r="A205" s="168"/>
      <c r="B205" s="168"/>
      <c r="C205" s="168"/>
      <c r="D205" s="168"/>
      <c r="E205" s="168"/>
      <c r="F205" s="168"/>
      <c r="G205" s="168"/>
      <c r="H205" s="168"/>
      <c r="I205" s="168"/>
      <c r="J205" s="169"/>
      <c r="K205" s="168"/>
      <c r="L205" s="168"/>
      <c r="M205" s="168"/>
      <c r="N205" s="168"/>
      <c r="O205" s="168"/>
      <c r="P205" s="168"/>
      <c r="Q205" s="168"/>
      <c r="R205" s="168"/>
      <c r="S205" s="168"/>
      <c r="T205" s="168"/>
      <c r="U205" s="168"/>
      <c r="V205" s="168"/>
      <c r="W205" s="168"/>
      <c r="X205" s="168"/>
      <c r="Y205" s="168"/>
      <c r="Z205" s="168"/>
    </row>
    <row r="206" spans="1:26" ht="15.75" customHeight="1" x14ac:dyDescent="0.25">
      <c r="A206" s="168"/>
      <c r="B206" s="168"/>
      <c r="C206" s="168"/>
      <c r="D206" s="168"/>
      <c r="E206" s="168"/>
      <c r="F206" s="168"/>
      <c r="G206" s="168"/>
      <c r="H206" s="168"/>
      <c r="I206" s="168"/>
      <c r="J206" s="169"/>
      <c r="K206" s="168"/>
      <c r="L206" s="168"/>
      <c r="M206" s="168"/>
      <c r="N206" s="168"/>
      <c r="O206" s="168"/>
      <c r="P206" s="168"/>
      <c r="Q206" s="168"/>
      <c r="R206" s="168"/>
      <c r="S206" s="168"/>
      <c r="T206" s="168"/>
      <c r="U206" s="168"/>
      <c r="V206" s="168"/>
      <c r="W206" s="168"/>
      <c r="X206" s="168"/>
      <c r="Y206" s="168"/>
      <c r="Z206" s="168"/>
    </row>
    <row r="207" spans="1:26" ht="15.75" customHeight="1" x14ac:dyDescent="0.25">
      <c r="A207" s="168"/>
      <c r="B207" s="168"/>
      <c r="C207" s="168"/>
      <c r="D207" s="168"/>
      <c r="E207" s="168"/>
      <c r="F207" s="168"/>
      <c r="G207" s="168"/>
      <c r="H207" s="168"/>
      <c r="I207" s="168"/>
      <c r="J207" s="169"/>
      <c r="K207" s="168"/>
      <c r="L207" s="168"/>
      <c r="M207" s="168"/>
      <c r="N207" s="168"/>
      <c r="O207" s="168"/>
      <c r="P207" s="168"/>
      <c r="Q207" s="168"/>
      <c r="R207" s="168"/>
      <c r="S207" s="168"/>
      <c r="T207" s="168"/>
      <c r="U207" s="168"/>
      <c r="V207" s="168"/>
      <c r="W207" s="168"/>
      <c r="X207" s="168"/>
      <c r="Y207" s="168"/>
      <c r="Z207" s="168"/>
    </row>
    <row r="208" spans="1:26" ht="15.75" customHeight="1" x14ac:dyDescent="0.25">
      <c r="A208" s="168"/>
      <c r="B208" s="168"/>
      <c r="C208" s="168"/>
      <c r="D208" s="168"/>
      <c r="E208" s="168"/>
      <c r="F208" s="168"/>
      <c r="G208" s="168"/>
      <c r="H208" s="168"/>
      <c r="I208" s="168"/>
      <c r="J208" s="169"/>
      <c r="K208" s="168"/>
      <c r="L208" s="168"/>
      <c r="M208" s="168"/>
      <c r="N208" s="168"/>
      <c r="O208" s="168"/>
      <c r="P208" s="168"/>
      <c r="Q208" s="168"/>
      <c r="R208" s="168"/>
      <c r="S208" s="168"/>
      <c r="T208" s="168"/>
      <c r="U208" s="168"/>
      <c r="V208" s="168"/>
      <c r="W208" s="168"/>
      <c r="X208" s="168"/>
      <c r="Y208" s="168"/>
      <c r="Z208" s="168"/>
    </row>
    <row r="209" spans="1:26" ht="15.75" customHeight="1" x14ac:dyDescent="0.25">
      <c r="A209" s="168"/>
      <c r="B209" s="168"/>
      <c r="C209" s="168"/>
      <c r="D209" s="168"/>
      <c r="E209" s="168"/>
      <c r="F209" s="168"/>
      <c r="G209" s="168"/>
      <c r="H209" s="168"/>
      <c r="I209" s="168"/>
      <c r="J209" s="169"/>
      <c r="K209" s="168"/>
      <c r="L209" s="168"/>
      <c r="M209" s="168"/>
      <c r="N209" s="168"/>
      <c r="O209" s="168"/>
      <c r="P209" s="168"/>
      <c r="Q209" s="168"/>
      <c r="R209" s="168"/>
      <c r="S209" s="168"/>
      <c r="T209" s="168"/>
      <c r="U209" s="168"/>
      <c r="V209" s="168"/>
      <c r="W209" s="168"/>
      <c r="X209" s="168"/>
      <c r="Y209" s="168"/>
      <c r="Z209" s="168"/>
    </row>
    <row r="210" spans="1:26" ht="15.75" customHeight="1" x14ac:dyDescent="0.25">
      <c r="A210" s="168"/>
      <c r="B210" s="168"/>
      <c r="C210" s="168"/>
      <c r="D210" s="168"/>
      <c r="E210" s="168"/>
      <c r="F210" s="168"/>
      <c r="G210" s="168"/>
      <c r="H210" s="168"/>
      <c r="I210" s="168"/>
      <c r="J210" s="169"/>
      <c r="K210" s="168"/>
      <c r="L210" s="168"/>
      <c r="M210" s="168"/>
      <c r="N210" s="168"/>
      <c r="O210" s="168"/>
      <c r="P210" s="168"/>
      <c r="Q210" s="168"/>
      <c r="R210" s="168"/>
      <c r="S210" s="168"/>
      <c r="T210" s="168"/>
      <c r="U210" s="168"/>
      <c r="V210" s="168"/>
      <c r="W210" s="168"/>
      <c r="X210" s="168"/>
      <c r="Y210" s="168"/>
      <c r="Z210" s="168"/>
    </row>
    <row r="211" spans="1:26" ht="15.75" customHeight="1" x14ac:dyDescent="0.25">
      <c r="A211" s="168"/>
      <c r="B211" s="168"/>
      <c r="C211" s="168"/>
      <c r="D211" s="168"/>
      <c r="E211" s="168"/>
      <c r="F211" s="168"/>
      <c r="G211" s="168"/>
      <c r="H211" s="168"/>
      <c r="I211" s="168"/>
      <c r="J211" s="169"/>
      <c r="K211" s="168"/>
      <c r="L211" s="168"/>
      <c r="M211" s="168"/>
      <c r="N211" s="168"/>
      <c r="O211" s="168"/>
      <c r="P211" s="168"/>
      <c r="Q211" s="168"/>
      <c r="R211" s="168"/>
      <c r="S211" s="168"/>
      <c r="T211" s="168"/>
      <c r="U211" s="168"/>
      <c r="V211" s="168"/>
      <c r="W211" s="168"/>
      <c r="X211" s="168"/>
      <c r="Y211" s="168"/>
      <c r="Z211" s="168"/>
    </row>
    <row r="212" spans="1:26" ht="15.75" customHeight="1" x14ac:dyDescent="0.25">
      <c r="A212" s="168"/>
      <c r="B212" s="168"/>
      <c r="C212" s="168"/>
      <c r="D212" s="168"/>
      <c r="E212" s="168"/>
      <c r="F212" s="168"/>
      <c r="G212" s="168"/>
      <c r="H212" s="168"/>
      <c r="I212" s="168"/>
      <c r="J212" s="169"/>
      <c r="K212" s="168"/>
      <c r="L212" s="168"/>
      <c r="M212" s="168"/>
      <c r="N212" s="168"/>
      <c r="O212" s="168"/>
      <c r="P212" s="168"/>
      <c r="Q212" s="168"/>
      <c r="R212" s="168"/>
      <c r="S212" s="168"/>
      <c r="T212" s="168"/>
      <c r="U212" s="168"/>
      <c r="V212" s="168"/>
      <c r="W212" s="168"/>
      <c r="X212" s="168"/>
      <c r="Y212" s="168"/>
      <c r="Z212" s="168"/>
    </row>
    <row r="213" spans="1:26" ht="15.75" customHeight="1" x14ac:dyDescent="0.25">
      <c r="A213" s="168"/>
      <c r="B213" s="168"/>
      <c r="C213" s="168"/>
      <c r="D213" s="168"/>
      <c r="E213" s="168"/>
      <c r="F213" s="168"/>
      <c r="G213" s="168"/>
      <c r="H213" s="168"/>
      <c r="I213" s="168"/>
      <c r="J213" s="169"/>
      <c r="K213" s="168"/>
      <c r="L213" s="168"/>
      <c r="M213" s="168"/>
      <c r="N213" s="168"/>
      <c r="O213" s="168"/>
      <c r="P213" s="168"/>
      <c r="Q213" s="168"/>
      <c r="R213" s="168"/>
      <c r="S213" s="168"/>
      <c r="T213" s="168"/>
      <c r="U213" s="168"/>
      <c r="V213" s="168"/>
      <c r="W213" s="168"/>
      <c r="X213" s="168"/>
      <c r="Y213" s="168"/>
      <c r="Z213" s="168"/>
    </row>
    <row r="214" spans="1:26" ht="15.75" customHeight="1" x14ac:dyDescent="0.25">
      <c r="A214" s="168"/>
      <c r="B214" s="168"/>
      <c r="C214" s="168"/>
      <c r="D214" s="168"/>
      <c r="E214" s="168"/>
      <c r="F214" s="168"/>
      <c r="G214" s="168"/>
      <c r="H214" s="168"/>
      <c r="I214" s="168"/>
      <c r="J214" s="169"/>
      <c r="K214" s="168"/>
      <c r="L214" s="168"/>
      <c r="M214" s="168"/>
      <c r="N214" s="168"/>
      <c r="O214" s="168"/>
      <c r="P214" s="168"/>
      <c r="Q214" s="168"/>
      <c r="R214" s="168"/>
      <c r="S214" s="168"/>
      <c r="T214" s="168"/>
      <c r="U214" s="168"/>
      <c r="V214" s="168"/>
      <c r="W214" s="168"/>
      <c r="X214" s="168"/>
      <c r="Y214" s="168"/>
      <c r="Z214" s="168"/>
    </row>
    <row r="215" spans="1:26" ht="15.75" customHeight="1" x14ac:dyDescent="0.25">
      <c r="A215" s="168"/>
      <c r="B215" s="168"/>
      <c r="C215" s="168"/>
      <c r="D215" s="168"/>
      <c r="E215" s="168"/>
      <c r="F215" s="168"/>
      <c r="G215" s="168"/>
      <c r="H215" s="168"/>
      <c r="I215" s="168"/>
      <c r="J215" s="169"/>
      <c r="K215" s="168"/>
      <c r="L215" s="168"/>
      <c r="M215" s="168"/>
      <c r="N215" s="168"/>
      <c r="O215" s="168"/>
      <c r="P215" s="168"/>
      <c r="Q215" s="168"/>
      <c r="R215" s="168"/>
      <c r="S215" s="168"/>
      <c r="T215" s="168"/>
      <c r="U215" s="168"/>
      <c r="V215" s="168"/>
      <c r="W215" s="168"/>
      <c r="X215" s="168"/>
      <c r="Y215" s="168"/>
      <c r="Z215" s="168"/>
    </row>
    <row r="216" spans="1:26" ht="15.75" customHeight="1" x14ac:dyDescent="0.25">
      <c r="A216" s="168"/>
      <c r="B216" s="168"/>
      <c r="C216" s="168"/>
      <c r="D216" s="168"/>
      <c r="E216" s="168"/>
      <c r="F216" s="168"/>
      <c r="G216" s="168"/>
      <c r="H216" s="168"/>
      <c r="I216" s="168"/>
      <c r="J216" s="169"/>
      <c r="K216" s="168"/>
      <c r="L216" s="168"/>
      <c r="M216" s="168"/>
      <c r="N216" s="168"/>
      <c r="O216" s="168"/>
      <c r="P216" s="168"/>
      <c r="Q216" s="168"/>
      <c r="R216" s="168"/>
      <c r="S216" s="168"/>
      <c r="T216" s="168"/>
      <c r="U216" s="168"/>
      <c r="V216" s="168"/>
      <c r="W216" s="168"/>
      <c r="X216" s="168"/>
      <c r="Y216" s="168"/>
      <c r="Z216" s="168"/>
    </row>
    <row r="217" spans="1:26" ht="15.75" customHeight="1" x14ac:dyDescent="0.25">
      <c r="A217" s="168"/>
      <c r="B217" s="168"/>
      <c r="C217" s="168"/>
      <c r="D217" s="168"/>
      <c r="E217" s="168"/>
      <c r="F217" s="168"/>
      <c r="G217" s="168"/>
      <c r="H217" s="168"/>
      <c r="I217" s="168"/>
      <c r="J217" s="169"/>
      <c r="K217" s="168"/>
      <c r="L217" s="168"/>
      <c r="M217" s="168"/>
      <c r="N217" s="168"/>
      <c r="O217" s="168"/>
      <c r="P217" s="168"/>
      <c r="Q217" s="168"/>
      <c r="R217" s="168"/>
      <c r="S217" s="168"/>
      <c r="T217" s="168"/>
      <c r="U217" s="168"/>
      <c r="V217" s="168"/>
      <c r="W217" s="168"/>
      <c r="X217" s="168"/>
      <c r="Y217" s="168"/>
      <c r="Z217" s="168"/>
    </row>
    <row r="218" spans="1:26" ht="15.75" customHeight="1" x14ac:dyDescent="0.25">
      <c r="A218" s="168"/>
      <c r="B218" s="168"/>
      <c r="C218" s="168"/>
      <c r="D218" s="168"/>
      <c r="E218" s="168"/>
      <c r="F218" s="168"/>
      <c r="G218" s="168"/>
      <c r="H218" s="168"/>
      <c r="I218" s="168"/>
      <c r="J218" s="169"/>
      <c r="K218" s="168"/>
      <c r="L218" s="168"/>
      <c r="M218" s="168"/>
      <c r="N218" s="168"/>
      <c r="O218" s="168"/>
      <c r="P218" s="168"/>
      <c r="Q218" s="168"/>
      <c r="R218" s="168"/>
      <c r="S218" s="168"/>
      <c r="T218" s="168"/>
      <c r="U218" s="168"/>
      <c r="V218" s="168"/>
      <c r="W218" s="168"/>
      <c r="X218" s="168"/>
      <c r="Y218" s="168"/>
      <c r="Z218" s="168"/>
    </row>
    <row r="219" spans="1:26" ht="15.75" customHeight="1" x14ac:dyDescent="0.25">
      <c r="A219" s="168"/>
      <c r="B219" s="168"/>
      <c r="C219" s="168"/>
      <c r="D219" s="168"/>
      <c r="E219" s="168"/>
      <c r="F219" s="168"/>
      <c r="G219" s="168"/>
      <c r="H219" s="168"/>
      <c r="I219" s="168"/>
      <c r="J219" s="169"/>
      <c r="K219" s="168"/>
      <c r="L219" s="168"/>
      <c r="M219" s="168"/>
      <c r="N219" s="168"/>
      <c r="O219" s="168"/>
      <c r="P219" s="168"/>
      <c r="Q219" s="168"/>
      <c r="R219" s="168"/>
      <c r="S219" s="168"/>
      <c r="T219" s="168"/>
      <c r="U219" s="168"/>
      <c r="V219" s="168"/>
      <c r="W219" s="168"/>
      <c r="X219" s="168"/>
      <c r="Y219" s="168"/>
      <c r="Z219" s="168"/>
    </row>
    <row r="220" spans="1:26" ht="15.75" customHeight="1" x14ac:dyDescent="0.25">
      <c r="A220" s="168"/>
      <c r="B220" s="168"/>
      <c r="C220" s="168"/>
      <c r="D220" s="168"/>
      <c r="E220" s="168"/>
      <c r="F220" s="168"/>
      <c r="G220" s="168"/>
      <c r="H220" s="168"/>
      <c r="I220" s="168"/>
      <c r="J220" s="169"/>
      <c r="K220" s="168"/>
      <c r="L220" s="168"/>
      <c r="M220" s="168"/>
      <c r="N220" s="168"/>
      <c r="O220" s="168"/>
      <c r="P220" s="168"/>
      <c r="Q220" s="168"/>
      <c r="R220" s="168"/>
      <c r="S220" s="168"/>
      <c r="T220" s="168"/>
      <c r="U220" s="168"/>
      <c r="V220" s="168"/>
      <c r="W220" s="168"/>
      <c r="X220" s="168"/>
      <c r="Y220" s="168"/>
      <c r="Z220" s="168"/>
    </row>
    <row r="221" spans="1:26" ht="15.75" customHeight="1" x14ac:dyDescent="0.25">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row>
    <row r="222" spans="1:26" ht="15.75" customHeight="1" x14ac:dyDescent="0.25">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row>
    <row r="223" spans="1:26" ht="15.75" customHeight="1" x14ac:dyDescent="0.25">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row>
    <row r="224" spans="1:26" ht="15.75" customHeight="1" x14ac:dyDescent="0.25">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row>
    <row r="225" spans="1:26" ht="15.75" customHeight="1" x14ac:dyDescent="0.25">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row>
    <row r="226" spans="1:26" ht="15.75" customHeight="1" x14ac:dyDescent="0.25">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row>
    <row r="227" spans="1:26" ht="15.75" customHeight="1" x14ac:dyDescent="0.25">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row>
    <row r="228" spans="1:26" ht="15.75" customHeight="1" x14ac:dyDescent="0.25">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row>
    <row r="229" spans="1:26" ht="15.75" customHeight="1" x14ac:dyDescent="0.25">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row>
    <row r="230" spans="1:26" ht="15.75" customHeight="1" x14ac:dyDescent="0.25">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row>
    <row r="231" spans="1:26" ht="15.75" customHeight="1" x14ac:dyDescent="0.25">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row>
    <row r="232" spans="1:26" ht="15.75" customHeight="1" x14ac:dyDescent="0.25">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row>
    <row r="233" spans="1:26" ht="15.75" customHeight="1" x14ac:dyDescent="0.25">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row>
    <row r="234" spans="1:26" ht="15.75" customHeight="1" x14ac:dyDescent="0.25">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row>
    <row r="235" spans="1:26" ht="15.75" customHeight="1" x14ac:dyDescent="0.25">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row>
    <row r="236" spans="1:26" ht="15.75" customHeight="1" x14ac:dyDescent="0.25">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row>
    <row r="237" spans="1:26" ht="15.75" customHeight="1" x14ac:dyDescent="0.25">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row>
    <row r="238" spans="1:26" ht="15.75" customHeight="1" x14ac:dyDescent="0.25">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row>
    <row r="239" spans="1:26" ht="15.75" customHeight="1" x14ac:dyDescent="0.25">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row>
    <row r="240" spans="1:26" ht="15.75" customHeight="1" x14ac:dyDescent="0.25">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row>
    <row r="241" spans="1:26" ht="15.75" customHeight="1" x14ac:dyDescent="0.25">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row>
    <row r="242" spans="1:26" ht="15.75" customHeight="1" x14ac:dyDescent="0.25">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row>
    <row r="243" spans="1:26" ht="15.75" customHeight="1" x14ac:dyDescent="0.25">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row>
    <row r="244" spans="1:26" ht="15.75" customHeight="1" x14ac:dyDescent="0.25">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row>
    <row r="245" spans="1:26" ht="15.75" customHeight="1" x14ac:dyDescent="0.25">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row>
    <row r="246" spans="1:26" ht="15.75" customHeight="1" x14ac:dyDescent="0.25">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row>
    <row r="247" spans="1:26" ht="15.75" customHeight="1" x14ac:dyDescent="0.25">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row>
    <row r="248" spans="1:26" ht="15.75" customHeight="1" x14ac:dyDescent="0.25">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row>
    <row r="249" spans="1:26" ht="15.75" customHeight="1" x14ac:dyDescent="0.25">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row>
    <row r="250" spans="1:26" ht="15.75" customHeight="1" x14ac:dyDescent="0.25">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row>
    <row r="251" spans="1:26" ht="15.75" customHeight="1" x14ac:dyDescent="0.25">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row>
    <row r="252" spans="1:26" ht="15.75" customHeight="1" x14ac:dyDescent="0.25">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row>
    <row r="253" spans="1:26" ht="15.75" customHeight="1" x14ac:dyDescent="0.25">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row>
    <row r="254" spans="1:26" ht="15.75" customHeight="1" x14ac:dyDescent="0.25">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row>
    <row r="255" spans="1:26" ht="15.75" customHeight="1" x14ac:dyDescent="0.25">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row>
    <row r="256" spans="1:26" ht="15.75" customHeight="1" x14ac:dyDescent="0.25">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row>
    <row r="257" spans="1:26" ht="15.75" customHeight="1" x14ac:dyDescent="0.25">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row>
    <row r="258" spans="1:26" ht="15.75" customHeight="1" x14ac:dyDescent="0.25">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row>
    <row r="259" spans="1:26" ht="15.75" customHeight="1" x14ac:dyDescent="0.25">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row>
    <row r="260" spans="1:26" ht="15.75" customHeight="1" x14ac:dyDescent="0.25">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row>
    <row r="261" spans="1:26" ht="15.75" customHeight="1" x14ac:dyDescent="0.25">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row>
    <row r="262" spans="1:26" ht="15.75" customHeight="1" x14ac:dyDescent="0.25">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row>
    <row r="263" spans="1:26" ht="15.75" customHeight="1" x14ac:dyDescent="0.25">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row>
    <row r="264" spans="1:26" ht="15.75" customHeight="1" x14ac:dyDescent="0.25">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row>
    <row r="265" spans="1:26" ht="15.75" customHeight="1" x14ac:dyDescent="0.25">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row>
    <row r="266" spans="1:26" ht="15.75" customHeight="1" x14ac:dyDescent="0.25">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row>
    <row r="267" spans="1:26" ht="15.75" customHeight="1" x14ac:dyDescent="0.25">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row>
    <row r="268" spans="1:26" ht="15.75" customHeight="1" x14ac:dyDescent="0.25">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row>
    <row r="269" spans="1:26" ht="15.75" customHeight="1" x14ac:dyDescent="0.25">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row>
    <row r="270" spans="1:26" ht="15.75" customHeight="1" x14ac:dyDescent="0.25">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row>
    <row r="271" spans="1:26" ht="15.75" customHeight="1" x14ac:dyDescent="0.25">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row>
    <row r="272" spans="1:26" ht="15.75" customHeight="1" x14ac:dyDescent="0.25">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row>
    <row r="273" spans="1:26" ht="15.75" customHeight="1" x14ac:dyDescent="0.25">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row>
    <row r="274" spans="1:26" ht="15.75" customHeight="1" x14ac:dyDescent="0.25">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row>
    <row r="275" spans="1:26" ht="15.75" customHeight="1" x14ac:dyDescent="0.25">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row>
    <row r="276" spans="1:26" ht="15.75" customHeight="1" x14ac:dyDescent="0.25">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row>
    <row r="277" spans="1:26" ht="15.75" customHeight="1" x14ac:dyDescent="0.25">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row>
    <row r="278" spans="1:26" ht="15.75" customHeight="1" x14ac:dyDescent="0.25">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row>
    <row r="279" spans="1:26" ht="15.75" customHeight="1" x14ac:dyDescent="0.25">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row>
    <row r="280" spans="1:26" ht="15.75" customHeight="1" x14ac:dyDescent="0.25">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row>
    <row r="281" spans="1:26" ht="15.75" customHeight="1" x14ac:dyDescent="0.25">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row>
    <row r="282" spans="1:26" ht="15.75" customHeight="1" x14ac:dyDescent="0.25">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row>
    <row r="283" spans="1:26" ht="15.75" customHeight="1" x14ac:dyDescent="0.25">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row>
    <row r="284" spans="1:26" ht="15.75" customHeight="1" x14ac:dyDescent="0.25">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row>
    <row r="285" spans="1:26" ht="15.75" customHeight="1" x14ac:dyDescent="0.25">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row>
    <row r="286" spans="1:26" ht="15.75" customHeight="1" x14ac:dyDescent="0.25">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row>
    <row r="287" spans="1:26" ht="15.75" customHeight="1" x14ac:dyDescent="0.25">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row>
    <row r="288" spans="1:26" ht="15.75" customHeight="1" x14ac:dyDescent="0.25">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row>
    <row r="289" spans="1:26" ht="15.75" customHeight="1" x14ac:dyDescent="0.25">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row>
    <row r="290" spans="1:26" ht="15.75" customHeight="1" x14ac:dyDescent="0.25">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row>
    <row r="291" spans="1:26" ht="15.75" customHeight="1" x14ac:dyDescent="0.25">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row>
    <row r="292" spans="1:26" ht="15.75" customHeight="1" x14ac:dyDescent="0.25">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row>
    <row r="293" spans="1:26" ht="15.75" customHeight="1" x14ac:dyDescent="0.25">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row>
    <row r="294" spans="1:26" ht="15.75" customHeight="1" x14ac:dyDescent="0.25">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row>
    <row r="295" spans="1:26" ht="15.75" customHeight="1" x14ac:dyDescent="0.25">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row>
    <row r="296" spans="1:26" ht="15.75" customHeight="1" x14ac:dyDescent="0.25">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row>
    <row r="297" spans="1:26" ht="15.75" customHeight="1" x14ac:dyDescent="0.25">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row>
    <row r="298" spans="1:26" ht="15.75" customHeight="1" x14ac:dyDescent="0.25">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row>
    <row r="299" spans="1:26" ht="15.75" customHeight="1" x14ac:dyDescent="0.25">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row>
    <row r="300" spans="1:26" ht="15.75" customHeight="1" x14ac:dyDescent="0.25">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row>
    <row r="301" spans="1:26" ht="15.75" customHeight="1" x14ac:dyDescent="0.25">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row>
    <row r="302" spans="1:26" ht="15.75" customHeight="1" x14ac:dyDescent="0.25">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row>
    <row r="303" spans="1:26" ht="15.75" customHeight="1" x14ac:dyDescent="0.25">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row>
    <row r="304" spans="1:26" ht="15.75" customHeight="1" x14ac:dyDescent="0.25">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row>
    <row r="305" spans="1:26" ht="15.75" customHeight="1" x14ac:dyDescent="0.25">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row>
    <row r="306" spans="1:26" ht="15.75" customHeight="1" x14ac:dyDescent="0.25">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row>
    <row r="307" spans="1:26" ht="15.75" customHeight="1" x14ac:dyDescent="0.25">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row>
    <row r="308" spans="1:26" ht="15.75" customHeight="1" x14ac:dyDescent="0.25">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row>
    <row r="309" spans="1:26" ht="15.75" customHeight="1" x14ac:dyDescent="0.25">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row>
    <row r="310" spans="1:26" ht="15.75" customHeight="1" x14ac:dyDescent="0.25">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row>
    <row r="311" spans="1:26" ht="15.75" customHeight="1" x14ac:dyDescent="0.25">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row>
    <row r="312" spans="1:26" ht="15.75" customHeight="1" x14ac:dyDescent="0.25">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row>
    <row r="313" spans="1:26" ht="15.75" customHeight="1" x14ac:dyDescent="0.25">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row>
    <row r="314" spans="1:26" ht="15.75" customHeight="1" x14ac:dyDescent="0.25">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row>
    <row r="315" spans="1:26" ht="15.75" customHeight="1" x14ac:dyDescent="0.25">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row>
    <row r="316" spans="1:26" ht="15.75" customHeight="1" x14ac:dyDescent="0.25">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row>
    <row r="317" spans="1:26" ht="15.75" customHeight="1" x14ac:dyDescent="0.25">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row>
    <row r="318" spans="1:26" ht="15.75" customHeight="1" x14ac:dyDescent="0.25">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row>
    <row r="319" spans="1:26" ht="15.75" customHeight="1" x14ac:dyDescent="0.25">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row>
    <row r="320" spans="1:26" ht="15.75" customHeight="1" x14ac:dyDescent="0.25">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row>
    <row r="321" spans="1:26" ht="15.75" customHeight="1" x14ac:dyDescent="0.25">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row>
    <row r="322" spans="1:26" ht="15.75" customHeight="1" x14ac:dyDescent="0.25">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row>
    <row r="323" spans="1:26" ht="15.75" customHeight="1" x14ac:dyDescent="0.25">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row>
    <row r="324" spans="1:26" ht="15.75" customHeight="1" x14ac:dyDescent="0.25">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row>
    <row r="325" spans="1:26" ht="15.75" customHeight="1" x14ac:dyDescent="0.25">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row>
    <row r="326" spans="1:26" ht="15.75" customHeight="1" x14ac:dyDescent="0.25">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row>
    <row r="327" spans="1:26" ht="15.75" customHeight="1" x14ac:dyDescent="0.25">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row>
    <row r="328" spans="1:26" ht="15.75" customHeight="1" x14ac:dyDescent="0.25">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row>
    <row r="329" spans="1:26" ht="15.75" customHeight="1" x14ac:dyDescent="0.25">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row>
    <row r="330" spans="1:26" ht="15.75" customHeight="1" x14ac:dyDescent="0.25">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row>
    <row r="331" spans="1:26" ht="15.75" customHeight="1" x14ac:dyDescent="0.25">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row>
    <row r="332" spans="1:26" ht="15.75" customHeight="1" x14ac:dyDescent="0.25">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row>
    <row r="333" spans="1:26" ht="15.75" customHeight="1" x14ac:dyDescent="0.25">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row>
    <row r="334" spans="1:26" ht="15.75" customHeight="1" x14ac:dyDescent="0.25">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row>
    <row r="335" spans="1:26" ht="15.75" customHeight="1" x14ac:dyDescent="0.25">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row>
    <row r="336" spans="1:26" ht="15.75" customHeight="1" x14ac:dyDescent="0.25">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row>
    <row r="337" spans="1:26" ht="15.75" customHeight="1" x14ac:dyDescent="0.25">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row>
    <row r="338" spans="1:26" ht="15.75" customHeight="1" x14ac:dyDescent="0.25">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row>
    <row r="339" spans="1:26" ht="15.75" customHeight="1" x14ac:dyDescent="0.25">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row>
    <row r="340" spans="1:26" ht="15.75" customHeight="1" x14ac:dyDescent="0.25">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row>
    <row r="341" spans="1:26" ht="15.75" customHeight="1" x14ac:dyDescent="0.25">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row>
    <row r="342" spans="1:26" ht="15.75" customHeight="1" x14ac:dyDescent="0.25">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row>
    <row r="343" spans="1:26" ht="15.75" customHeight="1" x14ac:dyDescent="0.25">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row>
    <row r="344" spans="1:26" ht="15.75" customHeight="1" x14ac:dyDescent="0.25">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row>
    <row r="345" spans="1:26" ht="15.75" customHeight="1" x14ac:dyDescent="0.25">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row>
    <row r="346" spans="1:26" ht="15.75" customHeight="1" x14ac:dyDescent="0.25">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row>
    <row r="347" spans="1:26" ht="15.75" customHeight="1" x14ac:dyDescent="0.25">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row>
    <row r="348" spans="1:26" ht="15.75" customHeight="1" x14ac:dyDescent="0.25">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row>
    <row r="349" spans="1:26" ht="15.75" customHeight="1" x14ac:dyDescent="0.25">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row>
    <row r="350" spans="1:26" ht="15.75" customHeight="1" x14ac:dyDescent="0.25">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row>
    <row r="351" spans="1:26" ht="15.75" customHeight="1" x14ac:dyDescent="0.25">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row>
    <row r="352" spans="1:26" ht="15.75" customHeight="1" x14ac:dyDescent="0.25">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row>
    <row r="353" spans="1:26" ht="15.75" customHeight="1" x14ac:dyDescent="0.25">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row>
    <row r="354" spans="1:26" ht="15.75" customHeight="1" x14ac:dyDescent="0.25">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row>
    <row r="355" spans="1:26" ht="15.75" customHeight="1" x14ac:dyDescent="0.25">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row>
    <row r="356" spans="1:26" ht="15.75" customHeight="1" x14ac:dyDescent="0.25">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row>
    <row r="357" spans="1:26" ht="15.75" customHeight="1" x14ac:dyDescent="0.25">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row>
    <row r="358" spans="1:26" ht="15.75" customHeight="1" x14ac:dyDescent="0.25">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row>
    <row r="359" spans="1:26" ht="15.75" customHeight="1" x14ac:dyDescent="0.25">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row>
    <row r="360" spans="1:26" ht="15.75" customHeight="1" x14ac:dyDescent="0.25">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row>
    <row r="361" spans="1:26" ht="15.75" customHeight="1" x14ac:dyDescent="0.25">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row>
    <row r="362" spans="1:26" ht="15.75" customHeight="1" x14ac:dyDescent="0.25">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row>
    <row r="363" spans="1:26" ht="15.75" customHeight="1" x14ac:dyDescent="0.25">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row>
    <row r="364" spans="1:26" ht="15.75" customHeight="1" x14ac:dyDescent="0.25">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row>
    <row r="365" spans="1:26" ht="15.75" customHeight="1" x14ac:dyDescent="0.25">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row>
    <row r="366" spans="1:26" ht="15.75" customHeight="1" x14ac:dyDescent="0.25">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row>
    <row r="367" spans="1:26" ht="15.75" customHeight="1" x14ac:dyDescent="0.25">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row>
    <row r="368" spans="1:26" ht="15.75" customHeight="1" x14ac:dyDescent="0.25">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row>
    <row r="369" spans="1:26" ht="15.75" customHeight="1" x14ac:dyDescent="0.25">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row>
    <row r="370" spans="1:26" ht="15.75" customHeight="1" x14ac:dyDescent="0.25">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row>
    <row r="371" spans="1:26" ht="15.75" customHeight="1" x14ac:dyDescent="0.25">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row>
    <row r="372" spans="1:26" ht="15.75" customHeight="1" x14ac:dyDescent="0.25">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row>
    <row r="373" spans="1:26" ht="15.75" customHeight="1" x14ac:dyDescent="0.25">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row>
    <row r="374" spans="1:26" ht="15.75" customHeight="1" x14ac:dyDescent="0.25">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row>
    <row r="375" spans="1:26" ht="15.75" customHeight="1" x14ac:dyDescent="0.25">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row>
    <row r="376" spans="1:26" ht="15.75" customHeight="1" x14ac:dyDescent="0.25">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row>
    <row r="377" spans="1:26" ht="15.75" customHeight="1" x14ac:dyDescent="0.25">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row>
    <row r="378" spans="1:26" ht="15.75" customHeight="1" x14ac:dyDescent="0.25">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row>
    <row r="379" spans="1:26" ht="15.75" customHeight="1" x14ac:dyDescent="0.25">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row>
    <row r="380" spans="1:26" ht="15.75" customHeight="1" x14ac:dyDescent="0.25">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row>
    <row r="381" spans="1:26" ht="15.75" customHeight="1" x14ac:dyDescent="0.25">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row>
    <row r="382" spans="1:26" ht="15.75" customHeight="1" x14ac:dyDescent="0.25">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row>
    <row r="383" spans="1:26" ht="15.75" customHeight="1" x14ac:dyDescent="0.25">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row>
    <row r="384" spans="1:26" ht="15.75" customHeight="1" x14ac:dyDescent="0.25">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row>
    <row r="385" spans="1:26" ht="15.75" customHeight="1" x14ac:dyDescent="0.25">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row>
    <row r="386" spans="1:26" ht="15.75" customHeight="1" x14ac:dyDescent="0.25">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row>
    <row r="387" spans="1:26" ht="15.75" customHeight="1" x14ac:dyDescent="0.25">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row>
    <row r="388" spans="1:26" ht="15.75" customHeight="1" x14ac:dyDescent="0.25">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row>
    <row r="389" spans="1:26" ht="15.75" customHeight="1" x14ac:dyDescent="0.25">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row>
    <row r="390" spans="1:26" ht="15.75" customHeight="1" x14ac:dyDescent="0.25">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row>
    <row r="391" spans="1:26" ht="15.75" customHeight="1" x14ac:dyDescent="0.25">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row>
    <row r="392" spans="1:26" ht="15.75" customHeight="1" x14ac:dyDescent="0.25">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row>
    <row r="393" spans="1:26" ht="15.75" customHeight="1" x14ac:dyDescent="0.25">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row>
    <row r="394" spans="1:26" ht="15.75" customHeight="1" x14ac:dyDescent="0.25">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row>
    <row r="395" spans="1:26" ht="15.75" customHeight="1" x14ac:dyDescent="0.25">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row>
    <row r="396" spans="1:26" ht="15.75" customHeight="1" x14ac:dyDescent="0.25">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row>
    <row r="397" spans="1:26" ht="15.75" customHeight="1" x14ac:dyDescent="0.25">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row>
    <row r="398" spans="1:26" ht="15.75" customHeight="1" x14ac:dyDescent="0.25">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row>
    <row r="399" spans="1:26" ht="15.75" customHeight="1" x14ac:dyDescent="0.25">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row>
    <row r="400" spans="1:26" ht="15.75" customHeight="1" x14ac:dyDescent="0.25">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row>
    <row r="401" spans="1:26" ht="15.75" customHeight="1" x14ac:dyDescent="0.25">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row>
    <row r="402" spans="1:26" ht="15.75" customHeight="1" x14ac:dyDescent="0.25">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row>
    <row r="403" spans="1:26" ht="15.75" customHeight="1" x14ac:dyDescent="0.25">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row>
    <row r="404" spans="1:26" ht="15.75" customHeight="1" x14ac:dyDescent="0.25">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row>
    <row r="405" spans="1:26" ht="15.75" customHeight="1" x14ac:dyDescent="0.25">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row>
    <row r="406" spans="1:26" ht="15.75" customHeight="1" x14ac:dyDescent="0.25">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row>
    <row r="407" spans="1:26" ht="15.75" customHeight="1" x14ac:dyDescent="0.25">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row>
    <row r="408" spans="1:26" ht="15.75" customHeight="1" x14ac:dyDescent="0.25">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row>
    <row r="409" spans="1:26" ht="15.75" customHeight="1" x14ac:dyDescent="0.25">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row>
    <row r="410" spans="1:26" ht="15.75" customHeight="1" x14ac:dyDescent="0.25">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row>
    <row r="411" spans="1:26" ht="15.75" customHeight="1" x14ac:dyDescent="0.25">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row>
    <row r="412" spans="1:26" ht="15.75" customHeight="1" x14ac:dyDescent="0.25">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row>
    <row r="413" spans="1:26" ht="15.75" customHeight="1" x14ac:dyDescent="0.25">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row>
    <row r="414" spans="1:26" ht="15.75" customHeight="1" x14ac:dyDescent="0.25">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row>
    <row r="415" spans="1:26" ht="15.75" customHeight="1" x14ac:dyDescent="0.25">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row>
    <row r="416" spans="1:26" ht="15.75" customHeight="1" x14ac:dyDescent="0.25">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row>
    <row r="417" spans="1:26" ht="15.75" customHeight="1" x14ac:dyDescent="0.25">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row>
    <row r="418" spans="1:26" ht="15.75" customHeight="1" x14ac:dyDescent="0.25">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row>
    <row r="419" spans="1:26" ht="15.75" customHeight="1" x14ac:dyDescent="0.25">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row>
    <row r="420" spans="1:26" ht="15.75" customHeight="1" x14ac:dyDescent="0.25">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row>
    <row r="421" spans="1:26" ht="15.75" customHeight="1" x14ac:dyDescent="0.25">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row>
    <row r="422" spans="1:26" ht="15.75" customHeight="1" x14ac:dyDescent="0.25">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row>
    <row r="423" spans="1:26" ht="15.75" customHeight="1" x14ac:dyDescent="0.25">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row>
    <row r="424" spans="1:26" ht="15.75" customHeight="1" x14ac:dyDescent="0.25">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row>
    <row r="425" spans="1:26" ht="15.75" customHeight="1" x14ac:dyDescent="0.25">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row>
    <row r="426" spans="1:26" ht="15.75" customHeight="1" x14ac:dyDescent="0.25">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row>
    <row r="427" spans="1:26" ht="15.75" customHeight="1" x14ac:dyDescent="0.25">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row>
    <row r="428" spans="1:26" ht="15.75" customHeight="1" x14ac:dyDescent="0.25">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row>
    <row r="429" spans="1:26" ht="15.75" customHeight="1" x14ac:dyDescent="0.25">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row>
    <row r="430" spans="1:26" ht="15.75" customHeight="1" x14ac:dyDescent="0.25">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row>
    <row r="431" spans="1:26" ht="15.75" customHeight="1" x14ac:dyDescent="0.25">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row>
    <row r="432" spans="1:26" ht="15.75" customHeight="1" x14ac:dyDescent="0.25">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row>
    <row r="433" spans="1:26" ht="15.75" customHeight="1" x14ac:dyDescent="0.25">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row>
    <row r="434" spans="1:26" ht="15.75" customHeight="1" x14ac:dyDescent="0.25">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row>
    <row r="435" spans="1:26" ht="15.75" customHeight="1" x14ac:dyDescent="0.25">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row>
    <row r="436" spans="1:26" ht="15.75" customHeight="1" x14ac:dyDescent="0.25">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row>
    <row r="437" spans="1:26" ht="15.75" customHeight="1" x14ac:dyDescent="0.25">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row>
    <row r="438" spans="1:26" ht="15.75" customHeight="1" x14ac:dyDescent="0.25">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row>
    <row r="439" spans="1:26" ht="15.75" customHeight="1" x14ac:dyDescent="0.25">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row>
    <row r="440" spans="1:26" ht="15.75" customHeight="1" x14ac:dyDescent="0.25">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row>
    <row r="441" spans="1:26" ht="15.75" customHeight="1" x14ac:dyDescent="0.25">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row>
    <row r="442" spans="1:26" ht="15.75" customHeight="1" x14ac:dyDescent="0.25">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row>
    <row r="443" spans="1:26" ht="15.75" customHeight="1" x14ac:dyDescent="0.25">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row>
    <row r="444" spans="1:26" ht="15.75" customHeight="1" x14ac:dyDescent="0.25">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row>
    <row r="445" spans="1:26" ht="15.75" customHeight="1" x14ac:dyDescent="0.25">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row>
    <row r="446" spans="1:26" ht="15.75" customHeight="1" x14ac:dyDescent="0.25">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row>
    <row r="447" spans="1:26" ht="15.75" customHeight="1" x14ac:dyDescent="0.25">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row>
    <row r="448" spans="1:26" ht="15.75" customHeight="1" x14ac:dyDescent="0.25">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row>
    <row r="449" spans="1:26" ht="15.75" customHeight="1" x14ac:dyDescent="0.25">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row>
    <row r="450" spans="1:26" ht="15.75" customHeight="1" x14ac:dyDescent="0.25">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row>
    <row r="451" spans="1:26" ht="15.75" customHeight="1" x14ac:dyDescent="0.25">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row>
    <row r="452" spans="1:26" ht="15.75" customHeight="1" x14ac:dyDescent="0.25">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row>
    <row r="453" spans="1:26" ht="15.75" customHeight="1" x14ac:dyDescent="0.25">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row>
    <row r="454" spans="1:26" ht="15.75" customHeight="1" x14ac:dyDescent="0.25">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row>
    <row r="455" spans="1:26" ht="15.75" customHeight="1" x14ac:dyDescent="0.25">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row>
    <row r="456" spans="1:26" ht="15.75" customHeight="1" x14ac:dyDescent="0.25">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row>
    <row r="457" spans="1:26" ht="15.75" customHeight="1" x14ac:dyDescent="0.25">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row>
    <row r="458" spans="1:26" ht="15.75" customHeight="1" x14ac:dyDescent="0.25">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row>
    <row r="459" spans="1:26" ht="15.75" customHeight="1" x14ac:dyDescent="0.25">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row>
    <row r="460" spans="1:26" ht="15.75" customHeight="1" x14ac:dyDescent="0.25">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row>
    <row r="461" spans="1:26" ht="15.75" customHeight="1" x14ac:dyDescent="0.25">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row>
    <row r="462" spans="1:26" ht="15.75" customHeight="1" x14ac:dyDescent="0.25">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row>
    <row r="463" spans="1:26" ht="15.75" customHeight="1" x14ac:dyDescent="0.25">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row>
    <row r="464" spans="1:26" ht="15.75" customHeight="1" x14ac:dyDescent="0.25">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row>
    <row r="465" spans="1:26" ht="15.75" customHeight="1" x14ac:dyDescent="0.25">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row>
    <row r="466" spans="1:26" ht="15.75" customHeight="1" x14ac:dyDescent="0.25">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row>
    <row r="467" spans="1:26" ht="15.75" customHeight="1" x14ac:dyDescent="0.25">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row>
    <row r="468" spans="1:26" ht="15.75" customHeight="1" x14ac:dyDescent="0.25">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row>
    <row r="469" spans="1:26" ht="15.75" customHeight="1" x14ac:dyDescent="0.25">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row>
    <row r="470" spans="1:26" ht="15.75" customHeight="1" x14ac:dyDescent="0.25">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row>
    <row r="471" spans="1:26" ht="15.75" customHeight="1" x14ac:dyDescent="0.25">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row>
    <row r="472" spans="1:26" ht="15.75" customHeight="1" x14ac:dyDescent="0.25">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row>
    <row r="473" spans="1:26" ht="15.75" customHeight="1" x14ac:dyDescent="0.25">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row>
    <row r="474" spans="1:26" ht="15.75" customHeight="1" x14ac:dyDescent="0.25">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row>
    <row r="475" spans="1:26" ht="15.75" customHeight="1" x14ac:dyDescent="0.25">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row>
    <row r="476" spans="1:26" ht="15.75" customHeight="1" x14ac:dyDescent="0.25">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row>
    <row r="477" spans="1:26" ht="15.75" customHeight="1" x14ac:dyDescent="0.25">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row>
    <row r="478" spans="1:26" ht="15.75" customHeight="1" x14ac:dyDescent="0.25">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row>
    <row r="479" spans="1:26" ht="15.75" customHeight="1" x14ac:dyDescent="0.25">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row>
    <row r="480" spans="1:26" ht="15.75" customHeight="1" x14ac:dyDescent="0.25">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row>
    <row r="481" spans="1:26" ht="15.75" customHeight="1" x14ac:dyDescent="0.25">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row>
    <row r="482" spans="1:26" ht="15.75" customHeight="1" x14ac:dyDescent="0.25">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row>
    <row r="483" spans="1:26" ht="15.75" customHeight="1" x14ac:dyDescent="0.25">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row>
    <row r="484" spans="1:26" ht="15.75" customHeight="1" x14ac:dyDescent="0.25">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row>
    <row r="485" spans="1:26" ht="15.75" customHeight="1" x14ac:dyDescent="0.25">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row>
    <row r="486" spans="1:26" ht="15.75" customHeight="1" x14ac:dyDescent="0.25">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row>
    <row r="487" spans="1:26" ht="15.75" customHeight="1" x14ac:dyDescent="0.25">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row>
    <row r="488" spans="1:26" ht="15.75" customHeight="1" x14ac:dyDescent="0.25">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row>
    <row r="489" spans="1:26" ht="15.75" customHeight="1" x14ac:dyDescent="0.25">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row>
    <row r="490" spans="1:26" ht="15.75" customHeight="1" x14ac:dyDescent="0.25">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row>
    <row r="491" spans="1:26" ht="15.75" customHeight="1" x14ac:dyDescent="0.25">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row>
    <row r="492" spans="1:26" ht="15.75" customHeight="1" x14ac:dyDescent="0.25">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row>
    <row r="493" spans="1:26" ht="15.75" customHeight="1" x14ac:dyDescent="0.25">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row>
    <row r="494" spans="1:26" ht="15.75" customHeight="1" x14ac:dyDescent="0.25">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row>
    <row r="495" spans="1:26" ht="15.75" customHeight="1" x14ac:dyDescent="0.25">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row>
    <row r="496" spans="1:26" ht="15.75" customHeight="1" x14ac:dyDescent="0.25">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row>
    <row r="497" spans="1:26" ht="15.75" customHeight="1" x14ac:dyDescent="0.25">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row>
    <row r="498" spans="1:26" ht="15.75" customHeight="1" x14ac:dyDescent="0.25">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row>
    <row r="499" spans="1:26" ht="15.75" customHeight="1" x14ac:dyDescent="0.25">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row>
    <row r="500" spans="1:26" ht="15.75" customHeight="1" x14ac:dyDescent="0.25">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row>
    <row r="501" spans="1:26" ht="15.75" customHeight="1" x14ac:dyDescent="0.25">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row>
    <row r="502" spans="1:26" ht="15.75" customHeight="1" x14ac:dyDescent="0.25">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row>
    <row r="503" spans="1:26" ht="15.75" customHeight="1" x14ac:dyDescent="0.25">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row>
    <row r="504" spans="1:26" ht="15.75" customHeight="1" x14ac:dyDescent="0.25">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row>
    <row r="505" spans="1:26" ht="15.75" customHeight="1" x14ac:dyDescent="0.25">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row>
    <row r="506" spans="1:26" ht="15.75" customHeight="1" x14ac:dyDescent="0.25">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row>
    <row r="507" spans="1:26" ht="15.75" customHeight="1" x14ac:dyDescent="0.25">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row>
    <row r="508" spans="1:26" ht="15.75" customHeight="1" x14ac:dyDescent="0.25">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row>
    <row r="509" spans="1:26" ht="15.75" customHeight="1" x14ac:dyDescent="0.25">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row>
    <row r="510" spans="1:26" ht="15.75" customHeight="1" x14ac:dyDescent="0.25">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row>
    <row r="511" spans="1:26" ht="15.75" customHeight="1" x14ac:dyDescent="0.25">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row>
    <row r="512" spans="1:26" ht="15.75" customHeight="1" x14ac:dyDescent="0.25">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row>
    <row r="513" spans="1:26" ht="15.75" customHeight="1" x14ac:dyDescent="0.25">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row>
    <row r="514" spans="1:26" ht="15.75" customHeight="1" x14ac:dyDescent="0.25">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row>
    <row r="515" spans="1:26" ht="15.75" customHeight="1" x14ac:dyDescent="0.25">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row>
    <row r="516" spans="1:26" ht="15.75" customHeight="1" x14ac:dyDescent="0.25">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row>
    <row r="517" spans="1:26" ht="15.75" customHeight="1" x14ac:dyDescent="0.25">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row>
    <row r="518" spans="1:26" ht="15.75" customHeight="1" x14ac:dyDescent="0.25">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row>
    <row r="519" spans="1:26" ht="15.75" customHeight="1" x14ac:dyDescent="0.25">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row>
    <row r="520" spans="1:26" ht="15.75" customHeight="1" x14ac:dyDescent="0.25">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row>
    <row r="521" spans="1:26" ht="15.75" customHeight="1" x14ac:dyDescent="0.25">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row>
    <row r="522" spans="1:26" ht="15.75" customHeight="1" x14ac:dyDescent="0.25">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row>
    <row r="523" spans="1:26" ht="15.75" customHeight="1" x14ac:dyDescent="0.25">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row>
    <row r="524" spans="1:26" ht="15.75" customHeight="1" x14ac:dyDescent="0.25">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row>
    <row r="525" spans="1:26" ht="15.75" customHeight="1" x14ac:dyDescent="0.25">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row>
    <row r="526" spans="1:26" ht="15.75" customHeight="1" x14ac:dyDescent="0.25">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row>
    <row r="527" spans="1:26" ht="15.75" customHeight="1" x14ac:dyDescent="0.25">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row>
    <row r="528" spans="1:26" ht="15.75" customHeight="1" x14ac:dyDescent="0.25">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row>
    <row r="529" spans="1:26" ht="15.75" customHeight="1" x14ac:dyDescent="0.25">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row>
    <row r="530" spans="1:26" ht="15.75" customHeight="1" x14ac:dyDescent="0.25">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row>
    <row r="531" spans="1:26" ht="15.75" customHeight="1" x14ac:dyDescent="0.25">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row>
    <row r="532" spans="1:26" ht="15.75" customHeight="1" x14ac:dyDescent="0.25">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row>
    <row r="533" spans="1:26" ht="15.75" customHeight="1" x14ac:dyDescent="0.25">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row>
    <row r="534" spans="1:26" ht="15.75" customHeight="1" x14ac:dyDescent="0.25">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row>
    <row r="535" spans="1:26" ht="15.75" customHeight="1" x14ac:dyDescent="0.25">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row>
    <row r="536" spans="1:26" ht="15.75" customHeight="1" x14ac:dyDescent="0.25">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row>
    <row r="537" spans="1:26" ht="15.75" customHeight="1" x14ac:dyDescent="0.25">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row>
    <row r="538" spans="1:26" ht="15.75" customHeight="1" x14ac:dyDescent="0.25">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row>
    <row r="539" spans="1:26" ht="15.75" customHeight="1" x14ac:dyDescent="0.25">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row>
    <row r="540" spans="1:26" ht="15.75" customHeight="1" x14ac:dyDescent="0.25">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row>
    <row r="541" spans="1:26" ht="15.75" customHeight="1" x14ac:dyDescent="0.25">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row>
    <row r="542" spans="1:26" ht="15.75" customHeight="1" x14ac:dyDescent="0.25">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row>
    <row r="543" spans="1:26" ht="15.75" customHeight="1" x14ac:dyDescent="0.25">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row>
    <row r="544" spans="1:26" ht="15.75" customHeight="1" x14ac:dyDescent="0.25">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row>
    <row r="545" spans="1:26" ht="15.75" customHeight="1" x14ac:dyDescent="0.25">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row>
    <row r="546" spans="1:26" ht="15.75" customHeight="1" x14ac:dyDescent="0.25">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row>
    <row r="547" spans="1:26" ht="15.75" customHeight="1" x14ac:dyDescent="0.25">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row>
    <row r="548" spans="1:26" ht="15.75" customHeight="1" x14ac:dyDescent="0.25">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row>
    <row r="549" spans="1:26" ht="15.75" customHeight="1" x14ac:dyDescent="0.25">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row>
    <row r="550" spans="1:26" ht="15.75" customHeight="1" x14ac:dyDescent="0.25">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row>
    <row r="551" spans="1:26" ht="15.75" customHeight="1" x14ac:dyDescent="0.25">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row>
    <row r="552" spans="1:26" ht="15.75" customHeight="1" x14ac:dyDescent="0.25">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row>
    <row r="553" spans="1:26" ht="15.75" customHeight="1" x14ac:dyDescent="0.25">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row>
    <row r="554" spans="1:26" ht="15.75" customHeight="1" x14ac:dyDescent="0.25">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row>
    <row r="555" spans="1:26" ht="15.75" customHeight="1" x14ac:dyDescent="0.25">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row>
    <row r="556" spans="1:26" ht="15.75" customHeight="1" x14ac:dyDescent="0.25">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row>
    <row r="557" spans="1:26" ht="15.75" customHeight="1" x14ac:dyDescent="0.25">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row>
    <row r="558" spans="1:26" ht="15.75" customHeight="1" x14ac:dyDescent="0.25">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row>
    <row r="559" spans="1:26" ht="15.75" customHeight="1" x14ac:dyDescent="0.25">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row>
    <row r="560" spans="1:26" ht="15.75" customHeight="1" x14ac:dyDescent="0.25">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row>
    <row r="561" spans="1:26" ht="15.75" customHeight="1" x14ac:dyDescent="0.25">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row>
    <row r="562" spans="1:26" ht="15.75" customHeight="1" x14ac:dyDescent="0.25">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row>
    <row r="563" spans="1:26" ht="15.75" customHeight="1" x14ac:dyDescent="0.25">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row>
    <row r="564" spans="1:26" ht="15.75" customHeight="1" x14ac:dyDescent="0.25">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row>
    <row r="565" spans="1:26" ht="15.75" customHeight="1" x14ac:dyDescent="0.25">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row>
    <row r="566" spans="1:26" ht="15.75" customHeight="1" x14ac:dyDescent="0.25">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row>
    <row r="567" spans="1:26" ht="15.75" customHeight="1" x14ac:dyDescent="0.25">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row>
    <row r="568" spans="1:26" ht="15.75" customHeight="1" x14ac:dyDescent="0.25">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row>
    <row r="569" spans="1:26" ht="15.75" customHeight="1" x14ac:dyDescent="0.25">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row>
    <row r="570" spans="1:26" ht="15.75" customHeight="1" x14ac:dyDescent="0.25">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row>
    <row r="571" spans="1:26" ht="15.75" customHeight="1" x14ac:dyDescent="0.25">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row>
    <row r="572" spans="1:26" ht="15.75" customHeight="1" x14ac:dyDescent="0.25">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row>
    <row r="573" spans="1:26" ht="15.75" customHeight="1" x14ac:dyDescent="0.25">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row>
    <row r="574" spans="1:26" ht="15.75" customHeight="1" x14ac:dyDescent="0.25">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row>
    <row r="575" spans="1:26" ht="15.75" customHeight="1" x14ac:dyDescent="0.25">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row>
    <row r="576" spans="1:26" ht="15.75" customHeight="1" x14ac:dyDescent="0.25">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row>
    <row r="577" spans="1:26" ht="15.75" customHeight="1" x14ac:dyDescent="0.25">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row>
    <row r="578" spans="1:26" ht="15.75" customHeight="1" x14ac:dyDescent="0.25">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row>
    <row r="579" spans="1:26" ht="15.75" customHeight="1" x14ac:dyDescent="0.25">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row>
    <row r="580" spans="1:26" ht="15.75" customHeight="1" x14ac:dyDescent="0.25">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row>
    <row r="581" spans="1:26" ht="15.75" customHeight="1" x14ac:dyDescent="0.25">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row>
    <row r="582" spans="1:26" ht="15.75" customHeight="1" x14ac:dyDescent="0.25">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row>
    <row r="583" spans="1:26" ht="15.75" customHeight="1" x14ac:dyDescent="0.25">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row>
    <row r="584" spans="1:26" ht="15.75" customHeight="1" x14ac:dyDescent="0.25">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row>
    <row r="585" spans="1:26" ht="15.75" customHeight="1" x14ac:dyDescent="0.25">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row>
    <row r="586" spans="1:26" ht="15.75" customHeight="1" x14ac:dyDescent="0.25">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row>
    <row r="587" spans="1:26" ht="15.75" customHeight="1" x14ac:dyDescent="0.25">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row>
    <row r="588" spans="1:26" ht="15.75" customHeight="1" x14ac:dyDescent="0.25">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row>
    <row r="589" spans="1:26" ht="15.75" customHeight="1" x14ac:dyDescent="0.25">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row>
    <row r="590" spans="1:26" ht="15.75" customHeight="1" x14ac:dyDescent="0.25">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row>
    <row r="591" spans="1:26" ht="15.75" customHeight="1" x14ac:dyDescent="0.25">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row>
    <row r="592" spans="1:26" ht="15.75" customHeight="1" x14ac:dyDescent="0.25">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row>
    <row r="593" spans="1:26" ht="15.75" customHeight="1" x14ac:dyDescent="0.25">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row>
    <row r="594" spans="1:26" ht="15.75" customHeight="1" x14ac:dyDescent="0.25">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row>
    <row r="595" spans="1:26" ht="15.75" customHeight="1" x14ac:dyDescent="0.25">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row>
    <row r="596" spans="1:26" ht="15.75" customHeight="1" x14ac:dyDescent="0.25">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row>
    <row r="597" spans="1:26" ht="15.75" customHeight="1" x14ac:dyDescent="0.25">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row>
    <row r="598" spans="1:26" ht="15.75" customHeight="1" x14ac:dyDescent="0.25">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row>
    <row r="599" spans="1:26" ht="15.75" customHeight="1" x14ac:dyDescent="0.25">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row>
    <row r="600" spans="1:26" ht="15.75" customHeight="1" x14ac:dyDescent="0.25">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row>
    <row r="601" spans="1:26" ht="15.75" customHeight="1" x14ac:dyDescent="0.25">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row>
    <row r="602" spans="1:26" ht="15.75" customHeight="1" x14ac:dyDescent="0.25">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row>
    <row r="603" spans="1:26" ht="15.75" customHeight="1" x14ac:dyDescent="0.25">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row>
    <row r="604" spans="1:26" ht="15.75" customHeight="1" x14ac:dyDescent="0.25">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row>
    <row r="605" spans="1:26" ht="15.75" customHeight="1" x14ac:dyDescent="0.25">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row>
    <row r="606" spans="1:26" ht="15.75" customHeight="1" x14ac:dyDescent="0.25">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row>
    <row r="607" spans="1:26" ht="15.75" customHeight="1" x14ac:dyDescent="0.25">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row>
    <row r="608" spans="1:26" ht="15.75" customHeight="1" x14ac:dyDescent="0.25">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row>
    <row r="609" spans="1:26" ht="15.75" customHeight="1" x14ac:dyDescent="0.25">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row>
    <row r="610" spans="1:26" ht="15.75" customHeight="1" x14ac:dyDescent="0.25">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row>
    <row r="611" spans="1:26" ht="15.75" customHeight="1" x14ac:dyDescent="0.25">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row>
    <row r="612" spans="1:26" ht="15.75" customHeight="1" x14ac:dyDescent="0.25">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row>
    <row r="613" spans="1:26" ht="15.75" customHeight="1" x14ac:dyDescent="0.25">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row>
    <row r="614" spans="1:26" ht="15.75" customHeight="1" x14ac:dyDescent="0.25">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row>
    <row r="615" spans="1:26" ht="15.75" customHeight="1" x14ac:dyDescent="0.25">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row>
    <row r="616" spans="1:26" ht="15.75" customHeight="1" x14ac:dyDescent="0.25">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row>
    <row r="617" spans="1:26" ht="15.75" customHeight="1" x14ac:dyDescent="0.25">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row>
    <row r="618" spans="1:26" ht="15.75" customHeight="1" x14ac:dyDescent="0.25">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row>
    <row r="619" spans="1:26" ht="15.75" customHeight="1" x14ac:dyDescent="0.25">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row>
    <row r="620" spans="1:26" ht="15.75" customHeight="1" x14ac:dyDescent="0.25">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row>
    <row r="621" spans="1:26" ht="15.75" customHeight="1" x14ac:dyDescent="0.25">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row>
    <row r="622" spans="1:26" ht="15.75" customHeight="1" x14ac:dyDescent="0.25">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row>
    <row r="623" spans="1:26" ht="15.75" customHeight="1" x14ac:dyDescent="0.25">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row>
    <row r="624" spans="1:26" ht="15.75" customHeight="1" x14ac:dyDescent="0.25">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row>
    <row r="625" spans="1:26" ht="15.75" customHeight="1" x14ac:dyDescent="0.25">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row>
    <row r="626" spans="1:26" ht="15.75" customHeight="1" x14ac:dyDescent="0.25">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row>
    <row r="627" spans="1:26" ht="15.75" customHeight="1" x14ac:dyDescent="0.25">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row>
    <row r="628" spans="1:26" ht="15.75" customHeight="1" x14ac:dyDescent="0.25">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row>
    <row r="629" spans="1:26" ht="15.75" customHeight="1" x14ac:dyDescent="0.25">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row>
    <row r="630" spans="1:26" ht="15.75" customHeight="1" x14ac:dyDescent="0.25">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row>
    <row r="631" spans="1:26" ht="15.75" customHeight="1" x14ac:dyDescent="0.25">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row>
    <row r="632" spans="1:26" ht="15.75" customHeight="1" x14ac:dyDescent="0.25">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row>
    <row r="633" spans="1:26" ht="15.75" customHeight="1" x14ac:dyDescent="0.25">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row>
    <row r="634" spans="1:26" ht="15.75" customHeight="1" x14ac:dyDescent="0.25">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row>
    <row r="635" spans="1:26" ht="15.75" customHeight="1" x14ac:dyDescent="0.25">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row>
    <row r="636" spans="1:26" ht="15.75" customHeight="1" x14ac:dyDescent="0.25">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row>
    <row r="637" spans="1:26" ht="15.75" customHeight="1" x14ac:dyDescent="0.25">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row>
    <row r="638" spans="1:26" ht="15.75" customHeight="1" x14ac:dyDescent="0.25">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row>
    <row r="639" spans="1:26" ht="15.75" customHeight="1" x14ac:dyDescent="0.25">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row>
    <row r="640" spans="1:26" ht="15.75" customHeight="1" x14ac:dyDescent="0.25">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row>
    <row r="641" spans="1:26" ht="15.75" customHeight="1" x14ac:dyDescent="0.25">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row>
    <row r="642" spans="1:26" ht="15.75" customHeight="1" x14ac:dyDescent="0.25">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row>
    <row r="643" spans="1:26" ht="15.75" customHeight="1" x14ac:dyDescent="0.25">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row>
    <row r="644" spans="1:26" ht="15.75" customHeight="1" x14ac:dyDescent="0.25">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row>
    <row r="645" spans="1:26" ht="15.75" customHeight="1" x14ac:dyDescent="0.25">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row>
    <row r="646" spans="1:26" ht="15.75" customHeight="1" x14ac:dyDescent="0.25">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row>
    <row r="647" spans="1:26" ht="15.75" customHeight="1" x14ac:dyDescent="0.25">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row>
    <row r="648" spans="1:26" ht="15.75" customHeight="1" x14ac:dyDescent="0.25">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row>
    <row r="649" spans="1:26" ht="15.75" customHeight="1" x14ac:dyDescent="0.25">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row>
    <row r="650" spans="1:26" ht="15.75" customHeight="1" x14ac:dyDescent="0.25">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row>
    <row r="651" spans="1:26" ht="15.75" customHeight="1" x14ac:dyDescent="0.25">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row>
    <row r="652" spans="1:26" ht="15.75" customHeight="1" x14ac:dyDescent="0.25">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row>
    <row r="653" spans="1:26" ht="15.75" customHeight="1" x14ac:dyDescent="0.25">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row>
    <row r="654" spans="1:26" ht="15.75" customHeight="1" x14ac:dyDescent="0.25">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row>
    <row r="655" spans="1:26" ht="15.75" customHeight="1" x14ac:dyDescent="0.25">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row>
    <row r="656" spans="1:26" ht="15.75" customHeight="1" x14ac:dyDescent="0.25">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row>
    <row r="657" spans="1:26" ht="15.75" customHeight="1" x14ac:dyDescent="0.25">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row>
    <row r="658" spans="1:26" ht="15.75" customHeight="1" x14ac:dyDescent="0.25">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row>
    <row r="659" spans="1:26" ht="15.75" customHeight="1" x14ac:dyDescent="0.25">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row>
    <row r="660" spans="1:26" ht="15.75" customHeight="1" x14ac:dyDescent="0.25">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row>
    <row r="661" spans="1:26" ht="15.75" customHeight="1" x14ac:dyDescent="0.25">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row>
    <row r="662" spans="1:26" ht="15.75" customHeight="1" x14ac:dyDescent="0.25">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row>
    <row r="663" spans="1:26" ht="15.75" customHeight="1" x14ac:dyDescent="0.25">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row>
    <row r="664" spans="1:26" ht="15.75" customHeight="1" x14ac:dyDescent="0.25">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row>
    <row r="665" spans="1:26" ht="15.75" customHeight="1" x14ac:dyDescent="0.25">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row>
    <row r="666" spans="1:26" ht="15.75" customHeight="1" x14ac:dyDescent="0.25">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row>
    <row r="667" spans="1:26" ht="15.75" customHeight="1" x14ac:dyDescent="0.25">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row>
    <row r="668" spans="1:26" ht="15.75" customHeight="1" x14ac:dyDescent="0.25">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row>
    <row r="669" spans="1:26" ht="15.75" customHeight="1" x14ac:dyDescent="0.25">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row>
    <row r="670" spans="1:26" ht="15.75" customHeight="1" x14ac:dyDescent="0.25">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row>
    <row r="671" spans="1:26" ht="15.75" customHeight="1" x14ac:dyDescent="0.25">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row>
    <row r="672" spans="1:26" ht="15.75" customHeight="1" x14ac:dyDescent="0.25">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row>
    <row r="673" spans="1:26" ht="15.75" customHeight="1" x14ac:dyDescent="0.25">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row>
    <row r="674" spans="1:26" ht="15.75" customHeight="1" x14ac:dyDescent="0.25">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row>
    <row r="675" spans="1:26" ht="15.75" customHeight="1" x14ac:dyDescent="0.25">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row>
    <row r="676" spans="1:26" ht="15.75" customHeight="1" x14ac:dyDescent="0.25">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row>
    <row r="677" spans="1:26" ht="15.75" customHeight="1" x14ac:dyDescent="0.25">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row>
    <row r="678" spans="1:26" ht="15.75" customHeight="1" x14ac:dyDescent="0.25">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row>
    <row r="679" spans="1:26" ht="15.75" customHeight="1" x14ac:dyDescent="0.25">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row>
    <row r="680" spans="1:26" ht="15.75" customHeight="1" x14ac:dyDescent="0.25">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row>
    <row r="681" spans="1:26" ht="15.75" customHeight="1" x14ac:dyDescent="0.25">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row>
    <row r="682" spans="1:26" ht="15.75" customHeight="1" x14ac:dyDescent="0.25">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row>
    <row r="683" spans="1:26" ht="15.75" customHeight="1" x14ac:dyDescent="0.25">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row>
    <row r="684" spans="1:26" ht="15.75" customHeight="1" x14ac:dyDescent="0.25">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row>
    <row r="685" spans="1:26" ht="15.75" customHeight="1" x14ac:dyDescent="0.25">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row>
    <row r="686" spans="1:26" ht="15.75" customHeight="1" x14ac:dyDescent="0.25">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row>
    <row r="687" spans="1:26" ht="15.75" customHeight="1" x14ac:dyDescent="0.25">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row>
    <row r="688" spans="1:26" ht="15.75" customHeight="1" x14ac:dyDescent="0.25">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row>
    <row r="689" spans="1:26" ht="15.75" customHeight="1" x14ac:dyDescent="0.25">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row>
    <row r="690" spans="1:26" ht="15.75" customHeight="1" x14ac:dyDescent="0.25">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row>
    <row r="691" spans="1:26" ht="15.75" customHeight="1" x14ac:dyDescent="0.25">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row>
    <row r="692" spans="1:26" ht="15.75" customHeight="1" x14ac:dyDescent="0.25">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row>
    <row r="693" spans="1:26" ht="15.75" customHeight="1" x14ac:dyDescent="0.25">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row>
    <row r="694" spans="1:26" ht="15.75" customHeight="1" x14ac:dyDescent="0.25">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row>
    <row r="695" spans="1:26" ht="15.75" customHeight="1" x14ac:dyDescent="0.25">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row>
    <row r="696" spans="1:26" ht="15.75" customHeight="1" x14ac:dyDescent="0.25">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row>
    <row r="697" spans="1:26" ht="15.75" customHeight="1" x14ac:dyDescent="0.25">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row>
    <row r="698" spans="1:26" ht="15.75" customHeight="1" x14ac:dyDescent="0.25">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row>
    <row r="699" spans="1:26" ht="15.75" customHeight="1" x14ac:dyDescent="0.25">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row>
    <row r="700" spans="1:26" ht="15.75" customHeight="1" x14ac:dyDescent="0.25">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row>
    <row r="701" spans="1:26" ht="15.75" customHeight="1" x14ac:dyDescent="0.25">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row>
    <row r="702" spans="1:26" ht="15.75" customHeight="1" x14ac:dyDescent="0.25">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row>
    <row r="703" spans="1:26" ht="15.75" customHeight="1" x14ac:dyDescent="0.25">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row>
    <row r="704" spans="1:26" ht="15.75" customHeight="1" x14ac:dyDescent="0.25">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row>
    <row r="705" spans="1:26" ht="15.75" customHeight="1" x14ac:dyDescent="0.25">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row>
    <row r="706" spans="1:26" ht="15.75" customHeight="1" x14ac:dyDescent="0.25">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row>
    <row r="707" spans="1:26" ht="15.75" customHeight="1" x14ac:dyDescent="0.25">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row>
    <row r="708" spans="1:26" ht="15.75" customHeight="1" x14ac:dyDescent="0.25">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row>
    <row r="709" spans="1:26" ht="15.75" customHeight="1" x14ac:dyDescent="0.25">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row>
    <row r="710" spans="1:26" ht="15.75" customHeight="1" x14ac:dyDescent="0.25">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row>
    <row r="711" spans="1:26" ht="15.75" customHeight="1" x14ac:dyDescent="0.25">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row>
    <row r="712" spans="1:26" ht="15.75" customHeight="1" x14ac:dyDescent="0.25">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row>
    <row r="713" spans="1:26" ht="15.75" customHeight="1" x14ac:dyDescent="0.25">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row>
    <row r="714" spans="1:26" ht="15.75" customHeight="1" x14ac:dyDescent="0.25">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row>
    <row r="715" spans="1:26" ht="15.75" customHeight="1" x14ac:dyDescent="0.25">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row>
    <row r="716" spans="1:26" ht="15.75" customHeight="1" x14ac:dyDescent="0.25">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row>
    <row r="717" spans="1:26" ht="15.75" customHeight="1" x14ac:dyDescent="0.25">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row>
    <row r="718" spans="1:26" ht="15.75" customHeight="1" x14ac:dyDescent="0.25">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row>
    <row r="719" spans="1:26" ht="15.75" customHeight="1" x14ac:dyDescent="0.25">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row>
    <row r="720" spans="1:26" ht="15.75" customHeight="1" x14ac:dyDescent="0.25">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row>
    <row r="721" spans="1:26" ht="15.75" customHeight="1" x14ac:dyDescent="0.25">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row>
    <row r="722" spans="1:26" ht="15.75" customHeight="1" x14ac:dyDescent="0.25">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row>
    <row r="723" spans="1:26" ht="15.75" customHeight="1" x14ac:dyDescent="0.25">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row>
    <row r="724" spans="1:26" ht="15.75" customHeight="1" x14ac:dyDescent="0.25">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row>
    <row r="725" spans="1:26" ht="15.75" customHeight="1" x14ac:dyDescent="0.25">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row>
    <row r="726" spans="1:26" ht="15.75" customHeight="1" x14ac:dyDescent="0.25">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row>
    <row r="727" spans="1:26" ht="15.75" customHeight="1" x14ac:dyDescent="0.25">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row>
    <row r="728" spans="1:26" ht="15.75" customHeight="1" x14ac:dyDescent="0.25">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row>
    <row r="729" spans="1:26" ht="15.75" customHeight="1" x14ac:dyDescent="0.25">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row>
    <row r="730" spans="1:26" ht="15.75" customHeight="1" x14ac:dyDescent="0.25">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row>
    <row r="731" spans="1:26" ht="15.75" customHeight="1" x14ac:dyDescent="0.25">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row>
    <row r="732" spans="1:26" ht="15.75" customHeight="1" x14ac:dyDescent="0.25">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row>
    <row r="733" spans="1:26" ht="15.75" customHeight="1" x14ac:dyDescent="0.25">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row>
    <row r="734" spans="1:26" ht="15.75" customHeight="1" x14ac:dyDescent="0.25">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row>
    <row r="735" spans="1:26" ht="15.75" customHeight="1" x14ac:dyDescent="0.25">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row>
    <row r="736" spans="1:26" ht="15.75" customHeight="1" x14ac:dyDescent="0.25">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row>
    <row r="737" spans="1:26" ht="15.75" customHeight="1" x14ac:dyDescent="0.25">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row>
    <row r="738" spans="1:26" ht="15.75" customHeight="1" x14ac:dyDescent="0.25">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row>
    <row r="739" spans="1:26" ht="15.75" customHeight="1" x14ac:dyDescent="0.25">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row>
    <row r="740" spans="1:26" ht="15.75" customHeight="1" x14ac:dyDescent="0.25">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row>
    <row r="741" spans="1:26" ht="15.75" customHeight="1" x14ac:dyDescent="0.25">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row>
    <row r="742" spans="1:26" ht="15.75" customHeight="1" x14ac:dyDescent="0.25">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row>
    <row r="743" spans="1:26" ht="15.75" customHeight="1" x14ac:dyDescent="0.25">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row>
    <row r="744" spans="1:26" ht="15.75" customHeight="1" x14ac:dyDescent="0.25">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row>
    <row r="745" spans="1:26" ht="15.75" customHeight="1" x14ac:dyDescent="0.25">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row>
    <row r="746" spans="1:26" ht="15.75" customHeight="1" x14ac:dyDescent="0.25">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row>
    <row r="747" spans="1:26" ht="15.75" customHeight="1" x14ac:dyDescent="0.25">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row>
    <row r="748" spans="1:26" ht="15.75" customHeight="1" x14ac:dyDescent="0.25">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row>
    <row r="749" spans="1:26" ht="15.75" customHeight="1" x14ac:dyDescent="0.25">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row>
    <row r="750" spans="1:26" ht="15.75" customHeight="1" x14ac:dyDescent="0.25">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row>
    <row r="751" spans="1:26" ht="15.75" customHeight="1" x14ac:dyDescent="0.25">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row>
    <row r="752" spans="1:26" ht="15.75" customHeight="1" x14ac:dyDescent="0.25">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row>
    <row r="753" spans="1:26" ht="15.75" customHeight="1" x14ac:dyDescent="0.25">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row>
    <row r="754" spans="1:26" ht="15.75" customHeight="1" x14ac:dyDescent="0.25">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row>
    <row r="755" spans="1:26" ht="15.75" customHeight="1" x14ac:dyDescent="0.25">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row>
    <row r="756" spans="1:26" ht="15.75" customHeight="1" x14ac:dyDescent="0.25">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row>
    <row r="757" spans="1:26" ht="15.75" customHeight="1" x14ac:dyDescent="0.25">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row>
    <row r="758" spans="1:26" ht="15.75" customHeight="1" x14ac:dyDescent="0.25">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row>
    <row r="759" spans="1:26" ht="15.75" customHeight="1" x14ac:dyDescent="0.25">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row>
    <row r="760" spans="1:26" ht="15.75" customHeight="1" x14ac:dyDescent="0.25">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row>
    <row r="761" spans="1:26" ht="15.75" customHeight="1" x14ac:dyDescent="0.25">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row>
    <row r="762" spans="1:26" ht="15.75" customHeight="1" x14ac:dyDescent="0.25">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row>
    <row r="763" spans="1:26" ht="15.75" customHeight="1" x14ac:dyDescent="0.25">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row>
    <row r="764" spans="1:26" ht="15.75" customHeight="1" x14ac:dyDescent="0.25">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row>
    <row r="765" spans="1:26" ht="15.75" customHeight="1" x14ac:dyDescent="0.25">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row>
    <row r="766" spans="1:26" ht="15.75" customHeight="1" x14ac:dyDescent="0.25">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row>
    <row r="767" spans="1:26" ht="15.75" customHeight="1" x14ac:dyDescent="0.25">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row>
    <row r="768" spans="1:26" ht="15.75" customHeight="1" x14ac:dyDescent="0.25">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row>
    <row r="769" spans="1:26" ht="15.75" customHeight="1" x14ac:dyDescent="0.25">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row>
    <row r="770" spans="1:26" ht="15.75" customHeight="1" x14ac:dyDescent="0.25">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row>
    <row r="771" spans="1:26" ht="15.75" customHeight="1" x14ac:dyDescent="0.25">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row>
    <row r="772" spans="1:26" ht="15.75" customHeight="1" x14ac:dyDescent="0.25">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row>
    <row r="773" spans="1:26" ht="15.75" customHeight="1" x14ac:dyDescent="0.25">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row>
    <row r="774" spans="1:26" ht="15.75" customHeight="1" x14ac:dyDescent="0.25">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row>
    <row r="775" spans="1:26" ht="15.75" customHeight="1" x14ac:dyDescent="0.25">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row>
    <row r="776" spans="1:26" ht="15.75" customHeight="1" x14ac:dyDescent="0.25">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row>
    <row r="777" spans="1:26" ht="15.75" customHeight="1" x14ac:dyDescent="0.25">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row>
    <row r="778" spans="1:26" ht="15.75" customHeight="1" x14ac:dyDescent="0.25">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row>
    <row r="779" spans="1:26" ht="15.75" customHeight="1" x14ac:dyDescent="0.25">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row>
    <row r="780" spans="1:26" ht="15.75" customHeight="1" x14ac:dyDescent="0.25">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row>
    <row r="781" spans="1:26" ht="15.75" customHeight="1" x14ac:dyDescent="0.25">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row>
    <row r="782" spans="1:26" ht="15.75" customHeight="1" x14ac:dyDescent="0.25">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row>
    <row r="783" spans="1:26" ht="15.75" customHeight="1" x14ac:dyDescent="0.25">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row>
    <row r="784" spans="1:26" ht="15.75" customHeight="1" x14ac:dyDescent="0.25">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row>
    <row r="785" spans="1:26" ht="15.75" customHeight="1" x14ac:dyDescent="0.25">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row>
    <row r="786" spans="1:26" ht="15.75" customHeight="1" x14ac:dyDescent="0.25">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row>
    <row r="787" spans="1:26" ht="15.75" customHeight="1" x14ac:dyDescent="0.25">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row>
    <row r="788" spans="1:26" ht="15.75" customHeight="1" x14ac:dyDescent="0.25">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row>
    <row r="789" spans="1:26" ht="15.75" customHeight="1" x14ac:dyDescent="0.25">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row>
    <row r="790" spans="1:26" ht="15.75" customHeight="1" x14ac:dyDescent="0.25">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row>
    <row r="791" spans="1:26" ht="15.75" customHeight="1" x14ac:dyDescent="0.25">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row>
    <row r="792" spans="1:26" ht="15.75" customHeight="1" x14ac:dyDescent="0.25">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row>
    <row r="793" spans="1:26" ht="15.75" customHeight="1" x14ac:dyDescent="0.25">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row>
    <row r="794" spans="1:26" ht="15.75" customHeight="1" x14ac:dyDescent="0.25">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row>
    <row r="795" spans="1:26" ht="15.75" customHeight="1" x14ac:dyDescent="0.25">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row>
    <row r="796" spans="1:26" ht="15.75" customHeight="1" x14ac:dyDescent="0.25">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row>
    <row r="797" spans="1:26" ht="15.75" customHeight="1" x14ac:dyDescent="0.25">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row>
    <row r="798" spans="1:26" ht="15.75" customHeight="1" x14ac:dyDescent="0.25">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row>
    <row r="799" spans="1:26" ht="15.75" customHeight="1" x14ac:dyDescent="0.25">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row>
    <row r="800" spans="1:26" ht="15.75" customHeight="1" x14ac:dyDescent="0.25">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row>
    <row r="801" spans="1:26" ht="15.75" customHeight="1" x14ac:dyDescent="0.25">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row>
    <row r="802" spans="1:26" ht="15.75" customHeight="1" x14ac:dyDescent="0.25">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row>
    <row r="803" spans="1:26" ht="15.75" customHeight="1" x14ac:dyDescent="0.25">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row>
    <row r="804" spans="1:26" ht="15.75" customHeight="1" x14ac:dyDescent="0.25">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row>
    <row r="805" spans="1:26" ht="15.75" customHeight="1" x14ac:dyDescent="0.25">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row>
    <row r="806" spans="1:26" ht="15.75" customHeight="1" x14ac:dyDescent="0.25">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row>
    <row r="807" spans="1:26" ht="15.75" customHeight="1" x14ac:dyDescent="0.25">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row>
    <row r="808" spans="1:26" ht="15.75" customHeight="1" x14ac:dyDescent="0.25">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row>
    <row r="809" spans="1:26" ht="15.75" customHeight="1" x14ac:dyDescent="0.25">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row>
    <row r="810" spans="1:26" ht="15.75" customHeight="1" x14ac:dyDescent="0.25">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row>
    <row r="811" spans="1:26" ht="15.75" customHeight="1" x14ac:dyDescent="0.25">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row>
    <row r="812" spans="1:26" ht="15.75" customHeight="1" x14ac:dyDescent="0.25">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row>
    <row r="813" spans="1:26" ht="15.75" customHeight="1" x14ac:dyDescent="0.25">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row>
    <row r="814" spans="1:26" ht="15.75" customHeight="1" x14ac:dyDescent="0.25">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row>
    <row r="815" spans="1:26" ht="15.75" customHeight="1" x14ac:dyDescent="0.25">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row>
    <row r="816" spans="1:26" ht="15.75" customHeight="1" x14ac:dyDescent="0.25">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row>
    <row r="817" spans="1:26" ht="15.75" customHeight="1" x14ac:dyDescent="0.25">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row>
    <row r="818" spans="1:26" ht="15.75" customHeight="1" x14ac:dyDescent="0.25">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row>
    <row r="819" spans="1:26" ht="15.75" customHeight="1" x14ac:dyDescent="0.25">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row>
    <row r="820" spans="1:26" ht="15.75" customHeight="1" x14ac:dyDescent="0.25">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row>
    <row r="821" spans="1:26" ht="15.75" customHeight="1" x14ac:dyDescent="0.25">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row>
    <row r="822" spans="1:26" ht="15.75" customHeight="1" x14ac:dyDescent="0.25">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row>
    <row r="823" spans="1:26" ht="15.75" customHeight="1" x14ac:dyDescent="0.25">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row>
    <row r="824" spans="1:26" ht="15.75" customHeight="1" x14ac:dyDescent="0.25">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row>
    <row r="825" spans="1:26" ht="15.75" customHeight="1" x14ac:dyDescent="0.25">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row>
    <row r="826" spans="1:26" ht="15.75" customHeight="1" x14ac:dyDescent="0.25">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row>
    <row r="827" spans="1:26" ht="15.75" customHeight="1" x14ac:dyDescent="0.25">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row>
    <row r="828" spans="1:26" ht="15.75" customHeight="1" x14ac:dyDescent="0.25">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row>
    <row r="829" spans="1:26" ht="15.75" customHeight="1" x14ac:dyDescent="0.25">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row>
    <row r="830" spans="1:26" ht="15.75" customHeight="1" x14ac:dyDescent="0.25">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row>
    <row r="831" spans="1:26" ht="15.75" customHeight="1" x14ac:dyDescent="0.25">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row>
    <row r="832" spans="1:26" ht="15.75" customHeight="1" x14ac:dyDescent="0.25">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row>
    <row r="833" spans="1:26" ht="15.75" customHeight="1" x14ac:dyDescent="0.25">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row>
    <row r="834" spans="1:26" ht="15.75" customHeight="1" x14ac:dyDescent="0.25">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row>
    <row r="835" spans="1:26" ht="15.75" customHeight="1" x14ac:dyDescent="0.25">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row>
    <row r="836" spans="1:26" ht="15.75" customHeight="1" x14ac:dyDescent="0.25">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row>
    <row r="837" spans="1:26" ht="15.75" customHeight="1" x14ac:dyDescent="0.25">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row>
    <row r="838" spans="1:26" ht="15.75" customHeight="1" x14ac:dyDescent="0.25">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row>
    <row r="839" spans="1:26" ht="15.75" customHeight="1" x14ac:dyDescent="0.25">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row>
    <row r="840" spans="1:26" ht="15.75" customHeight="1" x14ac:dyDescent="0.25">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row>
    <row r="841" spans="1:26" ht="15.75" customHeight="1" x14ac:dyDescent="0.25">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row>
    <row r="842" spans="1:26" ht="15.75" customHeight="1" x14ac:dyDescent="0.25">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row>
    <row r="843" spans="1:26" ht="15.75" customHeight="1" x14ac:dyDescent="0.25">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row>
    <row r="844" spans="1:26" ht="15.75" customHeight="1" x14ac:dyDescent="0.25">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row>
    <row r="845" spans="1:26" ht="15.75" customHeight="1" x14ac:dyDescent="0.25">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row>
    <row r="846" spans="1:26" ht="15.75" customHeight="1" x14ac:dyDescent="0.25">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row>
    <row r="847" spans="1:26" ht="15.75" customHeight="1" x14ac:dyDescent="0.25">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row>
    <row r="848" spans="1:26" ht="15.75" customHeight="1" x14ac:dyDescent="0.25">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row>
    <row r="849" spans="1:26" ht="15.75" customHeight="1" x14ac:dyDescent="0.25">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row>
    <row r="850" spans="1:26" ht="15.75" customHeight="1" x14ac:dyDescent="0.25">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row>
    <row r="851" spans="1:26" ht="15.75" customHeight="1" x14ac:dyDescent="0.25">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row>
    <row r="852" spans="1:26" ht="15.75" customHeight="1" x14ac:dyDescent="0.25">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row>
    <row r="853" spans="1:26" ht="15.75" customHeight="1" x14ac:dyDescent="0.25">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row>
    <row r="854" spans="1:26" ht="15.75" customHeight="1" x14ac:dyDescent="0.25">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row>
    <row r="855" spans="1:26" ht="15.75" customHeight="1" x14ac:dyDescent="0.25">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row>
    <row r="856" spans="1:26" ht="15.75" customHeight="1" x14ac:dyDescent="0.25">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row>
    <row r="857" spans="1:26" ht="15.75" customHeight="1" x14ac:dyDescent="0.25">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row>
    <row r="858" spans="1:26" ht="15.75" customHeight="1" x14ac:dyDescent="0.25">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row>
    <row r="859" spans="1:26" ht="15.75" customHeight="1" x14ac:dyDescent="0.25">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row>
    <row r="860" spans="1:26" ht="15.75" customHeight="1" x14ac:dyDescent="0.25">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row>
    <row r="861" spans="1:26" ht="15.75" customHeight="1" x14ac:dyDescent="0.25">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row>
    <row r="862" spans="1:26" ht="15.75" customHeight="1" x14ac:dyDescent="0.25">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row>
    <row r="863" spans="1:26" ht="15.75" customHeight="1" x14ac:dyDescent="0.25">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row>
    <row r="864" spans="1:26" ht="15.75" customHeight="1" x14ac:dyDescent="0.25">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row>
    <row r="865" spans="1:26" ht="15.75" customHeight="1" x14ac:dyDescent="0.25">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row>
    <row r="866" spans="1:26" ht="15.75" customHeight="1" x14ac:dyDescent="0.25">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row>
    <row r="867" spans="1:26" ht="15.75" customHeight="1" x14ac:dyDescent="0.25">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row>
    <row r="868" spans="1:26" ht="15.75" customHeight="1" x14ac:dyDescent="0.25">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row>
    <row r="869" spans="1:26" ht="15.75" customHeight="1" x14ac:dyDescent="0.25">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row>
    <row r="870" spans="1:26" ht="15.75" customHeight="1" x14ac:dyDescent="0.25">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row>
    <row r="871" spans="1:26" ht="15.75" customHeight="1" x14ac:dyDescent="0.25">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row>
    <row r="872" spans="1:26" ht="15.75" customHeight="1" x14ac:dyDescent="0.25">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row>
    <row r="873" spans="1:26" ht="15.75" customHeight="1" x14ac:dyDescent="0.25">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row>
    <row r="874" spans="1:26" ht="15.75" customHeight="1" x14ac:dyDescent="0.25">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row>
    <row r="875" spans="1:26" ht="15.75" customHeight="1" x14ac:dyDescent="0.25">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row>
    <row r="876" spans="1:26" ht="15.75" customHeight="1" x14ac:dyDescent="0.25">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row>
    <row r="877" spans="1:26" ht="15.75" customHeight="1" x14ac:dyDescent="0.25">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row>
    <row r="878" spans="1:26" ht="15.75" customHeight="1" x14ac:dyDescent="0.25">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row>
    <row r="879" spans="1:26" ht="15.75" customHeight="1" x14ac:dyDescent="0.25">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row>
    <row r="880" spans="1:26" ht="15.75" customHeight="1" x14ac:dyDescent="0.25">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row>
    <row r="881" spans="1:26" ht="15.75" customHeight="1" x14ac:dyDescent="0.25">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row>
    <row r="882" spans="1:26" ht="15.75" customHeight="1" x14ac:dyDescent="0.25">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row>
    <row r="883" spans="1:26" ht="15.75" customHeight="1" x14ac:dyDescent="0.25">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row>
    <row r="884" spans="1:26" ht="15.75" customHeight="1" x14ac:dyDescent="0.25">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row>
    <row r="885" spans="1:26" ht="15.75" customHeight="1" x14ac:dyDescent="0.25">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row>
    <row r="886" spans="1:26" ht="15.75" customHeight="1" x14ac:dyDescent="0.25">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row>
    <row r="887" spans="1:26" ht="15.75" customHeight="1" x14ac:dyDescent="0.25">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row>
    <row r="888" spans="1:26" ht="15.75" customHeight="1" x14ac:dyDescent="0.25">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row>
    <row r="889" spans="1:26" ht="15.75" customHeight="1" x14ac:dyDescent="0.25">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row>
    <row r="890" spans="1:26" ht="15.75" customHeight="1" x14ac:dyDescent="0.25">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row>
    <row r="891" spans="1:26" ht="15.75" customHeight="1" x14ac:dyDescent="0.25">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row>
    <row r="892" spans="1:26" ht="15.75" customHeight="1" x14ac:dyDescent="0.25">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row>
    <row r="893" spans="1:26" ht="15.75" customHeight="1" x14ac:dyDescent="0.25">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row>
    <row r="894" spans="1:26" ht="15.75" customHeight="1" x14ac:dyDescent="0.25">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row>
    <row r="895" spans="1:26" ht="15.75" customHeight="1" x14ac:dyDescent="0.25">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row>
    <row r="896" spans="1:26" ht="15.75" customHeight="1" x14ac:dyDescent="0.25">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row>
    <row r="897" spans="1:26" ht="15.75" customHeight="1" x14ac:dyDescent="0.25">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row>
    <row r="898" spans="1:26" ht="15.75" customHeight="1" x14ac:dyDescent="0.25">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row>
    <row r="899" spans="1:26" ht="15.75" customHeight="1" x14ac:dyDescent="0.25">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row>
    <row r="900" spans="1:26" ht="15.75" customHeight="1" x14ac:dyDescent="0.25">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row>
    <row r="901" spans="1:26" ht="15.75" customHeight="1" x14ac:dyDescent="0.25">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row>
    <row r="902" spans="1:26" ht="15.75" customHeight="1" x14ac:dyDescent="0.25">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row>
    <row r="903" spans="1:26" ht="15.75" customHeight="1" x14ac:dyDescent="0.25">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row>
    <row r="904" spans="1:26" ht="15.75" customHeight="1" x14ac:dyDescent="0.25">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row>
    <row r="905" spans="1:26" ht="15.75" customHeight="1" x14ac:dyDescent="0.25">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row>
    <row r="906" spans="1:26" ht="15.75" customHeight="1" x14ac:dyDescent="0.25">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row>
    <row r="907" spans="1:26" ht="15.75" customHeight="1" x14ac:dyDescent="0.25">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row>
    <row r="908" spans="1:26" ht="15.75" customHeight="1" x14ac:dyDescent="0.25">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row>
    <row r="909" spans="1:26" ht="15.75" customHeight="1" x14ac:dyDescent="0.25">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row>
    <row r="910" spans="1:26" ht="15.75" customHeight="1" x14ac:dyDescent="0.25">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row>
    <row r="911" spans="1:26" ht="15.75" customHeight="1" x14ac:dyDescent="0.25">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row>
    <row r="912" spans="1:26" ht="15.75" customHeight="1" x14ac:dyDescent="0.25">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row>
    <row r="913" spans="1:26" ht="15.75" customHeight="1" x14ac:dyDescent="0.25">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row>
    <row r="914" spans="1:26" ht="15.75" customHeight="1" x14ac:dyDescent="0.25">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row>
    <row r="915" spans="1:26" ht="15.75" customHeight="1" x14ac:dyDescent="0.25">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row>
    <row r="916" spans="1:26" ht="15.75" customHeight="1" x14ac:dyDescent="0.25">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row>
    <row r="917" spans="1:26" ht="15.75" customHeight="1" x14ac:dyDescent="0.25">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row>
    <row r="918" spans="1:26" ht="15.75" customHeight="1" x14ac:dyDescent="0.25">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row>
    <row r="919" spans="1:26" ht="15.75" customHeight="1" x14ac:dyDescent="0.25">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row>
    <row r="920" spans="1:26" ht="15.75" customHeight="1" x14ac:dyDescent="0.25">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row>
    <row r="921" spans="1:26" ht="15.75" customHeight="1" x14ac:dyDescent="0.25">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row>
    <row r="922" spans="1:26" ht="15.75" customHeight="1" x14ac:dyDescent="0.25">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row>
    <row r="923" spans="1:26" ht="15.75" customHeight="1" x14ac:dyDescent="0.25">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row>
    <row r="924" spans="1:26" ht="15.75" customHeight="1" x14ac:dyDescent="0.25">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row>
    <row r="925" spans="1:26" ht="15.75" customHeight="1" x14ac:dyDescent="0.25">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row>
    <row r="926" spans="1:26" ht="15.75" customHeight="1" x14ac:dyDescent="0.25">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row>
    <row r="927" spans="1:26" ht="15.75" customHeight="1" x14ac:dyDescent="0.25">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row>
    <row r="928" spans="1:26" ht="15.75" customHeight="1" x14ac:dyDescent="0.25">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row>
    <row r="929" spans="1:26" ht="15.75" customHeight="1" x14ac:dyDescent="0.25">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row>
    <row r="930" spans="1:26" ht="15.75" customHeight="1" x14ac:dyDescent="0.25">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row>
    <row r="931" spans="1:26" ht="15.75" customHeight="1" x14ac:dyDescent="0.25">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row>
    <row r="932" spans="1:26" ht="15.75" customHeight="1" x14ac:dyDescent="0.25">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row>
    <row r="933" spans="1:26" ht="15.75" customHeight="1" x14ac:dyDescent="0.25">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row>
    <row r="934" spans="1:26" ht="15.75" customHeight="1" x14ac:dyDescent="0.25">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row>
    <row r="935" spans="1:26" ht="15.75" customHeight="1" x14ac:dyDescent="0.25">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row>
    <row r="936" spans="1:26" ht="15.75" customHeight="1" x14ac:dyDescent="0.25">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row>
    <row r="937" spans="1:26" ht="15.75" customHeight="1" x14ac:dyDescent="0.25">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row>
    <row r="938" spans="1:26" ht="15.75" customHeight="1" x14ac:dyDescent="0.25">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row>
    <row r="939" spans="1:26" ht="15.75" customHeight="1" x14ac:dyDescent="0.25">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row>
    <row r="940" spans="1:26" ht="15.75" customHeight="1" x14ac:dyDescent="0.25">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row>
    <row r="941" spans="1:26" ht="15.75" customHeight="1" x14ac:dyDescent="0.25">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row>
    <row r="942" spans="1:26" ht="15.75" customHeight="1" x14ac:dyDescent="0.25">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row>
    <row r="943" spans="1:26" ht="15.75" customHeight="1" x14ac:dyDescent="0.25">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row>
    <row r="944" spans="1:26" ht="15.75" customHeight="1" x14ac:dyDescent="0.25">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row>
    <row r="945" spans="1:26" ht="15.75" customHeight="1" x14ac:dyDescent="0.25">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row>
    <row r="946" spans="1:26" ht="15.75" customHeight="1" x14ac:dyDescent="0.25">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row>
    <row r="947" spans="1:26" ht="15.75" customHeight="1" x14ac:dyDescent="0.25">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row>
    <row r="948" spans="1:26" ht="15.75" customHeight="1" x14ac:dyDescent="0.25">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row>
    <row r="949" spans="1:26" ht="15.75" customHeight="1" x14ac:dyDescent="0.25">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row>
    <row r="950" spans="1:26" ht="15.75" customHeight="1" x14ac:dyDescent="0.25">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row>
    <row r="951" spans="1:26" ht="15.75" customHeight="1" x14ac:dyDescent="0.25">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row>
    <row r="952" spans="1:26" ht="15.75" customHeight="1" x14ac:dyDescent="0.25">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row>
    <row r="953" spans="1:26" ht="15.75" customHeight="1" x14ac:dyDescent="0.25">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row>
    <row r="954" spans="1:26" ht="15.75" customHeight="1" x14ac:dyDescent="0.25">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row>
    <row r="955" spans="1:26" ht="15.75" customHeight="1" x14ac:dyDescent="0.25">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row>
    <row r="956" spans="1:26" ht="15.75" customHeight="1" x14ac:dyDescent="0.25">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row>
    <row r="957" spans="1:26" ht="15.75" customHeight="1" x14ac:dyDescent="0.25">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row>
    <row r="958" spans="1:26" ht="15.75" customHeight="1" x14ac:dyDescent="0.25">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row>
    <row r="959" spans="1:26" ht="15.75" customHeight="1" x14ac:dyDescent="0.25">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row>
    <row r="960" spans="1:26" ht="15.75" customHeight="1" x14ac:dyDescent="0.25">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row>
    <row r="961" spans="1:26" ht="15.75" customHeight="1" x14ac:dyDescent="0.25">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row>
    <row r="962" spans="1:26" ht="15.75" customHeight="1" x14ac:dyDescent="0.25">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row>
    <row r="963" spans="1:26" ht="15.75" customHeight="1" x14ac:dyDescent="0.25">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row>
    <row r="964" spans="1:26" ht="15.75" customHeight="1" x14ac:dyDescent="0.25">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row>
    <row r="965" spans="1:26" ht="15.75" customHeight="1" x14ac:dyDescent="0.25">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row>
    <row r="966" spans="1:26" ht="15.75" customHeight="1" x14ac:dyDescent="0.25">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row>
    <row r="967" spans="1:26" ht="15.75" customHeight="1" x14ac:dyDescent="0.25">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row>
    <row r="968" spans="1:26" ht="15.75" customHeight="1" x14ac:dyDescent="0.25">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row>
    <row r="969" spans="1:26" ht="15.75" customHeight="1" x14ac:dyDescent="0.25">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row>
    <row r="970" spans="1:26" ht="15.75" customHeight="1" x14ac:dyDescent="0.25">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row>
    <row r="971" spans="1:26" ht="15.75" customHeight="1" x14ac:dyDescent="0.25">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row>
    <row r="972" spans="1:26" ht="15.75" customHeight="1" x14ac:dyDescent="0.25">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row>
    <row r="973" spans="1:26" ht="15.75" customHeight="1" x14ac:dyDescent="0.25">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row>
    <row r="974" spans="1:26" ht="15.75" customHeight="1" x14ac:dyDescent="0.25">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row>
    <row r="975" spans="1:26" ht="15.75" customHeight="1" x14ac:dyDescent="0.25">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row>
    <row r="976" spans="1:26" ht="15.75" customHeight="1" x14ac:dyDescent="0.25">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row>
    <row r="977" spans="1:26" ht="15.75" customHeight="1" x14ac:dyDescent="0.25">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row>
    <row r="978" spans="1:26" ht="15.75" customHeight="1" x14ac:dyDescent="0.25">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row>
    <row r="979" spans="1:26" ht="15.75" customHeight="1" x14ac:dyDescent="0.25">
      <c r="A979" s="168"/>
      <c r="B979" s="168"/>
      <c r="C979" s="168"/>
      <c r="D979" s="16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row>
    <row r="980" spans="1:26" ht="15.75" customHeight="1" x14ac:dyDescent="0.25">
      <c r="A980" s="168"/>
      <c r="B980" s="168"/>
      <c r="C980" s="168"/>
      <c r="D980" s="16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row>
    <row r="981" spans="1:26" ht="15.75" customHeight="1" x14ac:dyDescent="0.25">
      <c r="A981" s="168"/>
      <c r="B981" s="168"/>
      <c r="C981" s="168"/>
      <c r="D981" s="16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row>
    <row r="982" spans="1:26" ht="15.75" customHeight="1" x14ac:dyDescent="0.25">
      <c r="A982" s="168"/>
      <c r="B982" s="168"/>
      <c r="C982" s="168"/>
      <c r="D982" s="16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row>
    <row r="983" spans="1:26" ht="15.75" customHeight="1" x14ac:dyDescent="0.25">
      <c r="A983" s="168"/>
      <c r="B983" s="168"/>
      <c r="C983" s="168"/>
      <c r="D983" s="16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row>
    <row r="984" spans="1:26" ht="15.75" customHeight="1" x14ac:dyDescent="0.25">
      <c r="A984" s="168"/>
      <c r="B984" s="168"/>
      <c r="C984" s="168"/>
      <c r="D984" s="16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row>
    <row r="985" spans="1:26" ht="15.75" customHeight="1" x14ac:dyDescent="0.25">
      <c r="A985" s="168"/>
      <c r="B985" s="168"/>
      <c r="C985" s="168"/>
      <c r="D985" s="16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row>
    <row r="986" spans="1:26" ht="15.75" customHeight="1" x14ac:dyDescent="0.25">
      <c r="A986" s="168"/>
      <c r="B986" s="168"/>
      <c r="C986" s="168"/>
      <c r="D986" s="16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row>
    <row r="987" spans="1:26" ht="15.75" customHeight="1" x14ac:dyDescent="0.25">
      <c r="A987" s="168"/>
      <c r="B987" s="168"/>
      <c r="C987" s="168"/>
      <c r="D987" s="16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row>
    <row r="988" spans="1:26" ht="15.75" customHeight="1" x14ac:dyDescent="0.25">
      <c r="A988" s="168"/>
      <c r="B988" s="168"/>
      <c r="C988" s="168"/>
      <c r="D988" s="16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row>
    <row r="989" spans="1:26" ht="15.75" customHeight="1" x14ac:dyDescent="0.25">
      <c r="A989" s="168"/>
      <c r="B989" s="168"/>
      <c r="C989" s="168"/>
      <c r="D989" s="16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row>
    <row r="990" spans="1:26" ht="15.75" customHeight="1" x14ac:dyDescent="0.25">
      <c r="A990" s="168"/>
      <c r="B990" s="168"/>
      <c r="C990" s="168"/>
      <c r="D990" s="16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row>
    <row r="991" spans="1:26" ht="15.75" customHeight="1" x14ac:dyDescent="0.25">
      <c r="A991" s="168"/>
      <c r="B991" s="168"/>
      <c r="C991" s="168"/>
      <c r="D991" s="16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row>
    <row r="992" spans="1:26" ht="15.75" customHeight="1" x14ac:dyDescent="0.25">
      <c r="A992" s="168"/>
      <c r="B992" s="168"/>
      <c r="C992" s="168"/>
      <c r="D992" s="16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row>
    <row r="993" spans="1:26" ht="15.75" customHeight="1" x14ac:dyDescent="0.25">
      <c r="A993" s="168"/>
      <c r="B993" s="168"/>
      <c r="C993" s="168"/>
      <c r="D993" s="16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row>
    <row r="994" spans="1:26" ht="15.75" customHeight="1" x14ac:dyDescent="0.25">
      <c r="A994" s="168"/>
      <c r="B994" s="168"/>
      <c r="C994" s="168"/>
      <c r="D994" s="16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row>
    <row r="995" spans="1:26" ht="15.75" customHeight="1" x14ac:dyDescent="0.25">
      <c r="A995" s="168"/>
      <c r="B995" s="168"/>
      <c r="C995" s="168"/>
      <c r="D995" s="16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row>
    <row r="996" spans="1:26" ht="15.75" customHeight="1" x14ac:dyDescent="0.25">
      <c r="A996" s="168"/>
      <c r="B996" s="168"/>
      <c r="C996" s="168"/>
      <c r="D996" s="16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row>
    <row r="997" spans="1:26" ht="15.75" customHeight="1" x14ac:dyDescent="0.25">
      <c r="A997" s="168"/>
      <c r="B997" s="168"/>
      <c r="C997" s="168"/>
      <c r="D997" s="16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row>
    <row r="998" spans="1:26" ht="15.75" customHeight="1" x14ac:dyDescent="0.25">
      <c r="A998" s="168"/>
      <c r="B998" s="168"/>
      <c r="C998" s="168"/>
      <c r="D998" s="16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row>
    <row r="999" spans="1:26" ht="15.75" customHeight="1" x14ac:dyDescent="0.25">
      <c r="A999" s="168"/>
      <c r="B999" s="168"/>
      <c r="C999" s="168"/>
      <c r="D999" s="16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row>
    <row r="1000" spans="1:26" ht="15.75" customHeight="1" x14ac:dyDescent="0.25">
      <c r="A1000" s="168"/>
      <c r="B1000" s="168"/>
      <c r="C1000" s="168"/>
      <c r="D1000" s="16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row>
  </sheetData>
  <hyperlinks>
    <hyperlink ref="M3" r:id="rId1" xr:uid="{0343479C-6486-4824-A20A-2B8D61ACE42E}"/>
    <hyperlink ref="N3" r:id="rId2" xr:uid="{88C5C0F9-BAB6-4B18-9281-ADC5E151ECE5}"/>
    <hyperlink ref="M4" r:id="rId3" xr:uid="{234038D1-4B86-462F-9548-C73B20793EB1}"/>
    <hyperlink ref="N4" r:id="rId4" xr:uid="{A20A4017-9DC5-4901-9D40-FB2A80478CA8}"/>
    <hyperlink ref="O4" r:id="rId5" xr:uid="{3BB495C9-6231-48E0-B3E2-07261E627167}"/>
    <hyperlink ref="M5" r:id="rId6" xr:uid="{E4FBDF67-1D14-40A8-AAD4-5AE822B8170C}"/>
    <hyperlink ref="N5" r:id="rId7" xr:uid="{2B007DDD-842A-4009-92FB-83BBF0416493}"/>
    <hyperlink ref="O5" r:id="rId8" xr:uid="{2B73CA28-FA43-49F5-9D4E-294C1D7034B6}"/>
    <hyperlink ref="M6" r:id="rId9" xr:uid="{05F6A272-C8F3-41D6-AC4E-C3E879EF9022}"/>
    <hyperlink ref="N6" r:id="rId10" xr:uid="{77482DA0-16E6-49EA-BF7A-E3C7ED0D5BE9}"/>
    <hyperlink ref="O6" r:id="rId11" xr:uid="{822A46AD-04F8-4E6D-9987-C70D953F9823}"/>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19"/>
  <sheetViews>
    <sheetView workbookViewId="0">
      <selection activeCell="D5" sqref="D5"/>
    </sheetView>
  </sheetViews>
  <sheetFormatPr defaultColWidth="12.625" defaultRowHeight="14.25" x14ac:dyDescent="0.2"/>
  <cols>
    <col min="1" max="1" width="4" customWidth="1"/>
    <col min="2" max="2" width="28" customWidth="1"/>
    <col min="3" max="3" width="12.5" customWidth="1"/>
    <col min="4" max="4" width="30.5" customWidth="1"/>
    <col min="5" max="5" width="17" customWidth="1"/>
    <col min="6" max="7" width="10.625" customWidth="1"/>
    <col min="8" max="8" width="51.625" customWidth="1"/>
    <col min="9" max="26" width="7.625" customWidth="1"/>
  </cols>
  <sheetData>
    <row r="1" spans="1:8" ht="15" x14ac:dyDescent="0.25">
      <c r="A1" s="619" t="s">
        <v>1236</v>
      </c>
      <c r="B1" s="613"/>
      <c r="C1" s="613"/>
      <c r="D1" s="613"/>
      <c r="E1" s="613"/>
      <c r="F1" s="613"/>
      <c r="G1" s="613"/>
      <c r="H1" s="613"/>
    </row>
    <row r="2" spans="1:8" ht="15" x14ac:dyDescent="0.25">
      <c r="A2" s="724" t="s">
        <v>1237</v>
      </c>
      <c r="B2" s="637"/>
      <c r="C2" s="637"/>
      <c r="D2" s="637"/>
      <c r="E2" s="637"/>
      <c r="F2" s="637"/>
      <c r="G2" s="637"/>
      <c r="H2" s="637"/>
    </row>
    <row r="3" spans="1:8" ht="63.75" x14ac:dyDescent="0.2">
      <c r="A3" s="181" t="s">
        <v>1238</v>
      </c>
      <c r="B3" s="181" t="s">
        <v>1239</v>
      </c>
      <c r="C3" s="181" t="s">
        <v>1240</v>
      </c>
      <c r="D3" s="181" t="s">
        <v>1241</v>
      </c>
      <c r="E3" s="181" t="s">
        <v>1242</v>
      </c>
      <c r="F3" s="181" t="s">
        <v>1243</v>
      </c>
      <c r="G3" s="181" t="s">
        <v>1244</v>
      </c>
      <c r="H3" s="181" t="s">
        <v>1245</v>
      </c>
    </row>
    <row r="4" spans="1:8" ht="51" x14ac:dyDescent="0.25">
      <c r="A4" s="106">
        <v>1</v>
      </c>
      <c r="B4" s="106" t="s">
        <v>1246</v>
      </c>
      <c r="C4" s="182" t="s">
        <v>1247</v>
      </c>
      <c r="D4" s="182" t="s">
        <v>1248</v>
      </c>
      <c r="E4" s="122" t="s">
        <v>1249</v>
      </c>
      <c r="F4" s="183">
        <v>0.44</v>
      </c>
      <c r="G4" s="183">
        <v>0.35</v>
      </c>
      <c r="H4" s="182" t="s">
        <v>1250</v>
      </c>
    </row>
    <row r="5" spans="1:8" ht="51" x14ac:dyDescent="0.25">
      <c r="A5" s="106">
        <v>2</v>
      </c>
      <c r="B5" s="106" t="s">
        <v>1251</v>
      </c>
      <c r="C5" s="182" t="s">
        <v>1252</v>
      </c>
      <c r="D5" s="182" t="s">
        <v>1253</v>
      </c>
      <c r="E5" s="122" t="s">
        <v>1249</v>
      </c>
      <c r="F5" s="183">
        <v>0.11</v>
      </c>
      <c r="G5" s="183">
        <v>0.05</v>
      </c>
      <c r="H5" s="182" t="s">
        <v>1254</v>
      </c>
    </row>
    <row r="6" spans="1:8" ht="51" x14ac:dyDescent="0.25">
      <c r="A6" s="106">
        <v>3</v>
      </c>
      <c r="B6" s="182" t="s">
        <v>1255</v>
      </c>
      <c r="C6" s="182" t="s">
        <v>1256</v>
      </c>
      <c r="D6" s="182" t="s">
        <v>1257</v>
      </c>
      <c r="E6" s="122" t="s">
        <v>1249</v>
      </c>
      <c r="F6" s="183">
        <v>0.99</v>
      </c>
      <c r="G6" s="183">
        <v>0.39</v>
      </c>
      <c r="H6" s="182" t="s">
        <v>1258</v>
      </c>
    </row>
    <row r="7" spans="1:8" ht="45" x14ac:dyDescent="0.25">
      <c r="A7" s="106">
        <v>4</v>
      </c>
      <c r="B7" s="182" t="s">
        <v>1257</v>
      </c>
      <c r="C7" s="182" t="s">
        <v>1257</v>
      </c>
      <c r="D7" s="182" t="s">
        <v>1257</v>
      </c>
      <c r="E7" s="122" t="s">
        <v>1249</v>
      </c>
      <c r="F7" s="183">
        <v>0.91</v>
      </c>
      <c r="G7" s="183">
        <v>0.45</v>
      </c>
      <c r="H7" s="182" t="s">
        <v>1259</v>
      </c>
    </row>
    <row r="8" spans="1:8" ht="25.5" x14ac:dyDescent="0.2">
      <c r="A8" s="106">
        <v>5</v>
      </c>
      <c r="B8" s="182" t="s">
        <v>1257</v>
      </c>
      <c r="C8" s="182" t="s">
        <v>1257</v>
      </c>
      <c r="D8" s="182" t="s">
        <v>1257</v>
      </c>
      <c r="E8" s="183" t="s">
        <v>1257</v>
      </c>
      <c r="F8" s="183">
        <v>1</v>
      </c>
      <c r="G8" s="183">
        <v>0.1</v>
      </c>
      <c r="H8" s="182" t="s">
        <v>1260</v>
      </c>
    </row>
    <row r="9" spans="1:8" x14ac:dyDescent="0.2">
      <c r="A9" s="184"/>
      <c r="B9" s="184"/>
      <c r="C9" s="184"/>
      <c r="D9" s="184"/>
      <c r="E9" s="185"/>
      <c r="F9" s="185"/>
      <c r="G9" s="185"/>
      <c r="H9" s="184"/>
    </row>
    <row r="11" spans="1:8" x14ac:dyDescent="0.2">
      <c r="H11" s="186" t="s">
        <v>1261</v>
      </c>
    </row>
    <row r="12" spans="1:8" x14ac:dyDescent="0.2">
      <c r="H12" s="186" t="s">
        <v>1262</v>
      </c>
    </row>
    <row r="13" spans="1:8" x14ac:dyDescent="0.2">
      <c r="H13" s="186" t="s">
        <v>1263</v>
      </c>
    </row>
    <row r="14" spans="1:8" x14ac:dyDescent="0.2">
      <c r="H14" s="14"/>
    </row>
    <row r="15" spans="1:8" x14ac:dyDescent="0.2">
      <c r="H15" s="14"/>
    </row>
    <row r="16" spans="1:8" x14ac:dyDescent="0.2">
      <c r="H16" s="14" t="s">
        <v>1264</v>
      </c>
    </row>
    <row r="17" spans="1:8" x14ac:dyDescent="0.2">
      <c r="H17" s="14" t="s">
        <v>1265</v>
      </c>
    </row>
    <row r="19" spans="1:8" ht="15" x14ac:dyDescent="0.2">
      <c r="A19" s="464" t="s">
        <v>259</v>
      </c>
      <c r="B19" s="725" t="s">
        <v>1266</v>
      </c>
      <c r="C19" s="615"/>
      <c r="D19" s="615"/>
      <c r="E19" s="615"/>
      <c r="F19" s="615"/>
      <c r="G19" s="615"/>
      <c r="H19" s="616"/>
    </row>
  </sheetData>
  <mergeCells count="3">
    <mergeCell ref="A1:H1"/>
    <mergeCell ref="A2:H2"/>
    <mergeCell ref="B19:H19"/>
  </mergeCells>
  <pageMargins left="0.7" right="0.7" top="0.75" bottom="0.75" header="0" footer="0"/>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topLeftCell="A46" workbookViewId="0">
      <selection activeCell="S54" sqref="S54"/>
    </sheetView>
  </sheetViews>
  <sheetFormatPr defaultColWidth="12.625" defaultRowHeight="15" customHeight="1" x14ac:dyDescent="0.2"/>
  <cols>
    <col min="1" max="1" width="3" customWidth="1"/>
    <col min="2" max="2" width="31.625" customWidth="1"/>
    <col min="3" max="3" width="4.875" customWidth="1"/>
    <col min="4" max="4" width="10.875" customWidth="1"/>
    <col min="5" max="10" width="9.5" customWidth="1"/>
    <col min="11" max="11" width="10.875" customWidth="1"/>
    <col min="12" max="13" width="9.5" customWidth="1"/>
    <col min="14" max="14" width="9.625" customWidth="1"/>
    <col min="15" max="26" width="8" customWidth="1"/>
  </cols>
  <sheetData>
    <row r="1" spans="1:26" x14ac:dyDescent="0.25">
      <c r="A1" s="2"/>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5">
      <c r="A2" s="754" t="s">
        <v>1267</v>
      </c>
      <c r="B2" s="613"/>
      <c r="C2" s="613"/>
      <c r="D2" s="613"/>
      <c r="E2" s="613"/>
      <c r="F2" s="613"/>
      <c r="G2" s="613"/>
      <c r="H2" s="613"/>
      <c r="I2" s="613"/>
      <c r="J2" s="613"/>
      <c r="K2" s="613"/>
      <c r="L2" s="613"/>
      <c r="M2" s="613"/>
      <c r="N2" s="116"/>
      <c r="O2" s="116"/>
      <c r="P2" s="116"/>
      <c r="Q2" s="116"/>
      <c r="R2" s="116"/>
      <c r="S2" s="116"/>
      <c r="T2" s="116"/>
      <c r="U2" s="116"/>
      <c r="V2" s="116"/>
      <c r="W2" s="116"/>
      <c r="X2" s="116"/>
      <c r="Y2" s="116"/>
      <c r="Z2" s="116"/>
    </row>
    <row r="3" spans="1:26" x14ac:dyDescent="0.25">
      <c r="A3" s="754" t="s">
        <v>6</v>
      </c>
      <c r="B3" s="613"/>
      <c r="C3" s="613"/>
      <c r="D3" s="613"/>
      <c r="E3" s="613"/>
      <c r="F3" s="613"/>
      <c r="G3" s="613"/>
      <c r="H3" s="613"/>
      <c r="I3" s="613"/>
      <c r="J3" s="613"/>
      <c r="K3" s="613"/>
      <c r="L3" s="613"/>
      <c r="M3" s="613"/>
      <c r="N3" s="7"/>
      <c r="O3" s="7"/>
      <c r="P3" s="7"/>
      <c r="Q3" s="7"/>
      <c r="R3" s="7"/>
      <c r="S3" s="7"/>
      <c r="T3" s="7"/>
      <c r="U3" s="7"/>
      <c r="V3" s="7"/>
      <c r="W3" s="7"/>
      <c r="X3" s="7"/>
      <c r="Y3" s="7"/>
      <c r="Z3" s="7"/>
    </row>
    <row r="4" spans="1:26" x14ac:dyDescent="0.25">
      <c r="A4" s="754" t="s">
        <v>1268</v>
      </c>
      <c r="B4" s="613"/>
      <c r="C4" s="613"/>
      <c r="D4" s="613"/>
      <c r="E4" s="613"/>
      <c r="F4" s="613"/>
      <c r="G4" s="613"/>
      <c r="H4" s="613"/>
      <c r="I4" s="613"/>
      <c r="J4" s="613"/>
      <c r="K4" s="613"/>
      <c r="L4" s="613"/>
      <c r="M4" s="613"/>
      <c r="N4" s="7"/>
      <c r="O4" s="7"/>
      <c r="P4" s="7"/>
      <c r="Q4" s="7"/>
      <c r="R4" s="7"/>
      <c r="S4" s="7"/>
      <c r="T4" s="7"/>
      <c r="U4" s="7"/>
      <c r="V4" s="7"/>
      <c r="W4" s="7"/>
      <c r="X4" s="7"/>
      <c r="Y4" s="7"/>
      <c r="Z4" s="7"/>
    </row>
    <row r="5" spans="1:26" ht="6" customHeight="1" x14ac:dyDescent="0.25">
      <c r="A5" s="187"/>
      <c r="B5" s="187"/>
      <c r="C5" s="187"/>
      <c r="D5" s="187"/>
      <c r="E5" s="187"/>
      <c r="F5" s="187"/>
      <c r="G5" s="187"/>
      <c r="H5" s="187"/>
      <c r="I5" s="187"/>
      <c r="J5" s="187"/>
      <c r="K5" s="187"/>
      <c r="L5" s="187"/>
      <c r="M5" s="187"/>
      <c r="N5" s="7"/>
      <c r="O5" s="7"/>
      <c r="P5" s="7"/>
      <c r="Q5" s="7"/>
      <c r="R5" s="7"/>
      <c r="S5" s="7"/>
      <c r="T5" s="7"/>
      <c r="U5" s="7"/>
      <c r="V5" s="7"/>
      <c r="W5" s="7"/>
      <c r="X5" s="7"/>
      <c r="Y5" s="7"/>
      <c r="Z5" s="7"/>
    </row>
    <row r="6" spans="1:26" ht="6.75" customHeight="1" x14ac:dyDescent="0.25">
      <c r="A6" s="187"/>
      <c r="B6" s="187"/>
      <c r="C6" s="187"/>
      <c r="D6" s="187"/>
      <c r="E6" s="187"/>
      <c r="F6" s="187"/>
      <c r="G6" s="187"/>
      <c r="H6" s="187"/>
      <c r="I6" s="187"/>
      <c r="J6" s="187"/>
      <c r="K6" s="187"/>
      <c r="L6" s="187"/>
      <c r="M6" s="187"/>
      <c r="N6" s="2"/>
      <c r="O6" s="2"/>
      <c r="P6" s="2"/>
      <c r="Q6" s="2"/>
      <c r="R6" s="2"/>
      <c r="S6" s="2"/>
      <c r="T6" s="2"/>
      <c r="U6" s="2"/>
      <c r="V6" s="2"/>
      <c r="W6" s="2"/>
      <c r="X6" s="2"/>
      <c r="Y6" s="2"/>
      <c r="Z6" s="2"/>
    </row>
    <row r="7" spans="1:26" x14ac:dyDescent="0.25">
      <c r="A7" s="465" t="s">
        <v>1269</v>
      </c>
      <c r="B7" s="755" t="s">
        <v>1270</v>
      </c>
      <c r="C7" s="615"/>
      <c r="D7" s="615"/>
      <c r="E7" s="615"/>
      <c r="F7" s="615"/>
      <c r="G7" s="615"/>
      <c r="H7" s="615"/>
      <c r="I7" s="615"/>
      <c r="J7" s="615"/>
      <c r="K7" s="615"/>
      <c r="L7" s="615"/>
      <c r="M7" s="616"/>
      <c r="N7" s="2"/>
      <c r="O7" s="2"/>
      <c r="P7" s="2"/>
      <c r="Q7" s="2"/>
      <c r="R7" s="2"/>
      <c r="S7" s="2"/>
      <c r="T7" s="2"/>
      <c r="U7" s="2"/>
      <c r="V7" s="2"/>
      <c r="W7" s="2"/>
      <c r="X7" s="2"/>
      <c r="Y7" s="2"/>
      <c r="Z7" s="2"/>
    </row>
    <row r="8" spans="1:26" ht="15" customHeight="1" x14ac:dyDescent="0.25">
      <c r="A8" s="188">
        <v>1</v>
      </c>
      <c r="B8" s="625" t="s">
        <v>19</v>
      </c>
      <c r="C8" s="616"/>
      <c r="D8" s="465" t="str">
        <f>'LAMPIRAN I DONE'!F15</f>
        <v>Dahliar Ananda</v>
      </c>
      <c r="E8" s="466"/>
      <c r="F8" s="466"/>
      <c r="G8" s="466"/>
      <c r="H8" s="466"/>
      <c r="I8" s="466"/>
      <c r="J8" s="466"/>
      <c r="K8" s="466"/>
      <c r="L8" s="466"/>
      <c r="M8" s="467"/>
      <c r="N8" s="2"/>
      <c r="O8" s="2"/>
      <c r="P8" s="2"/>
      <c r="Q8" s="2"/>
      <c r="R8" s="2"/>
      <c r="S8" s="2"/>
      <c r="T8" s="2"/>
      <c r="U8" s="2"/>
      <c r="V8" s="2"/>
      <c r="W8" s="2"/>
      <c r="X8" s="2"/>
      <c r="Y8" s="2"/>
      <c r="Z8" s="2"/>
    </row>
    <row r="9" spans="1:26" ht="15" customHeight="1" x14ac:dyDescent="0.25">
      <c r="A9" s="188">
        <v>2</v>
      </c>
      <c r="B9" s="625" t="s">
        <v>1271</v>
      </c>
      <c r="C9" s="616"/>
      <c r="D9" s="465" t="str">
        <f>'LAMPIRAN I DONE'!F16</f>
        <v>0402058203 / 09820030</v>
      </c>
      <c r="E9" s="466"/>
      <c r="F9" s="466"/>
      <c r="G9" s="466"/>
      <c r="H9" s="466"/>
      <c r="I9" s="466"/>
      <c r="J9" s="466"/>
      <c r="K9" s="466"/>
      <c r="L9" s="466"/>
      <c r="M9" s="467"/>
      <c r="N9" s="2"/>
      <c r="O9" s="2"/>
      <c r="P9" s="2"/>
      <c r="Q9" s="2"/>
      <c r="R9" s="2"/>
      <c r="S9" s="2"/>
      <c r="T9" s="2"/>
      <c r="U9" s="2"/>
      <c r="V9" s="2"/>
      <c r="W9" s="2"/>
      <c r="X9" s="2"/>
      <c r="Y9" s="2"/>
      <c r="Z9" s="2"/>
    </row>
    <row r="10" spans="1:26" ht="15" customHeight="1" x14ac:dyDescent="0.25">
      <c r="A10" s="188">
        <v>3</v>
      </c>
      <c r="B10" s="625" t="s">
        <v>1272</v>
      </c>
      <c r="C10" s="616"/>
      <c r="D10" s="465" t="s">
        <v>26</v>
      </c>
      <c r="E10" s="466"/>
      <c r="F10" s="466"/>
      <c r="G10" s="466"/>
      <c r="H10" s="466"/>
      <c r="I10" s="466"/>
      <c r="J10" s="466"/>
      <c r="K10" s="466"/>
      <c r="L10" s="466"/>
      <c r="M10" s="467"/>
      <c r="N10" s="2"/>
      <c r="O10" s="2"/>
      <c r="P10" s="2"/>
      <c r="Q10" s="2"/>
      <c r="R10" s="2"/>
      <c r="S10" s="2"/>
      <c r="T10" s="2"/>
      <c r="U10" s="2"/>
      <c r="V10" s="2"/>
      <c r="W10" s="2"/>
      <c r="X10" s="2"/>
      <c r="Y10" s="2"/>
      <c r="Z10" s="2"/>
    </row>
    <row r="11" spans="1:26" x14ac:dyDescent="0.25">
      <c r="A11" s="188">
        <v>4</v>
      </c>
      <c r="B11" s="625" t="s">
        <v>28</v>
      </c>
      <c r="C11" s="616"/>
      <c r="D11" s="465" t="str">
        <f>'LAMPIRAN I DONE'!F18</f>
        <v>Banyuwangi, 2 Mei 1982</v>
      </c>
      <c r="E11" s="466"/>
      <c r="F11" s="466"/>
      <c r="G11" s="466"/>
      <c r="H11" s="466"/>
      <c r="I11" s="466"/>
      <c r="J11" s="466"/>
      <c r="K11" s="466"/>
      <c r="L11" s="466"/>
      <c r="M11" s="467"/>
      <c r="N11" s="2"/>
      <c r="O11" s="2"/>
      <c r="P11" s="2"/>
      <c r="Q11" s="2"/>
      <c r="R11" s="2"/>
      <c r="S11" s="2"/>
      <c r="T11" s="2"/>
      <c r="U11" s="2"/>
      <c r="V11" s="2"/>
      <c r="W11" s="2"/>
      <c r="X11" s="2"/>
      <c r="Y11" s="2"/>
      <c r="Z11" s="2"/>
    </row>
    <row r="12" spans="1:26" x14ac:dyDescent="0.25">
      <c r="A12" s="188">
        <v>5</v>
      </c>
      <c r="B12" s="625" t="s">
        <v>31</v>
      </c>
      <c r="C12" s="616"/>
      <c r="D12" s="465" t="str">
        <f>'LAMPIRAN I DONE'!F19</f>
        <v>Laki-laki</v>
      </c>
      <c r="E12" s="466"/>
      <c r="F12" s="466"/>
      <c r="G12" s="466"/>
      <c r="H12" s="466"/>
      <c r="I12" s="466"/>
      <c r="J12" s="466"/>
      <c r="K12" s="466"/>
      <c r="L12" s="466"/>
      <c r="M12" s="467"/>
      <c r="N12" s="2"/>
      <c r="O12" s="2"/>
      <c r="P12" s="2"/>
      <c r="Q12" s="2"/>
      <c r="R12" s="2"/>
      <c r="S12" s="2"/>
      <c r="T12" s="2"/>
      <c r="U12" s="2"/>
      <c r="V12" s="2"/>
      <c r="W12" s="2"/>
      <c r="X12" s="2"/>
      <c r="Y12" s="2"/>
      <c r="Z12" s="2"/>
    </row>
    <row r="13" spans="1:26" x14ac:dyDescent="0.25">
      <c r="A13" s="188">
        <v>6</v>
      </c>
      <c r="B13" s="625" t="s">
        <v>1273</v>
      </c>
      <c r="C13" s="616"/>
      <c r="D13" s="465" t="str">
        <f>'LAMPIRAN I DONE'!F20</f>
        <v>Magister (S2)</v>
      </c>
      <c r="E13" s="466"/>
      <c r="F13" s="466"/>
      <c r="G13" s="466"/>
      <c r="H13" s="466"/>
      <c r="I13" s="466"/>
      <c r="J13" s="466"/>
      <c r="K13" s="466"/>
      <c r="L13" s="466"/>
      <c r="M13" s="467"/>
      <c r="N13" s="2"/>
      <c r="O13" s="2"/>
      <c r="P13" s="2"/>
      <c r="Q13" s="2"/>
      <c r="R13" s="2"/>
      <c r="S13" s="2"/>
      <c r="T13" s="2"/>
      <c r="U13" s="2"/>
      <c r="V13" s="2"/>
      <c r="W13" s="2"/>
      <c r="X13" s="2"/>
      <c r="Y13" s="2"/>
      <c r="Z13" s="2"/>
    </row>
    <row r="14" spans="1:26" x14ac:dyDescent="0.25">
      <c r="A14" s="189">
        <v>7</v>
      </c>
      <c r="B14" s="756" t="s">
        <v>1274</v>
      </c>
      <c r="C14" s="616"/>
      <c r="D14" s="392" t="str">
        <f>'LAMPIRAN II DONE'!C19</f>
        <v>-</v>
      </c>
      <c r="E14" s="468"/>
      <c r="F14" s="468"/>
      <c r="G14" s="468"/>
      <c r="H14" s="468"/>
      <c r="I14" s="468"/>
      <c r="J14" s="468"/>
      <c r="K14" s="468"/>
      <c r="L14" s="468"/>
      <c r="M14" s="469"/>
      <c r="N14" s="2"/>
      <c r="O14" s="2"/>
      <c r="P14" s="2"/>
      <c r="Q14" s="2"/>
      <c r="R14" s="2"/>
      <c r="S14" s="2"/>
      <c r="T14" s="2"/>
      <c r="U14" s="2"/>
      <c r="V14" s="2"/>
      <c r="W14" s="2"/>
      <c r="X14" s="2"/>
      <c r="Y14" s="2"/>
      <c r="Z14" s="2"/>
    </row>
    <row r="15" spans="1:26" ht="18" customHeight="1" x14ac:dyDescent="0.25">
      <c r="A15" s="189">
        <v>8</v>
      </c>
      <c r="B15" s="756" t="s">
        <v>1275</v>
      </c>
      <c r="C15" s="616"/>
      <c r="D15" s="622" t="str">
        <f>'LAMPIRAN I DONE'!F21</f>
        <v>Lektor</v>
      </c>
      <c r="E15" s="615"/>
      <c r="F15" s="615"/>
      <c r="G15" s="757">
        <f>'LAMPIRAN I DONE'!I21</f>
        <v>40848</v>
      </c>
      <c r="H15" s="615"/>
      <c r="I15" s="615"/>
      <c r="J15" s="615"/>
      <c r="K15" s="615"/>
      <c r="L15" s="615"/>
      <c r="M15" s="616"/>
      <c r="N15" s="2"/>
      <c r="O15" s="2"/>
      <c r="P15" s="2"/>
      <c r="Q15" s="2"/>
      <c r="R15" s="2"/>
      <c r="S15" s="2"/>
      <c r="T15" s="2"/>
      <c r="U15" s="2"/>
      <c r="V15" s="2"/>
      <c r="W15" s="2"/>
      <c r="X15" s="2"/>
      <c r="Y15" s="2"/>
      <c r="Z15" s="2"/>
    </row>
    <row r="16" spans="1:26" x14ac:dyDescent="0.25">
      <c r="A16" s="189">
        <v>9</v>
      </c>
      <c r="B16" s="756" t="s">
        <v>38</v>
      </c>
      <c r="C16" s="616"/>
      <c r="D16" s="622" t="str">
        <f>'LAMPIRAN I DONE'!F22</f>
        <v>S1 Rekayasa Perangkat Lunak Kampus Surabaya Fakultas Informatika</v>
      </c>
      <c r="E16" s="615"/>
      <c r="F16" s="615"/>
      <c r="G16" s="615"/>
      <c r="H16" s="615"/>
      <c r="I16" s="615"/>
      <c r="J16" s="615"/>
      <c r="K16" s="615"/>
      <c r="L16" s="615"/>
      <c r="M16" s="616"/>
      <c r="N16" s="2"/>
      <c r="O16" s="2"/>
      <c r="P16" s="2"/>
      <c r="Q16" s="2"/>
      <c r="R16" s="2"/>
      <c r="S16" s="2"/>
      <c r="T16" s="2"/>
      <c r="U16" s="2"/>
      <c r="V16" s="2"/>
      <c r="W16" s="2"/>
      <c r="X16" s="2"/>
      <c r="Y16" s="2"/>
      <c r="Z16" s="2"/>
    </row>
    <row r="17" spans="1:26" x14ac:dyDescent="0.25">
      <c r="A17" s="758">
        <v>10</v>
      </c>
      <c r="B17" s="759" t="s">
        <v>1276</v>
      </c>
      <c r="C17" s="178" t="s">
        <v>1277</v>
      </c>
      <c r="D17" s="621" t="s">
        <v>26</v>
      </c>
      <c r="E17" s="615"/>
      <c r="F17" s="615"/>
      <c r="G17" s="615"/>
      <c r="H17" s="615"/>
      <c r="I17" s="615"/>
      <c r="J17" s="615"/>
      <c r="K17" s="615"/>
      <c r="L17" s="615"/>
      <c r="M17" s="616"/>
      <c r="N17" s="2"/>
      <c r="O17" s="2"/>
      <c r="P17" s="2"/>
      <c r="Q17" s="2"/>
      <c r="R17" s="2"/>
      <c r="S17" s="2"/>
      <c r="T17" s="2"/>
      <c r="U17" s="2"/>
      <c r="V17" s="2"/>
      <c r="W17" s="2"/>
      <c r="X17" s="2"/>
      <c r="Y17" s="2"/>
      <c r="Z17" s="2"/>
    </row>
    <row r="18" spans="1:26" x14ac:dyDescent="0.25">
      <c r="A18" s="631"/>
      <c r="B18" s="636"/>
      <c r="C18" s="178" t="s">
        <v>1278</v>
      </c>
      <c r="D18" s="465">
        <f>'LAMPIRAN I DONE'!F24</f>
        <v>0</v>
      </c>
      <c r="E18" s="466"/>
      <c r="F18" s="466"/>
      <c r="G18" s="466"/>
      <c r="H18" s="466"/>
      <c r="I18" s="466"/>
      <c r="J18" s="466"/>
      <c r="K18" s="466"/>
      <c r="L18" s="466"/>
      <c r="M18" s="467"/>
      <c r="N18" s="2"/>
      <c r="O18" s="2"/>
      <c r="P18" s="2"/>
      <c r="Q18" s="2"/>
      <c r="R18" s="2"/>
      <c r="S18" s="2"/>
      <c r="T18" s="2"/>
      <c r="U18" s="2"/>
      <c r="V18" s="2"/>
      <c r="W18" s="2"/>
      <c r="X18" s="2"/>
      <c r="Y18" s="2"/>
      <c r="Z18" s="2"/>
    </row>
    <row r="19" spans="1:26" x14ac:dyDescent="0.25">
      <c r="A19" s="189">
        <v>11</v>
      </c>
      <c r="B19" s="705" t="s">
        <v>286</v>
      </c>
      <c r="C19" s="616"/>
      <c r="D19" s="465" t="str">
        <f>'LAMPIRAN I DONE'!F25</f>
        <v>S1 Rekayasa Perangkat Lunak Kampus Surabaya Fakultas Informatika di Universitas Telkom pada LLDIKTI Wilayah IV Jawa Barat dan Banten</v>
      </c>
      <c r="E19" s="470"/>
      <c r="F19" s="470"/>
      <c r="G19" s="470"/>
      <c r="H19" s="470"/>
      <c r="I19" s="470"/>
      <c r="J19" s="470"/>
      <c r="K19" s="470"/>
      <c r="L19" s="470"/>
      <c r="M19" s="471"/>
      <c r="N19" s="2"/>
      <c r="O19" s="2"/>
      <c r="P19" s="2"/>
      <c r="Q19" s="2"/>
      <c r="R19" s="2"/>
      <c r="S19" s="2"/>
      <c r="T19" s="2"/>
      <c r="U19" s="2"/>
      <c r="V19" s="2"/>
      <c r="W19" s="2"/>
      <c r="X19" s="2"/>
      <c r="Y19" s="2"/>
      <c r="Z19" s="2"/>
    </row>
    <row r="20" spans="1:26" x14ac:dyDescent="0.25">
      <c r="A20" s="187"/>
      <c r="B20" s="187"/>
      <c r="C20" s="187"/>
      <c r="D20" s="187"/>
      <c r="E20" s="187"/>
      <c r="F20" s="187"/>
      <c r="G20" s="187"/>
      <c r="H20" s="187"/>
      <c r="I20" s="187"/>
      <c r="J20" s="187"/>
      <c r="K20" s="187"/>
      <c r="L20" s="187"/>
      <c r="M20" s="187"/>
      <c r="N20" s="2"/>
      <c r="O20" s="2"/>
      <c r="P20" s="2"/>
      <c r="Q20" s="2"/>
      <c r="R20" s="2"/>
      <c r="S20" s="2"/>
      <c r="T20" s="2"/>
      <c r="U20" s="2"/>
      <c r="V20" s="2"/>
      <c r="W20" s="2"/>
      <c r="X20" s="2"/>
      <c r="Y20" s="2"/>
      <c r="Z20" s="2"/>
    </row>
    <row r="21" spans="1:26" ht="15.75" customHeight="1" x14ac:dyDescent="0.25">
      <c r="A21" s="465" t="s">
        <v>1279</v>
      </c>
      <c r="B21" s="760" t="s">
        <v>1280</v>
      </c>
      <c r="C21" s="747"/>
      <c r="D21" s="747"/>
      <c r="E21" s="747"/>
      <c r="F21" s="747"/>
      <c r="G21" s="747"/>
      <c r="H21" s="747"/>
      <c r="I21" s="747"/>
      <c r="J21" s="747"/>
      <c r="K21" s="747"/>
      <c r="L21" s="747"/>
      <c r="M21" s="747"/>
      <c r="N21" s="748"/>
      <c r="O21" s="2"/>
      <c r="P21" s="2"/>
      <c r="Q21" s="2"/>
      <c r="R21" s="2"/>
      <c r="S21" s="2"/>
      <c r="T21" s="2"/>
      <c r="U21" s="2"/>
      <c r="V21" s="2"/>
      <c r="W21" s="2"/>
      <c r="X21" s="2"/>
      <c r="Y21" s="2"/>
      <c r="Z21" s="2"/>
    </row>
    <row r="22" spans="1:26" ht="15.75" customHeight="1" x14ac:dyDescent="0.25">
      <c r="A22" s="761" t="s">
        <v>1196</v>
      </c>
      <c r="B22" s="741" t="s">
        <v>1281</v>
      </c>
      <c r="C22" s="742"/>
      <c r="D22" s="760" t="s">
        <v>1282</v>
      </c>
      <c r="E22" s="747"/>
      <c r="F22" s="747"/>
      <c r="G22" s="747"/>
      <c r="H22" s="747"/>
      <c r="I22" s="747"/>
      <c r="J22" s="747"/>
      <c r="K22" s="747"/>
      <c r="L22" s="747"/>
      <c r="M22" s="747"/>
      <c r="N22" s="748"/>
      <c r="O22" s="2"/>
      <c r="P22" s="2"/>
      <c r="Q22" s="2"/>
      <c r="R22" s="11"/>
      <c r="S22" s="2"/>
      <c r="T22" s="2"/>
      <c r="U22" s="2"/>
      <c r="V22" s="2"/>
      <c r="W22" s="2"/>
      <c r="X22" s="2"/>
      <c r="Y22" s="2"/>
      <c r="Z22" s="2"/>
    </row>
    <row r="23" spans="1:26" ht="40.5" customHeight="1" x14ac:dyDescent="0.25">
      <c r="A23" s="635"/>
      <c r="B23" s="743"/>
      <c r="C23" s="613"/>
      <c r="D23" s="746" t="s">
        <v>1283</v>
      </c>
      <c r="E23" s="747"/>
      <c r="F23" s="747"/>
      <c r="G23" s="748"/>
      <c r="H23" s="746" t="s">
        <v>1284</v>
      </c>
      <c r="I23" s="748"/>
      <c r="J23" s="746" t="s">
        <v>1285</v>
      </c>
      <c r="K23" s="747"/>
      <c r="L23" s="748"/>
      <c r="M23" s="749" t="s">
        <v>1286</v>
      </c>
      <c r="N23" s="748"/>
      <c r="O23" s="2"/>
      <c r="P23" s="2"/>
      <c r="Q23" s="2"/>
      <c r="R23" s="2"/>
      <c r="S23" s="2"/>
      <c r="T23" s="2"/>
      <c r="U23" s="2"/>
      <c r="V23" s="2"/>
      <c r="W23" s="2"/>
      <c r="X23" s="2"/>
      <c r="Y23" s="2"/>
      <c r="Z23" s="2"/>
    </row>
    <row r="24" spans="1:26" ht="45" x14ac:dyDescent="0.25">
      <c r="A24" s="636"/>
      <c r="B24" s="744"/>
      <c r="C24" s="745"/>
      <c r="D24" s="472" t="s">
        <v>1287</v>
      </c>
      <c r="E24" s="190" t="s">
        <v>1288</v>
      </c>
      <c r="F24" s="472" t="s">
        <v>1289</v>
      </c>
      <c r="G24" s="473" t="s">
        <v>1290</v>
      </c>
      <c r="H24" s="472" t="s">
        <v>1291</v>
      </c>
      <c r="I24" s="473" t="s">
        <v>1292</v>
      </c>
      <c r="J24" s="746" t="s">
        <v>1293</v>
      </c>
      <c r="K24" s="750"/>
      <c r="L24" s="473" t="s">
        <v>1294</v>
      </c>
      <c r="M24" s="191" t="s">
        <v>1295</v>
      </c>
      <c r="N24" s="192" t="s">
        <v>1294</v>
      </c>
      <c r="O24" s="2"/>
      <c r="P24" s="2"/>
      <c r="Q24" s="2"/>
      <c r="R24" s="2"/>
      <c r="S24" s="2"/>
      <c r="T24" s="2"/>
      <c r="U24" s="2"/>
      <c r="V24" s="2"/>
      <c r="W24" s="2"/>
      <c r="X24" s="2"/>
      <c r="Y24" s="2"/>
      <c r="Z24" s="2"/>
    </row>
    <row r="25" spans="1:26" ht="15.75" customHeight="1" x14ac:dyDescent="0.25">
      <c r="A25" s="474" t="s">
        <v>1296</v>
      </c>
      <c r="B25" s="752" t="s">
        <v>1297</v>
      </c>
      <c r="C25" s="637"/>
      <c r="D25" s="193" t="s">
        <v>1298</v>
      </c>
      <c r="E25" s="193" t="s">
        <v>1299</v>
      </c>
      <c r="F25" s="193" t="s">
        <v>1300</v>
      </c>
      <c r="G25" s="194" t="s">
        <v>1301</v>
      </c>
      <c r="H25" s="193" t="s">
        <v>1302</v>
      </c>
      <c r="I25" s="194" t="s">
        <v>1303</v>
      </c>
      <c r="J25" s="475" t="s">
        <v>1303</v>
      </c>
      <c r="K25" s="194" t="s">
        <v>1304</v>
      </c>
      <c r="L25" s="193" t="s">
        <v>1305</v>
      </c>
      <c r="M25" s="194" t="s">
        <v>1306</v>
      </c>
      <c r="N25" s="194" t="s">
        <v>1307</v>
      </c>
      <c r="O25" s="2"/>
      <c r="P25" s="2"/>
      <c r="Q25" s="2"/>
      <c r="R25" s="2"/>
      <c r="S25" s="2"/>
      <c r="T25" s="2"/>
      <c r="U25" s="2"/>
      <c r="V25" s="2"/>
      <c r="W25" s="2"/>
      <c r="X25" s="2"/>
      <c r="Y25" s="2"/>
      <c r="Z25" s="2"/>
    </row>
    <row r="26" spans="1:26" ht="15.75" customHeight="1" x14ac:dyDescent="0.2">
      <c r="A26" s="476"/>
      <c r="B26" s="753"/>
      <c r="C26" s="615"/>
      <c r="D26" s="195"/>
      <c r="E26" s="477"/>
      <c r="F26" s="196"/>
      <c r="G26" s="197"/>
      <c r="H26" s="195"/>
      <c r="I26" s="198"/>
      <c r="J26" s="196"/>
      <c r="K26" s="196"/>
      <c r="L26" s="478"/>
      <c r="M26" s="199"/>
      <c r="N26" s="479"/>
      <c r="O26" s="200"/>
      <c r="P26" s="200"/>
      <c r="Q26" s="200"/>
      <c r="R26" s="200"/>
      <c r="S26" s="200"/>
      <c r="T26" s="200"/>
      <c r="U26" s="200"/>
      <c r="V26" s="200"/>
      <c r="W26" s="200"/>
      <c r="X26" s="200"/>
      <c r="Y26" s="200"/>
      <c r="Z26" s="200"/>
    </row>
    <row r="27" spans="1:26" ht="15.75" customHeight="1" x14ac:dyDescent="0.2">
      <c r="A27" s="480" t="s">
        <v>1308</v>
      </c>
      <c r="B27" s="481" t="s">
        <v>920</v>
      </c>
      <c r="C27" s="201" t="str">
        <f>IF('LAMPIRAN I DONE'!F20="magister (S2)","S2",IF('LAMPIRAN I DONE'!F20="Doktor (S3)","S3",""))</f>
        <v>S2</v>
      </c>
      <c r="D27" s="202"/>
      <c r="E27" s="482"/>
      <c r="F27" s="203"/>
      <c r="G27" s="204"/>
      <c r="H27" s="202"/>
      <c r="I27" s="205"/>
      <c r="J27" s="203"/>
      <c r="K27" s="203"/>
      <c r="L27" s="204"/>
      <c r="M27" s="206"/>
      <c r="N27" s="204"/>
      <c r="O27" s="207"/>
      <c r="P27" s="207"/>
      <c r="Q27" s="207"/>
      <c r="R27" s="207"/>
      <c r="S27" s="207"/>
      <c r="T27" s="207"/>
      <c r="U27" s="207"/>
      <c r="V27" s="207"/>
      <c r="W27" s="207"/>
      <c r="X27" s="207"/>
      <c r="Y27" s="207"/>
      <c r="Z27" s="207"/>
    </row>
    <row r="28" spans="1:26" ht="15.75" customHeight="1" x14ac:dyDescent="0.2">
      <c r="A28" s="483">
        <v>1</v>
      </c>
      <c r="B28" s="484" t="s">
        <v>1309</v>
      </c>
      <c r="C28" s="485"/>
      <c r="D28" s="762"/>
      <c r="E28" s="728"/>
      <c r="F28" s="486"/>
      <c r="G28" s="487"/>
      <c r="H28" s="729">
        <f>45%*(150-D33)</f>
        <v>67.5</v>
      </c>
      <c r="I28" s="731" t="s">
        <v>932</v>
      </c>
      <c r="J28" s="488" t="str">
        <f>IF('LAMPIRAN I DONE'!$F$21="tenaga pengajar",'LAMPIRAN I DONE'!$G$34,"")</f>
        <v/>
      </c>
      <c r="K28" s="733" t="str">
        <f>IFERROR(J28+J29,"")</f>
        <v/>
      </c>
      <c r="L28" s="734" t="str">
        <f>IFERROR(K28/H33,"")</f>
        <v/>
      </c>
      <c r="M28" s="729"/>
      <c r="N28" s="751"/>
      <c r="O28" s="164"/>
      <c r="P28" s="164"/>
      <c r="Q28" s="164"/>
      <c r="R28" s="164"/>
      <c r="S28" s="164"/>
      <c r="T28" s="164"/>
      <c r="U28" s="164"/>
      <c r="V28" s="164"/>
      <c r="W28" s="164"/>
      <c r="X28" s="164"/>
      <c r="Y28" s="164"/>
      <c r="Z28" s="164"/>
    </row>
    <row r="29" spans="1:26" ht="15.75" customHeight="1" x14ac:dyDescent="0.2">
      <c r="A29" s="483">
        <v>2</v>
      </c>
      <c r="B29" s="484" t="s">
        <v>1310</v>
      </c>
      <c r="C29" s="485"/>
      <c r="D29" s="763"/>
      <c r="E29" s="631"/>
      <c r="F29" s="490"/>
      <c r="G29" s="208"/>
      <c r="H29" s="730"/>
      <c r="I29" s="732"/>
      <c r="J29" s="488" t="str">
        <f>IF('LAMPIRAN I DONE'!$F$21="tenaga pengajar",'LAMPIRAN I DONE'!$G$50,"")</f>
        <v/>
      </c>
      <c r="K29" s="631"/>
      <c r="L29" s="732"/>
      <c r="M29" s="730"/>
      <c r="N29" s="732"/>
      <c r="O29" s="164"/>
      <c r="P29" s="164"/>
      <c r="Q29" s="164"/>
      <c r="R29" s="164"/>
      <c r="S29" s="164"/>
      <c r="T29" s="164"/>
      <c r="U29" s="164"/>
      <c r="V29" s="164"/>
      <c r="W29" s="164"/>
      <c r="X29" s="164"/>
      <c r="Y29" s="164"/>
      <c r="Z29" s="164"/>
    </row>
    <row r="30" spans="1:26" ht="15.75" customHeight="1" x14ac:dyDescent="0.2">
      <c r="A30" s="483">
        <v>3</v>
      </c>
      <c r="B30" s="491" t="s">
        <v>1311</v>
      </c>
      <c r="C30" s="421"/>
      <c r="D30" s="209"/>
      <c r="E30" s="210"/>
      <c r="F30" s="211"/>
      <c r="G30" s="205"/>
      <c r="H30" s="212">
        <f>35%*(150-D33)</f>
        <v>52.5</v>
      </c>
      <c r="I30" s="213" t="s">
        <v>933</v>
      </c>
      <c r="J30" s="488" t="str">
        <f>IF('LAMPIRAN I DONE'!$F$21="tenaga pengajar",'LAMPIRAN I DONE'!$G$76,"")</f>
        <v/>
      </c>
      <c r="K30" s="492" t="str">
        <f>J30</f>
        <v/>
      </c>
      <c r="L30" s="489" t="str">
        <f>IFERROR(K30/H33,"")</f>
        <v/>
      </c>
      <c r="M30" s="493"/>
      <c r="N30" s="489"/>
      <c r="O30" s="164"/>
      <c r="P30" s="164"/>
      <c r="Q30" s="164"/>
      <c r="R30" s="164"/>
      <c r="S30" s="164"/>
      <c r="T30" s="164"/>
      <c r="U30" s="164"/>
      <c r="V30" s="164"/>
      <c r="W30" s="164"/>
      <c r="X30" s="164"/>
      <c r="Y30" s="164"/>
      <c r="Z30" s="164"/>
    </row>
    <row r="31" spans="1:26" ht="15.75" customHeight="1" x14ac:dyDescent="0.2">
      <c r="A31" s="483">
        <v>4</v>
      </c>
      <c r="B31" s="491" t="s">
        <v>1312</v>
      </c>
      <c r="C31" s="421"/>
      <c r="D31" s="209"/>
      <c r="E31" s="210"/>
      <c r="F31" s="211"/>
      <c r="G31" s="205"/>
      <c r="H31" s="212">
        <f>10%*(150-D33)</f>
        <v>15</v>
      </c>
      <c r="I31" s="213" t="s">
        <v>923</v>
      </c>
      <c r="J31" s="488" t="str">
        <f>IF('LAMPIRAN I DONE'!$F$21="tenaga pengajar",'LAMPIRAN I DONE'!$G$83,"")</f>
        <v/>
      </c>
      <c r="K31" s="492" t="str">
        <f>IF(J31="","",IF(J31&gt;(10/100*(H33)),(10/100*(H33)),J31))</f>
        <v/>
      </c>
      <c r="L31" s="489" t="str">
        <f>IFERROR(K31/H33,"")</f>
        <v/>
      </c>
      <c r="M31" s="493"/>
      <c r="N31" s="489"/>
      <c r="O31" s="164"/>
      <c r="P31" s="164"/>
      <c r="Q31" s="164"/>
      <c r="R31" s="164"/>
      <c r="S31" s="164"/>
      <c r="T31" s="164"/>
      <c r="U31" s="164"/>
      <c r="V31" s="164"/>
      <c r="W31" s="164"/>
      <c r="X31" s="164"/>
      <c r="Y31" s="164"/>
      <c r="Z31" s="164"/>
    </row>
    <row r="32" spans="1:26" ht="15.75" customHeight="1" x14ac:dyDescent="0.2">
      <c r="A32" s="483">
        <v>5</v>
      </c>
      <c r="B32" s="491" t="s">
        <v>1313</v>
      </c>
      <c r="C32" s="421"/>
      <c r="D32" s="209"/>
      <c r="E32" s="210"/>
      <c r="F32" s="211"/>
      <c r="G32" s="205"/>
      <c r="H32" s="212">
        <f>10%*(150-D33)</f>
        <v>15</v>
      </c>
      <c r="I32" s="213" t="s">
        <v>923</v>
      </c>
      <c r="J32" s="488" t="str">
        <f>IF('LAMPIRAN I DONE'!$F$21="tenaga pengajar",'LAMPIRAN I DONE'!$G$96,"")</f>
        <v/>
      </c>
      <c r="K32" s="214" t="str">
        <f>IF(J31="","",IF(J31&gt;(10/100*(H33)),(10/100*(H33)),J31))</f>
        <v/>
      </c>
      <c r="L32" s="489" t="str">
        <f>IFERROR(K32/H33,"")</f>
        <v/>
      </c>
      <c r="M32" s="493"/>
      <c r="N32" s="489"/>
      <c r="O32" s="164"/>
      <c r="P32" s="164"/>
      <c r="Q32" s="164"/>
      <c r="R32" s="164"/>
      <c r="S32" s="164"/>
      <c r="T32" s="164"/>
      <c r="U32" s="164"/>
      <c r="V32" s="164"/>
      <c r="W32" s="164"/>
      <c r="X32" s="164"/>
      <c r="Y32" s="164"/>
      <c r="Z32" s="164"/>
    </row>
    <row r="33" spans="1:26" ht="15.75" customHeight="1" x14ac:dyDescent="0.2">
      <c r="A33" s="494"/>
      <c r="B33" s="737" t="s">
        <v>1314</v>
      </c>
      <c r="C33" s="615"/>
      <c r="D33" s="495">
        <f>SUM(D28:D32)</f>
        <v>0</v>
      </c>
      <c r="E33" s="215"/>
      <c r="F33" s="215">
        <f t="shared" ref="F33:H33" si="0">SUM(F28:F32)</f>
        <v>0</v>
      </c>
      <c r="G33" s="216">
        <f t="shared" si="0"/>
        <v>0</v>
      </c>
      <c r="H33" s="217">
        <f t="shared" si="0"/>
        <v>150</v>
      </c>
      <c r="I33" s="218"/>
      <c r="J33" s="215">
        <f>SUM(J28:J32)</f>
        <v>0</v>
      </c>
      <c r="K33" s="215"/>
      <c r="L33" s="218"/>
      <c r="M33" s="217"/>
      <c r="N33" s="216"/>
      <c r="O33" s="10"/>
      <c r="P33" s="10"/>
      <c r="Q33" s="10"/>
      <c r="R33" s="10"/>
      <c r="S33" s="10"/>
      <c r="T33" s="10"/>
      <c r="U33" s="10"/>
      <c r="V33" s="10"/>
      <c r="W33" s="10"/>
      <c r="X33" s="10"/>
      <c r="Y33" s="10"/>
      <c r="Z33" s="10"/>
    </row>
    <row r="34" spans="1:26" ht="15.75" customHeight="1" x14ac:dyDescent="0.2">
      <c r="A34" s="483"/>
      <c r="B34" s="491"/>
      <c r="C34" s="421"/>
      <c r="D34" s="496"/>
      <c r="E34" s="214"/>
      <c r="F34" s="214"/>
      <c r="G34" s="219"/>
      <c r="H34" s="212"/>
      <c r="I34" s="220"/>
      <c r="J34" s="214"/>
      <c r="K34" s="214"/>
      <c r="L34" s="220"/>
      <c r="M34" s="212"/>
      <c r="N34" s="219"/>
      <c r="O34" s="164"/>
      <c r="P34" s="164"/>
      <c r="Q34" s="164"/>
      <c r="R34" s="164"/>
      <c r="S34" s="164"/>
      <c r="T34" s="164"/>
      <c r="U34" s="164"/>
      <c r="V34" s="164"/>
      <c r="W34" s="164"/>
      <c r="X34" s="164"/>
      <c r="Y34" s="164"/>
      <c r="Z34" s="164"/>
    </row>
    <row r="35" spans="1:26" ht="15.75" customHeight="1" x14ac:dyDescent="0.2">
      <c r="A35" s="480" t="s">
        <v>1315</v>
      </c>
      <c r="B35" s="481" t="s">
        <v>931</v>
      </c>
      <c r="C35" s="201" t="str">
        <f>IF('LAMPIRAN I DONE'!F20="magister (S2)","S2",IF('LAMPIRAN I DONE'!F20="Doktor (S3)","S3",""))</f>
        <v>S2</v>
      </c>
      <c r="D35" s="201" t="s">
        <v>1316</v>
      </c>
      <c r="E35" s="203"/>
      <c r="F35" s="203"/>
      <c r="G35" s="204"/>
      <c r="H35" s="202"/>
      <c r="I35" s="218"/>
      <c r="J35" s="203"/>
      <c r="K35" s="203"/>
      <c r="L35" s="218"/>
      <c r="M35" s="221"/>
      <c r="N35" s="204"/>
      <c r="O35" s="207"/>
      <c r="P35" s="207"/>
      <c r="Q35" s="207"/>
      <c r="R35" s="207"/>
      <c r="S35" s="207"/>
      <c r="T35" s="207"/>
      <c r="U35" s="207"/>
      <c r="V35" s="207"/>
      <c r="W35" s="207"/>
      <c r="X35" s="207"/>
      <c r="Y35" s="207"/>
      <c r="Z35" s="207"/>
    </row>
    <row r="36" spans="1:26" ht="15.75" customHeight="1" x14ac:dyDescent="0.2">
      <c r="A36" s="483">
        <v>1</v>
      </c>
      <c r="B36" s="484" t="s">
        <v>1309</v>
      </c>
      <c r="C36" s="485"/>
      <c r="D36" s="713"/>
      <c r="E36" s="728"/>
      <c r="F36" s="486"/>
      <c r="G36" s="487"/>
      <c r="H36" s="729">
        <f>45%*(200-D41)</f>
        <v>90</v>
      </c>
      <c r="I36" s="731" t="s">
        <v>932</v>
      </c>
      <c r="J36" s="488" t="str">
        <f>IF('LAMPIRAN I DONE'!$F$21="asisten ahli",'LAMPIRAN I DONE'!$G$34,"")</f>
        <v/>
      </c>
      <c r="K36" s="733" t="str">
        <f>IFERROR(J36+J37,"")</f>
        <v/>
      </c>
      <c r="L36" s="734" t="str">
        <f>IFERROR(K36/H41,"")</f>
        <v/>
      </c>
      <c r="M36" s="729"/>
      <c r="N36" s="751"/>
      <c r="O36" s="164"/>
      <c r="P36" s="164"/>
      <c r="Q36" s="164"/>
      <c r="R36" s="164"/>
      <c r="S36" s="164"/>
      <c r="T36" s="164"/>
      <c r="U36" s="164"/>
      <c r="V36" s="164"/>
      <c r="W36" s="164"/>
      <c r="X36" s="164"/>
      <c r="Y36" s="164"/>
      <c r="Z36" s="164"/>
    </row>
    <row r="37" spans="1:26" ht="15.75" customHeight="1" x14ac:dyDescent="0.2">
      <c r="A37" s="483">
        <v>2</v>
      </c>
      <c r="B37" s="484" t="s">
        <v>1310</v>
      </c>
      <c r="C37" s="485"/>
      <c r="D37" s="631"/>
      <c r="E37" s="631"/>
      <c r="F37" s="490"/>
      <c r="G37" s="208"/>
      <c r="H37" s="730"/>
      <c r="I37" s="732"/>
      <c r="J37" s="488" t="str">
        <f>IF('LAMPIRAN I DONE'!$F$21="asisten ahli",'LAMPIRAN I DONE'!$G$50,"")</f>
        <v/>
      </c>
      <c r="K37" s="631"/>
      <c r="L37" s="732"/>
      <c r="M37" s="730"/>
      <c r="N37" s="732"/>
      <c r="O37" s="164"/>
      <c r="P37" s="164"/>
      <c r="Q37" s="164"/>
      <c r="R37" s="164"/>
      <c r="S37" s="164"/>
      <c r="T37" s="164"/>
      <c r="U37" s="164"/>
      <c r="V37" s="164"/>
      <c r="W37" s="164"/>
      <c r="X37" s="164"/>
      <c r="Y37" s="164"/>
      <c r="Z37" s="164"/>
    </row>
    <row r="38" spans="1:26" ht="15.75" customHeight="1" x14ac:dyDescent="0.25">
      <c r="A38" s="483">
        <v>3</v>
      </c>
      <c r="B38" s="491" t="s">
        <v>1311</v>
      </c>
      <c r="C38" s="421"/>
      <c r="D38" s="455"/>
      <c r="E38" s="497"/>
      <c r="F38" s="211"/>
      <c r="G38" s="205"/>
      <c r="H38" s="212">
        <f>35%*(200-D41)</f>
        <v>70</v>
      </c>
      <c r="I38" s="213" t="s">
        <v>933</v>
      </c>
      <c r="J38" s="488" t="str">
        <f>IF('LAMPIRAN I DONE'!$F$21="asisten ahli",'LAMPIRAN I DONE'!$G$76,"")</f>
        <v/>
      </c>
      <c r="K38" s="492" t="str">
        <f>J38</f>
        <v/>
      </c>
      <c r="L38" s="489" t="str">
        <f>IFERROR(K38/H41,"")</f>
        <v/>
      </c>
      <c r="M38" s="493"/>
      <c r="N38" s="489"/>
      <c r="O38" s="164"/>
      <c r="P38" s="164"/>
      <c r="Q38" s="164"/>
      <c r="R38" s="164"/>
      <c r="S38" s="164"/>
      <c r="T38" s="164"/>
      <c r="U38" s="164"/>
      <c r="V38" s="164"/>
      <c r="W38" s="164"/>
      <c r="X38" s="164"/>
      <c r="Y38" s="164"/>
      <c r="Z38" s="164"/>
    </row>
    <row r="39" spans="1:26" ht="15.75" customHeight="1" x14ac:dyDescent="0.2">
      <c r="A39" s="483">
        <v>4</v>
      </c>
      <c r="B39" s="491" t="s">
        <v>1312</v>
      </c>
      <c r="C39" s="421"/>
      <c r="D39" s="455"/>
      <c r="E39" s="210"/>
      <c r="F39" s="211"/>
      <c r="G39" s="205"/>
      <c r="H39" s="212">
        <f>10%*(200-D41)</f>
        <v>20</v>
      </c>
      <c r="I39" s="213" t="s">
        <v>923</v>
      </c>
      <c r="J39" s="488" t="str">
        <f>IF('LAMPIRAN I DONE'!$F$21="asisten ahli",'LAMPIRAN I DONE'!$G$83,"")</f>
        <v/>
      </c>
      <c r="K39" s="492" t="str">
        <f>IF(J39="","",IF(J39&gt;(10/100*(H41)),(10/100*(H41)),J39))</f>
        <v/>
      </c>
      <c r="L39" s="489" t="str">
        <f>IFERROR(K39/H41,"")</f>
        <v/>
      </c>
      <c r="M39" s="493"/>
      <c r="N39" s="489"/>
      <c r="O39" s="164"/>
      <c r="P39" s="164"/>
      <c r="Q39" s="164"/>
      <c r="R39" s="164"/>
      <c r="S39" s="164"/>
      <c r="T39" s="164"/>
      <c r="U39" s="164"/>
      <c r="V39" s="164"/>
      <c r="W39" s="164"/>
      <c r="X39" s="164"/>
      <c r="Y39" s="164"/>
      <c r="Z39" s="164"/>
    </row>
    <row r="40" spans="1:26" ht="15.75" customHeight="1" x14ac:dyDescent="0.2">
      <c r="A40" s="483">
        <v>5</v>
      </c>
      <c r="B40" s="491" t="s">
        <v>1313</v>
      </c>
      <c r="C40" s="421"/>
      <c r="D40" s="455"/>
      <c r="E40" s="210"/>
      <c r="F40" s="211"/>
      <c r="G40" s="205"/>
      <c r="H40" s="212">
        <f>10%*(200-D41)</f>
        <v>20</v>
      </c>
      <c r="I40" s="213" t="s">
        <v>923</v>
      </c>
      <c r="J40" s="488" t="str">
        <f>IF('LAMPIRAN I DONE'!$F$21="asisten ahli",'LAMPIRAN I DONE'!$G$96,"")</f>
        <v/>
      </c>
      <c r="K40" s="214" t="str">
        <f>IF(J39="","",IF(J39&gt;(10/100*(H41)),(10/100*(H41)),J39))</f>
        <v/>
      </c>
      <c r="L40" s="489" t="str">
        <f>IFERROR(K40/H41,"")</f>
        <v/>
      </c>
      <c r="M40" s="493"/>
      <c r="N40" s="489"/>
      <c r="O40" s="164"/>
      <c r="P40" s="164"/>
      <c r="Q40" s="164"/>
      <c r="R40" s="164"/>
      <c r="S40" s="164"/>
      <c r="T40" s="164"/>
      <c r="U40" s="164"/>
      <c r="V40" s="164"/>
      <c r="W40" s="164"/>
      <c r="X40" s="164"/>
      <c r="Y40" s="164"/>
      <c r="Z40" s="164"/>
    </row>
    <row r="41" spans="1:26" ht="15.75" customHeight="1" x14ac:dyDescent="0.2">
      <c r="A41" s="494"/>
      <c r="B41" s="737" t="s">
        <v>1314</v>
      </c>
      <c r="C41" s="615"/>
      <c r="D41" s="495"/>
      <c r="E41" s="215"/>
      <c r="F41" s="215">
        <f t="shared" ref="F41:H41" si="1">SUM(F36:F40)</f>
        <v>0</v>
      </c>
      <c r="G41" s="216">
        <f t="shared" si="1"/>
        <v>0</v>
      </c>
      <c r="H41" s="217">
        <f t="shared" si="1"/>
        <v>200</v>
      </c>
      <c r="I41" s="218"/>
      <c r="J41" s="215">
        <f t="shared" ref="J41:K41" si="2">SUM(J36:J40)</f>
        <v>0</v>
      </c>
      <c r="K41" s="215">
        <f t="shared" si="2"/>
        <v>0</v>
      </c>
      <c r="L41" s="218"/>
      <c r="M41" s="217"/>
      <c r="N41" s="216"/>
      <c r="O41" s="10"/>
      <c r="P41" s="10"/>
      <c r="Q41" s="10"/>
      <c r="R41" s="10"/>
      <c r="S41" s="10"/>
      <c r="T41" s="10"/>
      <c r="U41" s="10"/>
      <c r="V41" s="10"/>
      <c r="W41" s="10"/>
      <c r="X41" s="10"/>
      <c r="Y41" s="10"/>
      <c r="Z41" s="10"/>
    </row>
    <row r="42" spans="1:26" ht="15.75" customHeight="1" x14ac:dyDescent="0.2">
      <c r="A42" s="483"/>
      <c r="B42" s="491"/>
      <c r="C42" s="421"/>
      <c r="D42" s="496"/>
      <c r="E42" s="214"/>
      <c r="F42" s="214"/>
      <c r="G42" s="219"/>
      <c r="H42" s="212"/>
      <c r="I42" s="220"/>
      <c r="J42" s="214"/>
      <c r="K42" s="214"/>
      <c r="L42" s="220"/>
      <c r="M42" s="212"/>
      <c r="N42" s="219"/>
      <c r="O42" s="164"/>
      <c r="P42" s="164"/>
      <c r="Q42" s="164"/>
      <c r="R42" s="164"/>
      <c r="S42" s="164"/>
      <c r="T42" s="164"/>
      <c r="U42" s="164"/>
      <c r="V42" s="164"/>
      <c r="W42" s="164"/>
      <c r="X42" s="164"/>
      <c r="Y42" s="164"/>
      <c r="Z42" s="164"/>
    </row>
    <row r="43" spans="1:26" ht="15.75" customHeight="1" x14ac:dyDescent="0.2">
      <c r="A43" s="480" t="s">
        <v>1317</v>
      </c>
      <c r="B43" s="481" t="s">
        <v>941</v>
      </c>
      <c r="C43" s="201" t="str">
        <f>IF('LAMPIRAN I DONE'!F20="magister (S2)","S2",IF('LAMPIRAN I DONE'!F20="Doktor (S3)","S3",""))</f>
        <v>S2</v>
      </c>
      <c r="D43" s="201" t="s">
        <v>1316</v>
      </c>
      <c r="E43" s="203"/>
      <c r="F43" s="203"/>
      <c r="G43" s="204"/>
      <c r="H43" s="202"/>
      <c r="I43" s="218"/>
      <c r="J43" s="203"/>
      <c r="K43" s="203"/>
      <c r="L43" s="218"/>
      <c r="M43" s="221"/>
      <c r="N43" s="204"/>
      <c r="O43" s="207"/>
      <c r="P43" s="207"/>
      <c r="Q43" s="207"/>
      <c r="R43" s="207"/>
      <c r="S43" s="207"/>
      <c r="T43" s="207"/>
      <c r="U43" s="207"/>
      <c r="V43" s="207"/>
      <c r="W43" s="207"/>
      <c r="X43" s="207"/>
      <c r="Y43" s="207"/>
      <c r="Z43" s="207"/>
    </row>
    <row r="44" spans="1:26" ht="15.75" customHeight="1" x14ac:dyDescent="0.2">
      <c r="A44" s="483">
        <v>1</v>
      </c>
      <c r="B44" s="484" t="s">
        <v>1309</v>
      </c>
      <c r="C44" s="485"/>
      <c r="D44" s="713"/>
      <c r="E44" s="728"/>
      <c r="F44" s="486"/>
      <c r="G44" s="487"/>
      <c r="H44" s="729">
        <f>45%*(300-D49-'LAMPIRAN II DONE'!$G$30)</f>
        <v>45</v>
      </c>
      <c r="I44" s="731" t="s">
        <v>932</v>
      </c>
      <c r="J44" s="488" t="str">
        <f>IF('LAMPIRAN I DONE'!$F$21="asisten ahli",'LAMPIRAN I DONE'!$G$34,"")</f>
        <v/>
      </c>
      <c r="K44" s="733" t="str">
        <f>IFERROR(J44+J45,"")</f>
        <v/>
      </c>
      <c r="L44" s="734" t="str">
        <f>IFERROR(K44/H49,"")</f>
        <v/>
      </c>
      <c r="M44" s="729"/>
      <c r="N44" s="751"/>
      <c r="O44" s="164"/>
      <c r="P44" s="164"/>
      <c r="Q44" s="164"/>
      <c r="R44" s="164"/>
      <c r="S44" s="164"/>
      <c r="T44" s="164"/>
      <c r="U44" s="164"/>
      <c r="V44" s="164"/>
      <c r="W44" s="164"/>
      <c r="X44" s="164"/>
      <c r="Y44" s="164"/>
      <c r="Z44" s="164"/>
    </row>
    <row r="45" spans="1:26" ht="15.75" customHeight="1" x14ac:dyDescent="0.2">
      <c r="A45" s="483">
        <v>2</v>
      </c>
      <c r="B45" s="484" t="s">
        <v>1310</v>
      </c>
      <c r="C45" s="485"/>
      <c r="D45" s="631"/>
      <c r="E45" s="631"/>
      <c r="F45" s="490"/>
      <c r="G45" s="208"/>
      <c r="H45" s="730"/>
      <c r="I45" s="732"/>
      <c r="J45" s="488" t="str">
        <f>IF('LAMPIRAN I DONE'!$F$21="asisten ahli",'LAMPIRAN I DONE'!$G$50,"")</f>
        <v/>
      </c>
      <c r="K45" s="631"/>
      <c r="L45" s="732"/>
      <c r="M45" s="730"/>
      <c r="N45" s="732"/>
      <c r="O45" s="164"/>
      <c r="P45" s="164"/>
      <c r="Q45" s="164"/>
      <c r="R45" s="164"/>
      <c r="S45" s="164"/>
      <c r="T45" s="164"/>
      <c r="U45" s="164"/>
      <c r="V45" s="164"/>
      <c r="W45" s="164"/>
      <c r="X45" s="164"/>
      <c r="Y45" s="164"/>
      <c r="Z45" s="164"/>
    </row>
    <row r="46" spans="1:26" ht="15.75" customHeight="1" x14ac:dyDescent="0.25">
      <c r="A46" s="483">
        <v>3</v>
      </c>
      <c r="B46" s="491" t="s">
        <v>1311</v>
      </c>
      <c r="C46" s="421"/>
      <c r="D46" s="455"/>
      <c r="E46" s="497"/>
      <c r="F46" s="211"/>
      <c r="G46" s="205"/>
      <c r="H46" s="212">
        <f>35%*(300-D49-'LAMPIRAN II DONE'!$G$30)</f>
        <v>35</v>
      </c>
      <c r="I46" s="213" t="s">
        <v>933</v>
      </c>
      <c r="J46" s="488" t="str">
        <f>IF('LAMPIRAN I DONE'!$F$21="asisten ahli",'LAMPIRAN I DONE'!$G$76,"")</f>
        <v/>
      </c>
      <c r="K46" s="492" t="str">
        <f>J46</f>
        <v/>
      </c>
      <c r="L46" s="489" t="str">
        <f>IFERROR(K46/H49,"")</f>
        <v/>
      </c>
      <c r="M46" s="493"/>
      <c r="N46" s="489"/>
      <c r="O46" s="164"/>
      <c r="P46" s="164"/>
      <c r="Q46" s="164"/>
      <c r="R46" s="164"/>
      <c r="S46" s="164"/>
      <c r="T46" s="164"/>
      <c r="U46" s="164"/>
      <c r="V46" s="164"/>
      <c r="W46" s="164"/>
      <c r="X46" s="164"/>
      <c r="Y46" s="164"/>
      <c r="Z46" s="164"/>
    </row>
    <row r="47" spans="1:26" ht="15.75" customHeight="1" x14ac:dyDescent="0.2">
      <c r="A47" s="483">
        <v>4</v>
      </c>
      <c r="B47" s="491" t="s">
        <v>1312</v>
      </c>
      <c r="C47" s="421"/>
      <c r="D47" s="455"/>
      <c r="E47" s="210"/>
      <c r="F47" s="211"/>
      <c r="G47" s="205"/>
      <c r="H47" s="212">
        <f>10%*(300-D49-'LAMPIRAN II DONE'!$G$30)</f>
        <v>10</v>
      </c>
      <c r="I47" s="213" t="s">
        <v>923</v>
      </c>
      <c r="J47" s="488" t="str">
        <f>IF('LAMPIRAN I DONE'!$F$21="asisten ahli",'LAMPIRAN I DONE'!$G$83,"")</f>
        <v/>
      </c>
      <c r="K47" s="492" t="str">
        <f>IF(J47="","",IF(J47&gt;(10/100*(H49)),(10/100*(H49)),J47))</f>
        <v/>
      </c>
      <c r="L47" s="489" t="str">
        <f>IFERROR(K47/H49,"")</f>
        <v/>
      </c>
      <c r="M47" s="493"/>
      <c r="N47" s="489"/>
      <c r="O47" s="164"/>
      <c r="P47" s="164"/>
      <c r="Q47" s="164"/>
      <c r="R47" s="164"/>
      <c r="S47" s="164"/>
      <c r="T47" s="164"/>
      <c r="U47" s="164"/>
      <c r="V47" s="164"/>
      <c r="W47" s="164"/>
      <c r="X47" s="164"/>
      <c r="Y47" s="164"/>
      <c r="Z47" s="164"/>
    </row>
    <row r="48" spans="1:26" ht="15.75" customHeight="1" x14ac:dyDescent="0.2">
      <c r="A48" s="483">
        <v>5</v>
      </c>
      <c r="B48" s="491" t="s">
        <v>1313</v>
      </c>
      <c r="C48" s="421"/>
      <c r="D48" s="455"/>
      <c r="E48" s="210"/>
      <c r="F48" s="211"/>
      <c r="G48" s="205"/>
      <c r="H48" s="212">
        <f>10%*(300-D49-'LAMPIRAN II DONE'!$G$30)</f>
        <v>10</v>
      </c>
      <c r="I48" s="213" t="s">
        <v>923</v>
      </c>
      <c r="J48" s="488" t="str">
        <f>IF('LAMPIRAN I DONE'!$F$21="asisten ahli",'LAMPIRAN I DONE'!$G$96,"")</f>
        <v/>
      </c>
      <c r="K48" s="214" t="str">
        <f>IF(J47="","",IF(J47&gt;(10/100*(H49)),(10/100*(H49)),J47))</f>
        <v/>
      </c>
      <c r="L48" s="489" t="str">
        <f>IFERROR(K48/H49,"")</f>
        <v/>
      </c>
      <c r="M48" s="493"/>
      <c r="N48" s="489"/>
      <c r="O48" s="164"/>
      <c r="P48" s="164"/>
      <c r="Q48" s="164"/>
      <c r="R48" s="164"/>
      <c r="S48" s="164"/>
      <c r="T48" s="164"/>
      <c r="U48" s="164"/>
      <c r="V48" s="164"/>
      <c r="W48" s="164"/>
      <c r="X48" s="164"/>
      <c r="Y48" s="164"/>
      <c r="Z48" s="164"/>
    </row>
    <row r="49" spans="1:26" ht="15.75" customHeight="1" x14ac:dyDescent="0.2">
      <c r="A49" s="494"/>
      <c r="B49" s="737" t="s">
        <v>1314</v>
      </c>
      <c r="C49" s="615"/>
      <c r="D49" s="495"/>
      <c r="E49" s="215"/>
      <c r="F49" s="215">
        <f t="shared" ref="F49:H49" si="3">SUM(F44:F48)</f>
        <v>0</v>
      </c>
      <c r="G49" s="216">
        <f t="shared" si="3"/>
        <v>0</v>
      </c>
      <c r="H49" s="217">
        <f t="shared" si="3"/>
        <v>100</v>
      </c>
      <c r="I49" s="218"/>
      <c r="J49" s="215">
        <f t="shared" ref="J49:K49" si="4">SUM(J44:J48)</f>
        <v>0</v>
      </c>
      <c r="K49" s="215">
        <f t="shared" si="4"/>
        <v>0</v>
      </c>
      <c r="L49" s="218"/>
      <c r="M49" s="217"/>
      <c r="N49" s="216"/>
      <c r="O49" s="10"/>
      <c r="P49" s="10"/>
      <c r="Q49" s="10"/>
      <c r="R49" s="10"/>
      <c r="S49" s="10"/>
      <c r="T49" s="10"/>
      <c r="U49" s="10"/>
      <c r="V49" s="10"/>
      <c r="W49" s="10"/>
      <c r="X49" s="10"/>
      <c r="Y49" s="10"/>
      <c r="Z49" s="10"/>
    </row>
    <row r="50" spans="1:26" ht="15.75" customHeight="1" x14ac:dyDescent="0.2">
      <c r="A50" s="483"/>
      <c r="B50" s="491"/>
      <c r="C50" s="421"/>
      <c r="D50" s="496"/>
      <c r="E50" s="214"/>
      <c r="F50" s="214"/>
      <c r="G50" s="219"/>
      <c r="H50" s="212"/>
      <c r="I50" s="220"/>
      <c r="J50" s="214"/>
      <c r="K50" s="214"/>
      <c r="L50" s="220"/>
      <c r="M50" s="212"/>
      <c r="N50" s="219"/>
      <c r="O50" s="164"/>
      <c r="P50" s="164"/>
      <c r="Q50" s="164"/>
      <c r="R50" s="164"/>
      <c r="S50" s="164"/>
      <c r="T50" s="164"/>
      <c r="U50" s="164"/>
      <c r="V50" s="164"/>
      <c r="W50" s="164"/>
      <c r="X50" s="164"/>
      <c r="Y50" s="164"/>
      <c r="Z50" s="164"/>
    </row>
    <row r="51" spans="1:26" ht="15.75" customHeight="1" x14ac:dyDescent="0.2">
      <c r="A51" s="480" t="s">
        <v>1318</v>
      </c>
      <c r="B51" s="481" t="s">
        <v>1319</v>
      </c>
      <c r="C51" s="201" t="str">
        <f>IF('LAMPIRAN I DONE'!F20="magister (S2)","S2",IF('LAMPIRAN I DONE'!F20="Doktor (S3)","S3",""))</f>
        <v>S2</v>
      </c>
      <c r="D51" s="498"/>
      <c r="E51" s="211"/>
      <c r="F51" s="203"/>
      <c r="G51" s="204"/>
      <c r="H51" s="202"/>
      <c r="I51" s="218"/>
      <c r="J51" s="203"/>
      <c r="K51" s="203"/>
      <c r="L51" s="218"/>
      <c r="M51" s="221"/>
      <c r="N51" s="204"/>
      <c r="O51" s="207"/>
      <c r="P51" s="207"/>
      <c r="Q51" s="207"/>
      <c r="R51" s="207"/>
      <c r="S51" s="207"/>
      <c r="T51" s="207"/>
      <c r="U51" s="207"/>
      <c r="V51" s="207"/>
      <c r="W51" s="207"/>
      <c r="X51" s="207"/>
      <c r="Y51" s="207"/>
      <c r="Z51" s="207"/>
    </row>
    <row r="52" spans="1:26" ht="15.75" customHeight="1" x14ac:dyDescent="0.2">
      <c r="A52" s="483">
        <v>1</v>
      </c>
      <c r="B52" s="484" t="s">
        <v>1309</v>
      </c>
      <c r="C52" s="485"/>
      <c r="D52" s="713"/>
      <c r="E52" s="728"/>
      <c r="F52" s="486"/>
      <c r="G52" s="487"/>
      <c r="H52" s="729">
        <f>40%*(400-D57-'LAMPIRAN II DONE'!$G$30)</f>
        <v>80</v>
      </c>
      <c r="I52" s="731" t="s">
        <v>950</v>
      </c>
      <c r="J52" s="488">
        <f>'LAMPIRAN II DONE'!G35</f>
        <v>200</v>
      </c>
      <c r="K52" s="733">
        <f>IFERROR(J52+J53,"")</f>
        <v>619</v>
      </c>
      <c r="L52" s="734">
        <f>IFERROR(K52/H57,"")</f>
        <v>3.0950000000000002</v>
      </c>
      <c r="M52" s="735">
        <f>K52</f>
        <v>619</v>
      </c>
      <c r="N52" s="736">
        <f>IFERROR(M52/H57,"")</f>
        <v>3.0950000000000002</v>
      </c>
      <c r="O52" s="164"/>
      <c r="P52" s="164"/>
      <c r="Q52" s="164"/>
      <c r="R52" s="164"/>
      <c r="S52" s="164"/>
      <c r="T52" s="164"/>
      <c r="U52" s="164"/>
      <c r="V52" s="164"/>
      <c r="W52" s="164"/>
      <c r="X52" s="164"/>
      <c r="Y52" s="164"/>
      <c r="Z52" s="164"/>
    </row>
    <row r="53" spans="1:26" ht="15.75" customHeight="1" x14ac:dyDescent="0.2">
      <c r="A53" s="483">
        <v>2</v>
      </c>
      <c r="B53" s="484" t="s">
        <v>1310</v>
      </c>
      <c r="C53" s="485"/>
      <c r="D53" s="631"/>
      <c r="E53" s="631"/>
      <c r="F53" s="490"/>
      <c r="G53" s="208"/>
      <c r="H53" s="730"/>
      <c r="I53" s="732"/>
      <c r="J53" s="488">
        <f>'LAMPIRAN II DONE'!G1224</f>
        <v>419</v>
      </c>
      <c r="K53" s="631"/>
      <c r="L53" s="732"/>
      <c r="M53" s="730"/>
      <c r="N53" s="732"/>
      <c r="O53" s="164"/>
      <c r="P53" s="164"/>
      <c r="Q53" s="164"/>
      <c r="R53" s="164"/>
      <c r="S53" s="164"/>
      <c r="T53" s="164"/>
      <c r="U53" s="164"/>
      <c r="V53" s="164"/>
      <c r="W53" s="164"/>
      <c r="X53" s="164"/>
      <c r="Y53" s="164"/>
      <c r="Z53" s="164"/>
    </row>
    <row r="54" spans="1:26" ht="15.75" customHeight="1" x14ac:dyDescent="0.25">
      <c r="A54" s="483">
        <v>3</v>
      </c>
      <c r="B54" s="491" t="s">
        <v>1311</v>
      </c>
      <c r="C54" s="421"/>
      <c r="D54" s="455"/>
      <c r="E54" s="497"/>
      <c r="F54" s="211"/>
      <c r="G54" s="205"/>
      <c r="H54" s="212">
        <f>40%*(400-D57-'LAMPIRAN II DONE'!$G$30)</f>
        <v>80</v>
      </c>
      <c r="I54" s="213" t="s">
        <v>950</v>
      </c>
      <c r="J54" s="488">
        <f>'LAMPIRAN III DONE'!H209</f>
        <v>57.5</v>
      </c>
      <c r="K54" s="492">
        <f>J54</f>
        <v>57.5</v>
      </c>
      <c r="L54" s="489">
        <f>IFERROR(K54/H57,"")</f>
        <v>0.28749999999999998</v>
      </c>
      <c r="M54" s="222">
        <f>'Reviewer Eksternal (LK&amp;GB)1'!$K$139</f>
        <v>0</v>
      </c>
      <c r="N54" s="223">
        <f>IFERROR(M54/H57,"")</f>
        <v>0</v>
      </c>
      <c r="O54" s="164"/>
      <c r="P54" s="164"/>
      <c r="Q54" s="164"/>
      <c r="R54" s="164"/>
      <c r="S54" s="164"/>
      <c r="T54" s="164"/>
      <c r="U54" s="164"/>
      <c r="V54" s="164"/>
      <c r="W54" s="164"/>
      <c r="X54" s="164"/>
      <c r="Y54" s="164"/>
      <c r="Z54" s="164"/>
    </row>
    <row r="55" spans="1:26" ht="15.75" customHeight="1" x14ac:dyDescent="0.2">
      <c r="A55" s="483">
        <v>4</v>
      </c>
      <c r="B55" s="491" t="s">
        <v>1312</v>
      </c>
      <c r="C55" s="421"/>
      <c r="D55" s="455"/>
      <c r="E55" s="210"/>
      <c r="F55" s="211"/>
      <c r="G55" s="205"/>
      <c r="H55" s="212">
        <f>10%*(400-D57-'LAMPIRAN II DONE'!$G$30)</f>
        <v>20</v>
      </c>
      <c r="I55" s="213" t="s">
        <v>923</v>
      </c>
      <c r="J55" s="488">
        <f>'LAMPIRAN IV DONE'!G85</f>
        <v>28</v>
      </c>
      <c r="K55" s="492">
        <f>IF(J55="","",IF(J55&gt;(10/100*(H57)),(10/100*(H57)),J55))</f>
        <v>20</v>
      </c>
      <c r="L55" s="489">
        <f>IFERROR(K55/H57,"")</f>
        <v>0.1</v>
      </c>
      <c r="M55" s="222">
        <f t="shared" ref="M55:M56" si="5">K55</f>
        <v>20</v>
      </c>
      <c r="N55" s="223">
        <f>IFERROR(M55/H57,"")</f>
        <v>0.1</v>
      </c>
      <c r="O55" s="164"/>
      <c r="P55" s="164"/>
      <c r="Q55" s="164"/>
      <c r="R55" s="164"/>
      <c r="S55" s="164"/>
      <c r="T55" s="164"/>
      <c r="U55" s="164"/>
      <c r="V55" s="164"/>
      <c r="W55" s="164"/>
      <c r="X55" s="164"/>
      <c r="Y55" s="164"/>
      <c r="Z55" s="164"/>
    </row>
    <row r="56" spans="1:26" ht="15.75" customHeight="1" x14ac:dyDescent="0.2">
      <c r="A56" s="483">
        <v>5</v>
      </c>
      <c r="B56" s="491" t="s">
        <v>1313</v>
      </c>
      <c r="C56" s="421"/>
      <c r="D56" s="455"/>
      <c r="E56" s="210"/>
      <c r="F56" s="211"/>
      <c r="G56" s="205"/>
      <c r="H56" s="212">
        <f>10%*(400-D57-'LAMPIRAN II DONE'!$G$30)</f>
        <v>20</v>
      </c>
      <c r="I56" s="213" t="s">
        <v>923</v>
      </c>
      <c r="J56" s="488">
        <f>'LAMPIRAN V DONE'!G157</f>
        <v>5</v>
      </c>
      <c r="K56" s="214">
        <f>IF(J56="","",IF(J56&gt;(10/100*(H57)),(10/100*(H57)),J56))</f>
        <v>5</v>
      </c>
      <c r="L56" s="489">
        <f>IFERROR(K56/H57,"")</f>
        <v>2.5000000000000001E-2</v>
      </c>
      <c r="M56" s="222">
        <f t="shared" si="5"/>
        <v>5</v>
      </c>
      <c r="N56" s="223">
        <f>IFERROR(M56/H57,"")</f>
        <v>2.5000000000000001E-2</v>
      </c>
      <c r="O56" s="164"/>
      <c r="P56" s="164"/>
      <c r="Q56" s="164"/>
      <c r="R56" s="164"/>
      <c r="S56" s="164"/>
      <c r="T56" s="164"/>
      <c r="U56" s="164"/>
      <c r="V56" s="164"/>
      <c r="W56" s="164"/>
      <c r="X56" s="164"/>
      <c r="Y56" s="164"/>
      <c r="Z56" s="164"/>
    </row>
    <row r="57" spans="1:26" ht="15.75" customHeight="1" x14ac:dyDescent="0.2">
      <c r="A57" s="494"/>
      <c r="B57" s="737" t="s">
        <v>1314</v>
      </c>
      <c r="C57" s="615"/>
      <c r="D57" s="495">
        <f>SUM(D52:D56)</f>
        <v>0</v>
      </c>
      <c r="E57" s="215"/>
      <c r="F57" s="215">
        <f t="shared" ref="F57:H57" si="6">SUM(F52:F56)</f>
        <v>0</v>
      </c>
      <c r="G57" s="216">
        <f t="shared" si="6"/>
        <v>0</v>
      </c>
      <c r="H57" s="217">
        <f t="shared" si="6"/>
        <v>200</v>
      </c>
      <c r="I57" s="218"/>
      <c r="J57" s="215">
        <f>SUM(J52:J56)</f>
        <v>709.5</v>
      </c>
      <c r="K57" s="215"/>
      <c r="L57" s="218"/>
      <c r="M57" s="224">
        <f>SUM(M52:M56)</f>
        <v>644</v>
      </c>
      <c r="N57" s="225"/>
      <c r="O57" s="10"/>
      <c r="P57" s="10"/>
      <c r="Q57" s="10"/>
      <c r="R57" s="10"/>
      <c r="S57" s="10"/>
      <c r="T57" s="10"/>
      <c r="U57" s="10"/>
      <c r="V57" s="10"/>
      <c r="W57" s="10"/>
      <c r="X57" s="10"/>
      <c r="Y57" s="10"/>
      <c r="Z57" s="10"/>
    </row>
    <row r="58" spans="1:26" ht="15.75" customHeight="1" x14ac:dyDescent="0.2">
      <c r="A58" s="483"/>
      <c r="B58" s="491"/>
      <c r="C58" s="421"/>
      <c r="D58" s="496"/>
      <c r="E58" s="214"/>
      <c r="F58" s="214"/>
      <c r="G58" s="219"/>
      <c r="H58" s="212"/>
      <c r="I58" s="220"/>
      <c r="J58" s="738" t="s">
        <v>1320</v>
      </c>
      <c r="K58" s="615"/>
      <c r="L58" s="739"/>
      <c r="M58" s="740">
        <f>M57+D57</f>
        <v>644</v>
      </c>
      <c r="N58" s="739"/>
      <c r="O58" s="164"/>
      <c r="P58" s="164"/>
      <c r="Q58" s="164"/>
      <c r="R58" s="164"/>
      <c r="S58" s="164"/>
      <c r="T58" s="164"/>
      <c r="U58" s="164"/>
      <c r="V58" s="164"/>
      <c r="W58" s="164"/>
      <c r="X58" s="164"/>
      <c r="Y58" s="164"/>
      <c r="Z58" s="164"/>
    </row>
    <row r="59" spans="1:26" ht="15.75" customHeight="1" x14ac:dyDescent="0.2">
      <c r="A59" s="480" t="s">
        <v>1321</v>
      </c>
      <c r="B59" s="481" t="s">
        <v>1322</v>
      </c>
      <c r="C59" s="201" t="str">
        <f>IF('LAMPIRAN I DONE'!F20="magister (S2)","S2",IF('LAMPIRAN I DONE'!F20="Doktor (S3)","S3",""))</f>
        <v>S2</v>
      </c>
      <c r="D59" s="499"/>
      <c r="E59" s="203"/>
      <c r="F59" s="203"/>
      <c r="G59" s="204"/>
      <c r="H59" s="202"/>
      <c r="I59" s="218"/>
      <c r="J59" s="203"/>
      <c r="K59" s="203"/>
      <c r="L59" s="218"/>
      <c r="M59" s="221"/>
      <c r="N59" s="204"/>
      <c r="O59" s="207"/>
      <c r="P59" s="207"/>
      <c r="Q59" s="207"/>
      <c r="R59" s="207"/>
      <c r="S59" s="207"/>
      <c r="T59" s="207"/>
      <c r="U59" s="207"/>
      <c r="V59" s="207"/>
      <c r="W59" s="207"/>
      <c r="X59" s="207"/>
      <c r="Y59" s="207"/>
      <c r="Z59" s="207"/>
    </row>
    <row r="60" spans="1:26" ht="15.75" customHeight="1" x14ac:dyDescent="0.2">
      <c r="A60" s="483">
        <v>1</v>
      </c>
      <c r="B60" s="484" t="s">
        <v>1309</v>
      </c>
      <c r="C60" s="485"/>
      <c r="D60" s="713"/>
      <c r="E60" s="728"/>
      <c r="F60" s="486"/>
      <c r="G60" s="487"/>
      <c r="H60" s="729">
        <f>40%*(550-D65-'LAMPIRAN II DONE'!$G$30)</f>
        <v>140</v>
      </c>
      <c r="I60" s="731" t="s">
        <v>950</v>
      </c>
      <c r="J60" s="488">
        <f t="shared" ref="J60:J64" si="7">J52</f>
        <v>200</v>
      </c>
      <c r="K60" s="733">
        <f>IFERROR(J60+J61,"")</f>
        <v>619</v>
      </c>
      <c r="L60" s="734">
        <f>IFERROR(K60/H65,"")</f>
        <v>1.7685714285714285</v>
      </c>
      <c r="M60" s="735">
        <f>K60</f>
        <v>619</v>
      </c>
      <c r="N60" s="736">
        <f>IFERROR(M60/H65,"")</f>
        <v>1.7685714285714285</v>
      </c>
      <c r="O60" s="164"/>
      <c r="P60" s="164"/>
      <c r="Q60" s="164"/>
      <c r="R60" s="164"/>
      <c r="S60" s="164"/>
      <c r="T60" s="164"/>
      <c r="U60" s="164"/>
      <c r="V60" s="164"/>
      <c r="W60" s="164"/>
      <c r="X60" s="164"/>
      <c r="Y60" s="164"/>
      <c r="Z60" s="164"/>
    </row>
    <row r="61" spans="1:26" ht="15.75" customHeight="1" x14ac:dyDescent="0.2">
      <c r="A61" s="483">
        <v>2</v>
      </c>
      <c r="B61" s="484" t="s">
        <v>1310</v>
      </c>
      <c r="C61" s="485"/>
      <c r="D61" s="631"/>
      <c r="E61" s="631"/>
      <c r="F61" s="490"/>
      <c r="G61" s="208"/>
      <c r="H61" s="730"/>
      <c r="I61" s="732"/>
      <c r="J61" s="488">
        <f t="shared" si="7"/>
        <v>419</v>
      </c>
      <c r="K61" s="631"/>
      <c r="L61" s="732"/>
      <c r="M61" s="730"/>
      <c r="N61" s="732"/>
      <c r="O61" s="164"/>
      <c r="P61" s="164"/>
      <c r="Q61" s="164"/>
      <c r="R61" s="164"/>
      <c r="S61" s="164"/>
      <c r="T61" s="164"/>
      <c r="U61" s="164"/>
      <c r="V61" s="164"/>
      <c r="W61" s="164"/>
      <c r="X61" s="164"/>
      <c r="Y61" s="164"/>
      <c r="Z61" s="164"/>
    </row>
    <row r="62" spans="1:26" ht="15.75" customHeight="1" x14ac:dyDescent="0.25">
      <c r="A62" s="483">
        <v>3</v>
      </c>
      <c r="B62" s="491" t="s">
        <v>1311</v>
      </c>
      <c r="C62" s="421"/>
      <c r="D62" s="455"/>
      <c r="E62" s="497"/>
      <c r="F62" s="211"/>
      <c r="G62" s="205"/>
      <c r="H62" s="212">
        <f>40%*(550-D65-'LAMPIRAN II DONE'!$G$30)</f>
        <v>140</v>
      </c>
      <c r="I62" s="213" t="s">
        <v>950</v>
      </c>
      <c r="J62" s="488">
        <f t="shared" si="7"/>
        <v>57.5</v>
      </c>
      <c r="K62" s="492">
        <f>J62</f>
        <v>57.5</v>
      </c>
      <c r="L62" s="489">
        <f>IFERROR(K62/H65,"")</f>
        <v>0.16428571428571428</v>
      </c>
      <c r="M62" s="222">
        <f>'Reviewer Eksternal (LK&amp;GB)1'!$K$139</f>
        <v>0</v>
      </c>
      <c r="N62" s="223">
        <f>IFERROR(M62/H65,"")</f>
        <v>0</v>
      </c>
      <c r="O62" s="164"/>
      <c r="P62" s="164"/>
      <c r="Q62" s="164"/>
      <c r="R62" s="164"/>
      <c r="S62" s="164"/>
      <c r="T62" s="164"/>
      <c r="U62" s="164"/>
      <c r="V62" s="164"/>
      <c r="W62" s="164"/>
      <c r="X62" s="164"/>
      <c r="Y62" s="164"/>
      <c r="Z62" s="164"/>
    </row>
    <row r="63" spans="1:26" ht="15.75" customHeight="1" x14ac:dyDescent="0.2">
      <c r="A63" s="483">
        <v>4</v>
      </c>
      <c r="B63" s="491" t="s">
        <v>1312</v>
      </c>
      <c r="C63" s="421"/>
      <c r="D63" s="455"/>
      <c r="E63" s="210"/>
      <c r="F63" s="211"/>
      <c r="G63" s="205"/>
      <c r="H63" s="212">
        <f>10%*(550-D65-'LAMPIRAN II DONE'!$G$30)</f>
        <v>35</v>
      </c>
      <c r="I63" s="213" t="s">
        <v>923</v>
      </c>
      <c r="J63" s="488">
        <f t="shared" si="7"/>
        <v>28</v>
      </c>
      <c r="K63" s="492">
        <f>IF(J63="","",IF(J63&gt;(10/100*(H65)),(10/100*(H65)),J63))</f>
        <v>28</v>
      </c>
      <c r="L63" s="489">
        <f>IFERROR(K63/H65,"")</f>
        <v>0.08</v>
      </c>
      <c r="M63" s="222">
        <f t="shared" ref="M63:M64" si="8">K63</f>
        <v>28</v>
      </c>
      <c r="N63" s="223">
        <f>IFERROR(M63/H65,"")</f>
        <v>0.08</v>
      </c>
      <c r="O63" s="164"/>
      <c r="P63" s="164"/>
      <c r="Q63" s="164"/>
      <c r="R63" s="164"/>
      <c r="S63" s="164"/>
      <c r="T63" s="164"/>
      <c r="U63" s="164"/>
      <c r="V63" s="164"/>
      <c r="W63" s="164"/>
      <c r="X63" s="164"/>
      <c r="Y63" s="164"/>
      <c r="Z63" s="164"/>
    </row>
    <row r="64" spans="1:26" ht="15.75" customHeight="1" x14ac:dyDescent="0.2">
      <c r="A64" s="483">
        <v>5</v>
      </c>
      <c r="B64" s="491" t="s">
        <v>1313</v>
      </c>
      <c r="C64" s="421"/>
      <c r="D64" s="455"/>
      <c r="E64" s="210"/>
      <c r="F64" s="211"/>
      <c r="G64" s="205"/>
      <c r="H64" s="212">
        <f>10%*(550-D65-'LAMPIRAN II DONE'!$G$30)</f>
        <v>35</v>
      </c>
      <c r="I64" s="213" t="s">
        <v>923</v>
      </c>
      <c r="J64" s="488">
        <f t="shared" si="7"/>
        <v>5</v>
      </c>
      <c r="K64" s="214">
        <f>IF(J64="","",IF(J64&gt;(10/100*(H65)),(10/100*(H65)),J64))</f>
        <v>5</v>
      </c>
      <c r="L64" s="489">
        <f>IFERROR(K64/H65,"")</f>
        <v>1.4285714285714285E-2</v>
      </c>
      <c r="M64" s="222">
        <f t="shared" si="8"/>
        <v>5</v>
      </c>
      <c r="N64" s="223">
        <f>IFERROR(M64/H65,"")</f>
        <v>1.4285714285714285E-2</v>
      </c>
      <c r="O64" s="164"/>
      <c r="P64" s="164"/>
      <c r="Q64" s="164"/>
      <c r="R64" s="164"/>
      <c r="S64" s="164"/>
      <c r="T64" s="164"/>
      <c r="U64" s="164"/>
      <c r="V64" s="164"/>
      <c r="W64" s="164"/>
      <c r="X64" s="164"/>
      <c r="Y64" s="164"/>
      <c r="Z64" s="164"/>
    </row>
    <row r="65" spans="1:26" ht="15.75" customHeight="1" x14ac:dyDescent="0.2">
      <c r="A65" s="494"/>
      <c r="B65" s="737" t="s">
        <v>1314</v>
      </c>
      <c r="C65" s="615"/>
      <c r="D65" s="495">
        <f>SUM(D60:D64)</f>
        <v>0</v>
      </c>
      <c r="E65" s="215"/>
      <c r="F65" s="215">
        <f t="shared" ref="F65:H65" si="9">SUM(F60:F64)</f>
        <v>0</v>
      </c>
      <c r="G65" s="216">
        <f t="shared" si="9"/>
        <v>0</v>
      </c>
      <c r="H65" s="217">
        <f t="shared" si="9"/>
        <v>350</v>
      </c>
      <c r="I65" s="218"/>
      <c r="J65" s="215">
        <f>SUM(J60:J64)</f>
        <v>709.5</v>
      </c>
      <c r="K65" s="215"/>
      <c r="L65" s="218"/>
      <c r="M65" s="224">
        <f>SUM(M60:M64)</f>
        <v>652</v>
      </c>
      <c r="N65" s="225"/>
      <c r="O65" s="10"/>
      <c r="P65" s="10"/>
      <c r="Q65" s="10"/>
      <c r="R65" s="10"/>
      <c r="S65" s="10"/>
      <c r="T65" s="10"/>
      <c r="U65" s="10"/>
      <c r="V65" s="10"/>
      <c r="W65" s="10"/>
      <c r="X65" s="10"/>
      <c r="Y65" s="10"/>
      <c r="Z65" s="10"/>
    </row>
    <row r="66" spans="1:26" ht="15.75" customHeight="1" x14ac:dyDescent="0.2">
      <c r="A66" s="483"/>
      <c r="B66" s="491"/>
      <c r="C66" s="421"/>
      <c r="D66" s="496"/>
      <c r="E66" s="214"/>
      <c r="F66" s="214"/>
      <c r="G66" s="219"/>
      <c r="H66" s="212"/>
      <c r="I66" s="220"/>
      <c r="J66" s="738" t="s">
        <v>1320</v>
      </c>
      <c r="K66" s="615"/>
      <c r="L66" s="739"/>
      <c r="M66" s="740">
        <f>M65+D65</f>
        <v>652</v>
      </c>
      <c r="N66" s="739"/>
      <c r="O66" s="164"/>
      <c r="P66" s="164"/>
      <c r="Q66" s="164"/>
      <c r="R66" s="164"/>
      <c r="S66" s="164"/>
      <c r="T66" s="164"/>
      <c r="U66" s="164"/>
      <c r="V66" s="164"/>
      <c r="W66" s="164"/>
      <c r="X66" s="164"/>
      <c r="Y66" s="164"/>
      <c r="Z66" s="164"/>
    </row>
    <row r="67" spans="1:26" ht="15.75" customHeight="1" x14ac:dyDescent="0.2">
      <c r="A67" s="480" t="s">
        <v>1323</v>
      </c>
      <c r="B67" s="481" t="s">
        <v>1324</v>
      </c>
      <c r="C67" s="201" t="str">
        <f>IF('LAMPIRAN I DONE'!F20="magister (S2)","S2",IF('LAMPIRAN I DONE'!F20="Doktor (S3)","S3",""))</f>
        <v>S2</v>
      </c>
      <c r="D67" s="498"/>
      <c r="E67" s="211"/>
      <c r="F67" s="203"/>
      <c r="G67" s="204"/>
      <c r="H67" s="212"/>
      <c r="I67" s="218"/>
      <c r="J67" s="203"/>
      <c r="K67" s="203"/>
      <c r="L67" s="204"/>
      <c r="M67" s="221"/>
      <c r="N67" s="204"/>
      <c r="O67" s="207"/>
      <c r="P67" s="207"/>
      <c r="Q67" s="207"/>
      <c r="R67" s="207"/>
      <c r="S67" s="207"/>
      <c r="T67" s="207"/>
      <c r="U67" s="207"/>
      <c r="V67" s="207"/>
      <c r="W67" s="207"/>
      <c r="X67" s="207"/>
      <c r="Y67" s="207"/>
      <c r="Z67" s="207"/>
    </row>
    <row r="68" spans="1:26" ht="15.75" customHeight="1" x14ac:dyDescent="0.2">
      <c r="A68" s="483">
        <v>1</v>
      </c>
      <c r="B68" s="484" t="s">
        <v>1309</v>
      </c>
      <c r="C68" s="485"/>
      <c r="D68" s="713"/>
      <c r="E68" s="728"/>
      <c r="F68" s="486"/>
      <c r="G68" s="487"/>
      <c r="H68" s="729">
        <f>40%*(700-D73-'LAMPIRAN II DONE'!$G$30)</f>
        <v>200</v>
      </c>
      <c r="I68" s="731" t="s">
        <v>950</v>
      </c>
      <c r="J68" s="488">
        <f t="shared" ref="J68:J72" si="10">J60</f>
        <v>200</v>
      </c>
      <c r="K68" s="733">
        <f>IFERROR(J68+J69,"")</f>
        <v>619</v>
      </c>
      <c r="L68" s="734">
        <f>IFERROR(K68/H73,"")</f>
        <v>1.238</v>
      </c>
      <c r="M68" s="735">
        <f>K68</f>
        <v>619</v>
      </c>
      <c r="N68" s="736">
        <f>IFERROR(M68/H73,"")</f>
        <v>1.238</v>
      </c>
      <c r="O68" s="164"/>
      <c r="P68" s="164"/>
      <c r="Q68" s="164"/>
      <c r="R68" s="164"/>
      <c r="S68" s="164"/>
      <c r="T68" s="164"/>
      <c r="U68" s="164"/>
      <c r="V68" s="164"/>
      <c r="W68" s="164"/>
      <c r="X68" s="164"/>
      <c r="Y68" s="164"/>
      <c r="Z68" s="164"/>
    </row>
    <row r="69" spans="1:26" ht="15.75" customHeight="1" x14ac:dyDescent="0.2">
      <c r="A69" s="483">
        <v>2</v>
      </c>
      <c r="B69" s="484" t="s">
        <v>1310</v>
      </c>
      <c r="C69" s="485"/>
      <c r="D69" s="631"/>
      <c r="E69" s="631"/>
      <c r="F69" s="490"/>
      <c r="G69" s="208"/>
      <c r="H69" s="730"/>
      <c r="I69" s="732"/>
      <c r="J69" s="488">
        <f t="shared" si="10"/>
        <v>419</v>
      </c>
      <c r="K69" s="631"/>
      <c r="L69" s="732"/>
      <c r="M69" s="730"/>
      <c r="N69" s="732"/>
      <c r="O69" s="164"/>
      <c r="P69" s="164"/>
      <c r="Q69" s="164"/>
      <c r="R69" s="164"/>
      <c r="S69" s="164"/>
      <c r="T69" s="164"/>
      <c r="U69" s="164"/>
      <c r="V69" s="164"/>
      <c r="W69" s="164"/>
      <c r="X69" s="164"/>
      <c r="Y69" s="164"/>
      <c r="Z69" s="164"/>
    </row>
    <row r="70" spans="1:26" ht="15.75" customHeight="1" x14ac:dyDescent="0.25">
      <c r="A70" s="483">
        <v>3</v>
      </c>
      <c r="B70" s="491" t="s">
        <v>1311</v>
      </c>
      <c r="C70" s="421"/>
      <c r="D70" s="455"/>
      <c r="E70" s="497"/>
      <c r="F70" s="211"/>
      <c r="G70" s="205"/>
      <c r="H70" s="212">
        <f>40%*(700-D73-'LAMPIRAN II DONE'!$G$30)</f>
        <v>200</v>
      </c>
      <c r="I70" s="213" t="s">
        <v>950</v>
      </c>
      <c r="J70" s="488">
        <f t="shared" si="10"/>
        <v>57.5</v>
      </c>
      <c r="K70" s="492">
        <f>J70</f>
        <v>57.5</v>
      </c>
      <c r="L70" s="489">
        <f>IFERROR(K70/H73,"")</f>
        <v>0.115</v>
      </c>
      <c r="M70" s="222">
        <f>'Reviewer Eksternal (LK&amp;GB)1'!$K$139</f>
        <v>0</v>
      </c>
      <c r="N70" s="223">
        <f>IFERROR(M70/H73,"")</f>
        <v>0</v>
      </c>
      <c r="O70" s="164"/>
      <c r="P70" s="164"/>
      <c r="Q70" s="164"/>
      <c r="R70" s="164"/>
      <c r="S70" s="164"/>
      <c r="T70" s="164"/>
      <c r="U70" s="164"/>
      <c r="V70" s="164"/>
      <c r="W70" s="164"/>
      <c r="X70" s="164"/>
      <c r="Y70" s="164"/>
      <c r="Z70" s="164"/>
    </row>
    <row r="71" spans="1:26" ht="15.75" customHeight="1" x14ac:dyDescent="0.2">
      <c r="A71" s="483">
        <v>4</v>
      </c>
      <c r="B71" s="491" t="s">
        <v>1312</v>
      </c>
      <c r="C71" s="421"/>
      <c r="D71" s="455"/>
      <c r="E71" s="210"/>
      <c r="F71" s="211"/>
      <c r="G71" s="205"/>
      <c r="H71" s="212">
        <f>10%*(700-D73-'LAMPIRAN II DONE'!$G$30)</f>
        <v>50</v>
      </c>
      <c r="I71" s="213" t="s">
        <v>923</v>
      </c>
      <c r="J71" s="488">
        <f t="shared" si="10"/>
        <v>28</v>
      </c>
      <c r="K71" s="492">
        <f>IF(J71="","",IF(J71&gt;(10/100*(H73)),(10/100*(H73)),J71))</f>
        <v>28</v>
      </c>
      <c r="L71" s="489">
        <f>IFERROR(K71/H73,"")</f>
        <v>5.6000000000000001E-2</v>
      </c>
      <c r="M71" s="222">
        <f t="shared" ref="M71:M72" si="11">K71</f>
        <v>28</v>
      </c>
      <c r="N71" s="223">
        <f>IFERROR(M71/H73,"")</f>
        <v>5.6000000000000001E-2</v>
      </c>
      <c r="O71" s="164"/>
      <c r="P71" s="164"/>
      <c r="Q71" s="164"/>
      <c r="R71" s="164"/>
      <c r="S71" s="164"/>
      <c r="T71" s="164"/>
      <c r="U71" s="164"/>
      <c r="V71" s="164"/>
      <c r="W71" s="164"/>
      <c r="X71" s="164"/>
      <c r="Y71" s="164"/>
      <c r="Z71" s="164"/>
    </row>
    <row r="72" spans="1:26" ht="15.75" customHeight="1" x14ac:dyDescent="0.2">
      <c r="A72" s="483">
        <v>5</v>
      </c>
      <c r="B72" s="491" t="s">
        <v>1313</v>
      </c>
      <c r="C72" s="421"/>
      <c r="D72" s="455"/>
      <c r="E72" s="210"/>
      <c r="F72" s="211"/>
      <c r="G72" s="205"/>
      <c r="H72" s="212">
        <f>10%*(700-D73-'LAMPIRAN II DONE'!$G$30)</f>
        <v>50</v>
      </c>
      <c r="I72" s="213" t="s">
        <v>923</v>
      </c>
      <c r="J72" s="488">
        <f t="shared" si="10"/>
        <v>5</v>
      </c>
      <c r="K72" s="214">
        <f>IF(J72="","",IF(J72&gt;(10/100*(H73)),(10/100*(H73)),J72))</f>
        <v>5</v>
      </c>
      <c r="L72" s="489">
        <f>IFERROR(K72/H73,"")</f>
        <v>0.01</v>
      </c>
      <c r="M72" s="222">
        <f t="shared" si="11"/>
        <v>5</v>
      </c>
      <c r="N72" s="223">
        <f>IFERROR(M72/H73,"")</f>
        <v>0.01</v>
      </c>
      <c r="O72" s="164"/>
      <c r="P72" s="164"/>
      <c r="Q72" s="164"/>
      <c r="R72" s="164"/>
      <c r="S72" s="164"/>
      <c r="T72" s="164"/>
      <c r="U72" s="164"/>
      <c r="V72" s="164"/>
      <c r="W72" s="164"/>
      <c r="X72" s="164"/>
      <c r="Y72" s="164"/>
      <c r="Z72" s="164"/>
    </row>
    <row r="73" spans="1:26" ht="15.75" customHeight="1" x14ac:dyDescent="0.2">
      <c r="A73" s="494"/>
      <c r="B73" s="737" t="s">
        <v>1314</v>
      </c>
      <c r="C73" s="615"/>
      <c r="D73" s="495">
        <f>SUM(D68:D72)</f>
        <v>0</v>
      </c>
      <c r="E73" s="215"/>
      <c r="F73" s="215">
        <f t="shared" ref="F73:H73" si="12">SUM(F68:F72)</f>
        <v>0</v>
      </c>
      <c r="G73" s="216">
        <f t="shared" si="12"/>
        <v>0</v>
      </c>
      <c r="H73" s="217">
        <f t="shared" si="12"/>
        <v>500</v>
      </c>
      <c r="I73" s="218"/>
      <c r="J73" s="215">
        <f>SUM(J68:J72)</f>
        <v>709.5</v>
      </c>
      <c r="K73" s="215"/>
      <c r="L73" s="218"/>
      <c r="M73" s="224">
        <f>SUM(M68:M72)</f>
        <v>652</v>
      </c>
      <c r="N73" s="225"/>
      <c r="O73" s="10"/>
      <c r="P73" s="10"/>
      <c r="Q73" s="10"/>
      <c r="R73" s="10"/>
      <c r="S73" s="10"/>
      <c r="T73" s="10"/>
      <c r="U73" s="10"/>
      <c r="V73" s="10"/>
      <c r="W73" s="10"/>
      <c r="X73" s="10"/>
      <c r="Y73" s="10"/>
      <c r="Z73" s="10"/>
    </row>
    <row r="74" spans="1:26" ht="15.75" customHeight="1" x14ac:dyDescent="0.2">
      <c r="A74" s="483"/>
      <c r="B74" s="491"/>
      <c r="C74" s="421"/>
      <c r="D74" s="496"/>
      <c r="E74" s="214"/>
      <c r="F74" s="214"/>
      <c r="G74" s="219"/>
      <c r="H74" s="212"/>
      <c r="I74" s="220"/>
      <c r="J74" s="738" t="s">
        <v>1320</v>
      </c>
      <c r="K74" s="615"/>
      <c r="L74" s="739"/>
      <c r="M74" s="740">
        <f>M73+D73</f>
        <v>652</v>
      </c>
      <c r="N74" s="739"/>
      <c r="O74" s="164"/>
      <c r="P74" s="164"/>
      <c r="Q74" s="164"/>
      <c r="R74" s="164"/>
      <c r="S74" s="164"/>
      <c r="T74" s="164"/>
      <c r="U74" s="164"/>
      <c r="V74" s="164"/>
      <c r="W74" s="164"/>
      <c r="X74" s="164"/>
      <c r="Y74" s="164"/>
      <c r="Z74" s="164"/>
    </row>
    <row r="75" spans="1:26" ht="15.75" customHeight="1" x14ac:dyDescent="0.2">
      <c r="A75" s="480" t="s">
        <v>1325</v>
      </c>
      <c r="B75" s="481" t="s">
        <v>1326</v>
      </c>
      <c r="C75" s="201" t="str">
        <f>IF('LAMPIRAN I DONE'!F20="magister (S2)","S2",IF('LAMPIRAN I DONE'!F20="Doktor (S3)","S3",""))</f>
        <v>S2</v>
      </c>
      <c r="D75" s="498"/>
      <c r="E75" s="211"/>
      <c r="F75" s="203"/>
      <c r="G75" s="204"/>
      <c r="H75" s="202"/>
      <c r="I75" s="218"/>
      <c r="J75" s="203"/>
      <c r="K75" s="203"/>
      <c r="L75" s="218"/>
      <c r="M75" s="221"/>
      <c r="N75" s="204"/>
      <c r="O75" s="207"/>
      <c r="P75" s="207"/>
      <c r="Q75" s="207"/>
      <c r="R75" s="207"/>
      <c r="S75" s="207"/>
      <c r="T75" s="207"/>
      <c r="U75" s="207"/>
      <c r="V75" s="207"/>
      <c r="W75" s="207"/>
      <c r="X75" s="207"/>
      <c r="Y75" s="207"/>
      <c r="Z75" s="207"/>
    </row>
    <row r="76" spans="1:26" ht="15.75" customHeight="1" x14ac:dyDescent="0.2">
      <c r="A76" s="483">
        <v>1</v>
      </c>
      <c r="B76" s="484" t="s">
        <v>1309</v>
      </c>
      <c r="C76" s="485"/>
      <c r="D76" s="713"/>
      <c r="E76" s="728"/>
      <c r="F76" s="486"/>
      <c r="G76" s="487"/>
      <c r="H76" s="729">
        <f>(35%*(850-D81-'LAMPIRAN II DONE'!$G$30))</f>
        <v>227.49999999999997</v>
      </c>
      <c r="I76" s="731" t="s">
        <v>933</v>
      </c>
      <c r="J76" s="488">
        <f t="shared" ref="J76:J80" si="13">J68</f>
        <v>200</v>
      </c>
      <c r="K76" s="733">
        <f>IFERROR(J76+J77,"")</f>
        <v>619</v>
      </c>
      <c r="L76" s="734">
        <f>IFERROR(K76/H81,"")</f>
        <v>0.9523076923076923</v>
      </c>
      <c r="M76" s="735">
        <f>K76</f>
        <v>619</v>
      </c>
      <c r="N76" s="736">
        <f>IFERROR(M76/H81,"")</f>
        <v>0.9523076923076923</v>
      </c>
      <c r="O76" s="164"/>
      <c r="P76" s="164"/>
      <c r="Q76" s="164"/>
      <c r="R76" s="164"/>
      <c r="S76" s="164"/>
      <c r="T76" s="164"/>
      <c r="U76" s="164"/>
      <c r="V76" s="164"/>
      <c r="W76" s="164"/>
      <c r="X76" s="164"/>
      <c r="Y76" s="164"/>
      <c r="Z76" s="164"/>
    </row>
    <row r="77" spans="1:26" ht="15.75" customHeight="1" x14ac:dyDescent="0.2">
      <c r="A77" s="483">
        <v>2</v>
      </c>
      <c r="B77" s="484" t="s">
        <v>1310</v>
      </c>
      <c r="C77" s="485"/>
      <c r="D77" s="631"/>
      <c r="E77" s="631"/>
      <c r="F77" s="490"/>
      <c r="G77" s="208"/>
      <c r="H77" s="730"/>
      <c r="I77" s="732"/>
      <c r="J77" s="488">
        <f t="shared" si="13"/>
        <v>419</v>
      </c>
      <c r="K77" s="631"/>
      <c r="L77" s="732"/>
      <c r="M77" s="730"/>
      <c r="N77" s="732"/>
      <c r="O77" s="164"/>
      <c r="P77" s="164"/>
      <c r="Q77" s="164"/>
      <c r="R77" s="164"/>
      <c r="S77" s="164"/>
      <c r="T77" s="164"/>
      <c r="U77" s="164"/>
      <c r="V77" s="164"/>
      <c r="W77" s="164"/>
      <c r="X77" s="164"/>
      <c r="Y77" s="164"/>
      <c r="Z77" s="164"/>
    </row>
    <row r="78" spans="1:26" ht="15.75" customHeight="1" x14ac:dyDescent="0.25">
      <c r="A78" s="483">
        <v>3</v>
      </c>
      <c r="B78" s="491" t="s">
        <v>1311</v>
      </c>
      <c r="C78" s="421"/>
      <c r="D78" s="455"/>
      <c r="E78" s="497"/>
      <c r="F78" s="211"/>
      <c r="G78" s="205"/>
      <c r="H78" s="212">
        <f>45%*(850-D81-'LAMPIRAN II DONE'!$G$30)</f>
        <v>292.5</v>
      </c>
      <c r="I78" s="213" t="s">
        <v>932</v>
      </c>
      <c r="J78" s="488">
        <f t="shared" si="13"/>
        <v>57.5</v>
      </c>
      <c r="K78" s="492">
        <f>J78</f>
        <v>57.5</v>
      </c>
      <c r="L78" s="489">
        <f>IFERROR(K78/H81,"")</f>
        <v>8.8461538461538466E-2</v>
      </c>
      <c r="M78" s="222">
        <f>'Reviewer Eksternal (LK&amp;GB)1'!$K$139</f>
        <v>0</v>
      </c>
      <c r="N78" s="223">
        <f>IFERROR(M78/H81,"")</f>
        <v>0</v>
      </c>
      <c r="O78" s="164"/>
      <c r="P78" s="164"/>
      <c r="Q78" s="164"/>
      <c r="R78" s="164"/>
      <c r="S78" s="164"/>
      <c r="T78" s="164"/>
      <c r="U78" s="164"/>
      <c r="V78" s="164"/>
      <c r="W78" s="164"/>
      <c r="X78" s="164"/>
      <c r="Y78" s="164"/>
      <c r="Z78" s="164"/>
    </row>
    <row r="79" spans="1:26" ht="15.75" customHeight="1" x14ac:dyDescent="0.2">
      <c r="A79" s="483">
        <v>4</v>
      </c>
      <c r="B79" s="491" t="s">
        <v>1312</v>
      </c>
      <c r="C79" s="421"/>
      <c r="D79" s="455"/>
      <c r="E79" s="210"/>
      <c r="F79" s="211"/>
      <c r="G79" s="205"/>
      <c r="H79" s="212">
        <f>10%*(850-D81-'LAMPIRAN II DONE'!$G$30)</f>
        <v>65</v>
      </c>
      <c r="I79" s="213" t="s">
        <v>923</v>
      </c>
      <c r="J79" s="488">
        <f t="shared" si="13"/>
        <v>28</v>
      </c>
      <c r="K79" s="492">
        <f>IF(J79="","",IF(J79&gt;(10/100*(H81)),(10/100*(H81)),J79))</f>
        <v>28</v>
      </c>
      <c r="L79" s="489">
        <f>IFERROR(K79/H81,"")</f>
        <v>4.3076923076923075E-2</v>
      </c>
      <c r="M79" s="222">
        <f t="shared" ref="M79:M80" si="14">K79</f>
        <v>28</v>
      </c>
      <c r="N79" s="223">
        <f>IFERROR(M79/H81,"")</f>
        <v>4.3076923076923075E-2</v>
      </c>
      <c r="O79" s="164"/>
      <c r="P79" s="164"/>
      <c r="Q79" s="164"/>
      <c r="R79" s="164"/>
      <c r="S79" s="164"/>
      <c r="T79" s="164"/>
      <c r="U79" s="164"/>
      <c r="V79" s="164"/>
      <c r="W79" s="164"/>
      <c r="X79" s="164"/>
      <c r="Y79" s="164"/>
      <c r="Z79" s="164"/>
    </row>
    <row r="80" spans="1:26" ht="15.75" customHeight="1" x14ac:dyDescent="0.2">
      <c r="A80" s="483">
        <v>5</v>
      </c>
      <c r="B80" s="491" t="s">
        <v>1313</v>
      </c>
      <c r="C80" s="421"/>
      <c r="D80" s="455"/>
      <c r="E80" s="210"/>
      <c r="F80" s="211"/>
      <c r="G80" s="205"/>
      <c r="H80" s="212">
        <f>10%*(850-D81-'LAMPIRAN II DONE'!$G$30)</f>
        <v>65</v>
      </c>
      <c r="I80" s="213" t="s">
        <v>923</v>
      </c>
      <c r="J80" s="488">
        <f t="shared" si="13"/>
        <v>5</v>
      </c>
      <c r="K80" s="214">
        <f>IF(J80="","",IF(J80&gt;(10/100*(H81)),(10/100*(H81)),J80))</f>
        <v>5</v>
      </c>
      <c r="L80" s="489">
        <f>IFERROR(K80/H81,"")</f>
        <v>7.6923076923076927E-3</v>
      </c>
      <c r="M80" s="222">
        <f t="shared" si="14"/>
        <v>5</v>
      </c>
      <c r="N80" s="223">
        <f>IFERROR(M80/H81,"")</f>
        <v>7.6923076923076927E-3</v>
      </c>
      <c r="O80" s="164"/>
      <c r="P80" s="164"/>
      <c r="Q80" s="164"/>
      <c r="R80" s="164"/>
      <c r="S80" s="164"/>
      <c r="T80" s="164"/>
      <c r="U80" s="164"/>
      <c r="V80" s="164"/>
      <c r="W80" s="164"/>
      <c r="X80" s="164"/>
      <c r="Y80" s="164"/>
      <c r="Z80" s="164"/>
    </row>
    <row r="81" spans="1:26" ht="15.75" customHeight="1" x14ac:dyDescent="0.2">
      <c r="A81" s="494"/>
      <c r="B81" s="737" t="s">
        <v>1314</v>
      </c>
      <c r="C81" s="615"/>
      <c r="D81" s="495">
        <f>SUM(D76:D80)</f>
        <v>0</v>
      </c>
      <c r="E81" s="215"/>
      <c r="F81" s="215">
        <f t="shared" ref="F81:H81" si="15">SUM(F76:F80)</f>
        <v>0</v>
      </c>
      <c r="G81" s="216">
        <f t="shared" si="15"/>
        <v>0</v>
      </c>
      <c r="H81" s="217">
        <f t="shared" si="15"/>
        <v>650</v>
      </c>
      <c r="I81" s="218"/>
      <c r="J81" s="215">
        <f>SUM(J76:J80)</f>
        <v>709.5</v>
      </c>
      <c r="K81" s="215"/>
      <c r="L81" s="218"/>
      <c r="M81" s="224">
        <f>SUM(M76:M80)</f>
        <v>652</v>
      </c>
      <c r="N81" s="225"/>
      <c r="O81" s="10"/>
      <c r="P81" s="10"/>
      <c r="Q81" s="10"/>
      <c r="R81" s="10"/>
      <c r="S81" s="10"/>
      <c r="T81" s="10"/>
      <c r="U81" s="10"/>
      <c r="V81" s="10"/>
      <c r="W81" s="10"/>
      <c r="X81" s="10"/>
      <c r="Y81" s="10"/>
      <c r="Z81" s="10"/>
    </row>
    <row r="82" spans="1:26" ht="15.75" customHeight="1" x14ac:dyDescent="0.2">
      <c r="A82" s="483"/>
      <c r="B82" s="491"/>
      <c r="C82" s="421"/>
      <c r="D82" s="496"/>
      <c r="E82" s="214"/>
      <c r="F82" s="214"/>
      <c r="G82" s="219"/>
      <c r="H82" s="212"/>
      <c r="I82" s="220"/>
      <c r="J82" s="738" t="s">
        <v>1320</v>
      </c>
      <c r="K82" s="615"/>
      <c r="L82" s="739"/>
      <c r="M82" s="740">
        <f>M81+D81</f>
        <v>652</v>
      </c>
      <c r="N82" s="739"/>
      <c r="O82" s="164"/>
      <c r="P82" s="164"/>
      <c r="Q82" s="164"/>
      <c r="R82" s="164"/>
      <c r="S82" s="164"/>
      <c r="T82" s="164"/>
      <c r="U82" s="164"/>
      <c r="V82" s="164"/>
      <c r="W82" s="164"/>
      <c r="X82" s="164"/>
      <c r="Y82" s="164"/>
      <c r="Z82" s="164"/>
    </row>
    <row r="83" spans="1:26" ht="15.75" customHeight="1" x14ac:dyDescent="0.2">
      <c r="A83" s="476" t="s">
        <v>1327</v>
      </c>
      <c r="B83" s="481" t="s">
        <v>1328</v>
      </c>
      <c r="C83" s="201" t="str">
        <f>IF('LAMPIRAN I DONE'!F20="magister (S2)","S2",IF('LAMPIRAN I DONE'!F20="Doktor (S3)","S3",""))</f>
        <v>S2</v>
      </c>
      <c r="D83" s="498"/>
      <c r="E83" s="211"/>
      <c r="F83" s="203"/>
      <c r="G83" s="204"/>
      <c r="H83" s="202"/>
      <c r="I83" s="218"/>
      <c r="J83" s="203"/>
      <c r="K83" s="203"/>
      <c r="L83" s="218"/>
      <c r="M83" s="221"/>
      <c r="N83" s="204"/>
      <c r="O83" s="207"/>
      <c r="P83" s="207"/>
      <c r="Q83" s="207"/>
      <c r="R83" s="207"/>
      <c r="S83" s="207"/>
      <c r="T83" s="207"/>
      <c r="U83" s="207"/>
      <c r="V83" s="207"/>
      <c r="W83" s="207"/>
      <c r="X83" s="207"/>
      <c r="Y83" s="207"/>
      <c r="Z83" s="207"/>
    </row>
    <row r="84" spans="1:26" ht="15.75" customHeight="1" x14ac:dyDescent="0.2">
      <c r="A84" s="483">
        <v>1</v>
      </c>
      <c r="B84" s="484" t="s">
        <v>1309</v>
      </c>
      <c r="C84" s="485"/>
      <c r="D84" s="713"/>
      <c r="E84" s="728"/>
      <c r="F84" s="486"/>
      <c r="G84" s="487"/>
      <c r="H84" s="729">
        <f>35%*(1050-D89-'LAMPIRAN II DONE'!$G$30)</f>
        <v>297.5</v>
      </c>
      <c r="I84" s="731" t="s">
        <v>933</v>
      </c>
      <c r="J84" s="488">
        <f t="shared" ref="J84:J88" si="16">J76</f>
        <v>200</v>
      </c>
      <c r="K84" s="733">
        <f>IFERROR(J84+J85,"")</f>
        <v>619</v>
      </c>
      <c r="L84" s="734">
        <f>IFERROR(K84/H89,"")</f>
        <v>0.72823529411764709</v>
      </c>
      <c r="M84" s="735">
        <f>K84</f>
        <v>619</v>
      </c>
      <c r="N84" s="736">
        <f>IFERROR(M84/H89,"")</f>
        <v>0.72823529411764709</v>
      </c>
      <c r="O84" s="164"/>
      <c r="P84" s="164"/>
      <c r="Q84" s="164"/>
      <c r="R84" s="164"/>
      <c r="S84" s="164"/>
      <c r="T84" s="164"/>
      <c r="U84" s="164"/>
      <c r="V84" s="164"/>
      <c r="W84" s="164"/>
      <c r="X84" s="164"/>
      <c r="Y84" s="164"/>
      <c r="Z84" s="164"/>
    </row>
    <row r="85" spans="1:26" ht="15.75" customHeight="1" x14ac:dyDescent="0.2">
      <c r="A85" s="483">
        <v>2</v>
      </c>
      <c r="B85" s="484" t="s">
        <v>1310</v>
      </c>
      <c r="C85" s="485"/>
      <c r="D85" s="631"/>
      <c r="E85" s="631"/>
      <c r="F85" s="490"/>
      <c r="G85" s="208"/>
      <c r="H85" s="730"/>
      <c r="I85" s="732"/>
      <c r="J85" s="488">
        <f t="shared" si="16"/>
        <v>419</v>
      </c>
      <c r="K85" s="631"/>
      <c r="L85" s="732"/>
      <c r="M85" s="730"/>
      <c r="N85" s="732"/>
      <c r="O85" s="164"/>
      <c r="P85" s="164"/>
      <c r="Q85" s="164"/>
      <c r="R85" s="164"/>
      <c r="S85" s="164"/>
      <c r="T85" s="164"/>
      <c r="U85" s="164"/>
      <c r="V85" s="164"/>
      <c r="W85" s="164"/>
      <c r="X85" s="164"/>
      <c r="Y85" s="164"/>
      <c r="Z85" s="164"/>
    </row>
    <row r="86" spans="1:26" ht="15.75" customHeight="1" x14ac:dyDescent="0.25">
      <c r="A86" s="483">
        <v>3</v>
      </c>
      <c r="B86" s="491" t="s">
        <v>1311</v>
      </c>
      <c r="C86" s="421"/>
      <c r="D86" s="455"/>
      <c r="E86" s="497"/>
      <c r="F86" s="211"/>
      <c r="G86" s="205"/>
      <c r="H86" s="212">
        <f>45%*(1050-D89-'LAMPIRAN II DONE'!$G$30)</f>
        <v>382.5</v>
      </c>
      <c r="I86" s="213" t="s">
        <v>932</v>
      </c>
      <c r="J86" s="488">
        <f t="shared" si="16"/>
        <v>57.5</v>
      </c>
      <c r="K86" s="492">
        <f>J86</f>
        <v>57.5</v>
      </c>
      <c r="L86" s="489">
        <f>IFERROR(K86/H89,"")</f>
        <v>6.7647058823529407E-2</v>
      </c>
      <c r="M86" s="222">
        <f>'Reviewer Eksternal (LK&amp;GB)1'!$K$139</f>
        <v>0</v>
      </c>
      <c r="N86" s="223">
        <f>IFERROR(M86/H89,"")</f>
        <v>0</v>
      </c>
      <c r="O86" s="164"/>
      <c r="P86" s="164"/>
      <c r="Q86" s="164"/>
      <c r="R86" s="164"/>
      <c r="S86" s="164"/>
      <c r="T86" s="164"/>
      <c r="U86" s="164"/>
      <c r="V86" s="164"/>
      <c r="W86" s="164"/>
      <c r="X86" s="164"/>
      <c r="Y86" s="164"/>
      <c r="Z86" s="164"/>
    </row>
    <row r="87" spans="1:26" ht="15.75" customHeight="1" x14ac:dyDescent="0.2">
      <c r="A87" s="483">
        <v>4</v>
      </c>
      <c r="B87" s="491" t="s">
        <v>1312</v>
      </c>
      <c r="C87" s="421"/>
      <c r="D87" s="455"/>
      <c r="E87" s="210"/>
      <c r="F87" s="211"/>
      <c r="G87" s="205"/>
      <c r="H87" s="212">
        <f>10%*(1050-D89-'LAMPIRAN II DONE'!$G$30)</f>
        <v>85</v>
      </c>
      <c r="I87" s="213" t="s">
        <v>923</v>
      </c>
      <c r="J87" s="488">
        <f t="shared" si="16"/>
        <v>28</v>
      </c>
      <c r="K87" s="492">
        <f>IF(J87="","",IF(J87&gt;(10/100*(H89)),(10/100*(H89)),J87))</f>
        <v>28</v>
      </c>
      <c r="L87" s="489">
        <f>IFERROR(K87/H89,"")</f>
        <v>3.2941176470588238E-2</v>
      </c>
      <c r="M87" s="222">
        <f t="shared" ref="M87:M88" si="17">K87</f>
        <v>28</v>
      </c>
      <c r="N87" s="223">
        <f>IFERROR(M87/H89,"")</f>
        <v>3.2941176470588238E-2</v>
      </c>
      <c r="O87" s="164"/>
      <c r="P87" s="164"/>
      <c r="Q87" s="164"/>
      <c r="R87" s="164"/>
      <c r="S87" s="164"/>
      <c r="T87" s="164"/>
      <c r="U87" s="164"/>
      <c r="V87" s="164"/>
      <c r="W87" s="164"/>
      <c r="X87" s="164"/>
      <c r="Y87" s="164"/>
      <c r="Z87" s="164"/>
    </row>
    <row r="88" spans="1:26" ht="15.75" customHeight="1" x14ac:dyDescent="0.2">
      <c r="A88" s="483">
        <v>5</v>
      </c>
      <c r="B88" s="491" t="s">
        <v>1313</v>
      </c>
      <c r="C88" s="421"/>
      <c r="D88" s="455"/>
      <c r="E88" s="210"/>
      <c r="F88" s="211"/>
      <c r="G88" s="205"/>
      <c r="H88" s="212">
        <f>10%*(1050-D89-'LAMPIRAN II DONE'!$G$30)</f>
        <v>85</v>
      </c>
      <c r="I88" s="213" t="s">
        <v>923</v>
      </c>
      <c r="J88" s="488">
        <f t="shared" si="16"/>
        <v>5</v>
      </c>
      <c r="K88" s="214">
        <f>IF(J88="","",IF(J88&gt;(10/100*(H89)),(10/100*(H89)),J88))</f>
        <v>5</v>
      </c>
      <c r="L88" s="489">
        <f>IFERROR(K88/H89,"")</f>
        <v>5.8823529411764705E-3</v>
      </c>
      <c r="M88" s="222">
        <f t="shared" si="17"/>
        <v>5</v>
      </c>
      <c r="N88" s="223">
        <f>IFERROR(M88/H89,"")</f>
        <v>5.8823529411764705E-3</v>
      </c>
      <c r="O88" s="164"/>
      <c r="P88" s="164"/>
      <c r="Q88" s="164"/>
      <c r="R88" s="164"/>
      <c r="S88" s="164"/>
      <c r="T88" s="164"/>
      <c r="U88" s="164"/>
      <c r="V88" s="164"/>
      <c r="W88" s="164"/>
      <c r="X88" s="164"/>
      <c r="Y88" s="164"/>
      <c r="Z88" s="164"/>
    </row>
    <row r="89" spans="1:26" ht="15.75" customHeight="1" x14ac:dyDescent="0.2">
      <c r="A89" s="494"/>
      <c r="B89" s="726" t="s">
        <v>1314</v>
      </c>
      <c r="C89" s="727"/>
      <c r="D89" s="226">
        <f>SUM(D84:D88)</f>
        <v>0</v>
      </c>
      <c r="E89" s="227"/>
      <c r="F89" s="228">
        <f t="shared" ref="F89:H89" si="18">SUM(F84:F88)</f>
        <v>0</v>
      </c>
      <c r="G89" s="229">
        <f t="shared" si="18"/>
        <v>0</v>
      </c>
      <c r="H89" s="226">
        <f t="shared" si="18"/>
        <v>850</v>
      </c>
      <c r="I89" s="230"/>
      <c r="J89" s="228">
        <f>SUM(J84:J88)</f>
        <v>709.5</v>
      </c>
      <c r="K89" s="228"/>
      <c r="L89" s="230"/>
      <c r="M89" s="224">
        <f>SUM(M84:M88)</f>
        <v>652</v>
      </c>
      <c r="N89" s="225"/>
      <c r="O89" s="10"/>
      <c r="P89" s="10"/>
      <c r="Q89" s="10"/>
      <c r="R89" s="10"/>
      <c r="S89" s="10"/>
      <c r="T89" s="10"/>
      <c r="U89" s="10"/>
      <c r="V89" s="10"/>
      <c r="W89" s="10"/>
      <c r="X89" s="10"/>
      <c r="Y89" s="10"/>
      <c r="Z89" s="10"/>
    </row>
    <row r="90" spans="1:26" ht="15.75" customHeight="1" x14ac:dyDescent="0.2">
      <c r="A90" s="231"/>
      <c r="B90" s="231"/>
      <c r="C90" s="231"/>
      <c r="D90" s="232"/>
      <c r="E90" s="232"/>
      <c r="F90" s="232"/>
      <c r="G90" s="232"/>
      <c r="H90" s="232"/>
      <c r="I90" s="233"/>
      <c r="J90" s="738" t="s">
        <v>1320</v>
      </c>
      <c r="K90" s="615"/>
      <c r="L90" s="739"/>
      <c r="M90" s="740">
        <f>M89+D89</f>
        <v>652</v>
      </c>
      <c r="N90" s="739"/>
      <c r="O90" s="10"/>
      <c r="P90" s="10"/>
      <c r="Q90" s="10"/>
      <c r="R90" s="10"/>
      <c r="S90" s="10"/>
      <c r="T90" s="10"/>
      <c r="U90" s="10"/>
      <c r="V90" s="10"/>
      <c r="W90" s="10"/>
      <c r="X90" s="10"/>
      <c r="Y90" s="10"/>
      <c r="Z90" s="10"/>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14" t="s">
        <v>36</v>
      </c>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3">
    <mergeCell ref="B33:C33"/>
    <mergeCell ref="D28:D29"/>
    <mergeCell ref="E36:E37"/>
    <mergeCell ref="H36:H37"/>
    <mergeCell ref="I36:I37"/>
    <mergeCell ref="K36:K37"/>
    <mergeCell ref="L36:L37"/>
    <mergeCell ref="B41:C41"/>
    <mergeCell ref="M44:M45"/>
    <mergeCell ref="N44:N45"/>
    <mergeCell ref="D36:D37"/>
    <mergeCell ref="E44:E45"/>
    <mergeCell ref="H44:H45"/>
    <mergeCell ref="I44:I45"/>
    <mergeCell ref="K44:K45"/>
    <mergeCell ref="L44:L45"/>
    <mergeCell ref="M36:M37"/>
    <mergeCell ref="N36:N37"/>
    <mergeCell ref="D44:D45"/>
    <mergeCell ref="B49:C49"/>
    <mergeCell ref="A2:M2"/>
    <mergeCell ref="A3:M3"/>
    <mergeCell ref="A4:M4"/>
    <mergeCell ref="B7:M7"/>
    <mergeCell ref="B8:C8"/>
    <mergeCell ref="B9:C9"/>
    <mergeCell ref="B10:C10"/>
    <mergeCell ref="B11:C11"/>
    <mergeCell ref="B12:C12"/>
    <mergeCell ref="B13:C13"/>
    <mergeCell ref="B14:C14"/>
    <mergeCell ref="B15:C15"/>
    <mergeCell ref="D15:F15"/>
    <mergeCell ref="G15:M15"/>
    <mergeCell ref="B16:C16"/>
    <mergeCell ref="D16:M16"/>
    <mergeCell ref="A17:A18"/>
    <mergeCell ref="B17:B18"/>
    <mergeCell ref="D17:M17"/>
    <mergeCell ref="B19:C19"/>
    <mergeCell ref="B21:N21"/>
    <mergeCell ref="D22:N22"/>
    <mergeCell ref="A22:A24"/>
    <mergeCell ref="B22:C24"/>
    <mergeCell ref="D23:G23"/>
    <mergeCell ref="H23:I23"/>
    <mergeCell ref="J23:L23"/>
    <mergeCell ref="M23:N23"/>
    <mergeCell ref="J24:K24"/>
    <mergeCell ref="L28:L29"/>
    <mergeCell ref="M28:M29"/>
    <mergeCell ref="N28:N29"/>
    <mergeCell ref="B25:C25"/>
    <mergeCell ref="B26:C26"/>
    <mergeCell ref="E28:E29"/>
    <mergeCell ref="H28:H29"/>
    <mergeCell ref="I28:I29"/>
    <mergeCell ref="K28:K29"/>
    <mergeCell ref="M52:M53"/>
    <mergeCell ref="N52:N53"/>
    <mergeCell ref="L84:L85"/>
    <mergeCell ref="J90:L90"/>
    <mergeCell ref="M90:N90"/>
    <mergeCell ref="J74:L74"/>
    <mergeCell ref="M74:N74"/>
    <mergeCell ref="J82:L82"/>
    <mergeCell ref="M82:N82"/>
    <mergeCell ref="K84:K85"/>
    <mergeCell ref="M84:M85"/>
    <mergeCell ref="N84:N85"/>
    <mergeCell ref="L60:L61"/>
    <mergeCell ref="M60:M61"/>
    <mergeCell ref="N60:N61"/>
    <mergeCell ref="M68:M69"/>
    <mergeCell ref="N68:N69"/>
    <mergeCell ref="L52:L53"/>
    <mergeCell ref="M58:N58"/>
    <mergeCell ref="J66:L66"/>
    <mergeCell ref="M66:N66"/>
    <mergeCell ref="K68:K69"/>
    <mergeCell ref="L68:L69"/>
    <mergeCell ref="D52:D53"/>
    <mergeCell ref="E52:E53"/>
    <mergeCell ref="H52:H53"/>
    <mergeCell ref="I52:I53"/>
    <mergeCell ref="K52:K53"/>
    <mergeCell ref="B57:C57"/>
    <mergeCell ref="E60:E61"/>
    <mergeCell ref="H60:H61"/>
    <mergeCell ref="I60:I61"/>
    <mergeCell ref="K60:K61"/>
    <mergeCell ref="J58:L58"/>
    <mergeCell ref="D60:D61"/>
    <mergeCell ref="B89:C89"/>
    <mergeCell ref="E76:E77"/>
    <mergeCell ref="H76:H77"/>
    <mergeCell ref="I76:I77"/>
    <mergeCell ref="K76:K77"/>
    <mergeCell ref="L76:L77"/>
    <mergeCell ref="M76:M77"/>
    <mergeCell ref="N76:N77"/>
    <mergeCell ref="B65:C65"/>
    <mergeCell ref="D68:D69"/>
    <mergeCell ref="E68:E69"/>
    <mergeCell ref="H68:H69"/>
    <mergeCell ref="I68:I69"/>
    <mergeCell ref="B73:C73"/>
    <mergeCell ref="D76:D77"/>
    <mergeCell ref="B81:C81"/>
    <mergeCell ref="D84:D85"/>
    <mergeCell ref="E84:E85"/>
    <mergeCell ref="H84:H85"/>
    <mergeCell ref="I84:I85"/>
  </mergeCells>
  <conditionalFormatting sqref="D36">
    <cfRule type="expression" dxfId="41" priority="1">
      <formula>D36=""</formula>
    </cfRule>
  </conditionalFormatting>
  <conditionalFormatting sqref="D38:D40">
    <cfRule type="expression" dxfId="40" priority="2">
      <formula>D38=""</formula>
    </cfRule>
  </conditionalFormatting>
  <conditionalFormatting sqref="D44">
    <cfRule type="expression" dxfId="39" priority="3">
      <formula>D44=""</formula>
    </cfRule>
  </conditionalFormatting>
  <conditionalFormatting sqref="D46:D48">
    <cfRule type="expression" dxfId="38" priority="4">
      <formula>D46=""</formula>
    </cfRule>
  </conditionalFormatting>
  <conditionalFormatting sqref="D52">
    <cfRule type="expression" dxfId="37" priority="5">
      <formula>D52=""</formula>
    </cfRule>
  </conditionalFormatting>
  <conditionalFormatting sqref="D54:D56">
    <cfRule type="expression" dxfId="36" priority="6">
      <formula>D54=""</formula>
    </cfRule>
  </conditionalFormatting>
  <conditionalFormatting sqref="D60">
    <cfRule type="expression" dxfId="35" priority="7">
      <formula>D60=""</formula>
    </cfRule>
  </conditionalFormatting>
  <conditionalFormatting sqref="D62:D64">
    <cfRule type="expression" dxfId="34" priority="8">
      <formula>D62=""</formula>
    </cfRule>
  </conditionalFormatting>
  <conditionalFormatting sqref="D68">
    <cfRule type="expression" dxfId="33" priority="9">
      <formula>D68=""</formula>
    </cfRule>
  </conditionalFormatting>
  <conditionalFormatting sqref="D70:D72">
    <cfRule type="expression" dxfId="32" priority="10">
      <formula>D70=""</formula>
    </cfRule>
  </conditionalFormatting>
  <conditionalFormatting sqref="D76">
    <cfRule type="expression" dxfId="31" priority="11">
      <formula>D76=""</formula>
    </cfRule>
  </conditionalFormatting>
  <conditionalFormatting sqref="D78:D80">
    <cfRule type="expression" dxfId="30" priority="12">
      <formula>D78=""</formula>
    </cfRule>
  </conditionalFormatting>
  <conditionalFormatting sqref="D84">
    <cfRule type="expression" dxfId="29" priority="13">
      <formula>D84=""</formula>
    </cfRule>
  </conditionalFormatting>
  <conditionalFormatting sqref="D86:D88">
    <cfRule type="expression" dxfId="28" priority="14">
      <formula>D86=""</formula>
    </cfRule>
  </conditionalFormatting>
  <conditionalFormatting sqref="E38">
    <cfRule type="expression" dxfId="27" priority="15">
      <formula>E38=""</formula>
    </cfRule>
  </conditionalFormatting>
  <conditionalFormatting sqref="E46">
    <cfRule type="expression" dxfId="26" priority="16">
      <formula>E46=""</formula>
    </cfRule>
  </conditionalFormatting>
  <conditionalFormatting sqref="E54">
    <cfRule type="expression" dxfId="25" priority="17">
      <formula>E54=""</formula>
    </cfRule>
  </conditionalFormatting>
  <conditionalFormatting sqref="E62">
    <cfRule type="expression" dxfId="24" priority="18">
      <formula>E62=""</formula>
    </cfRule>
  </conditionalFormatting>
  <conditionalFormatting sqref="E70">
    <cfRule type="expression" dxfId="23" priority="19">
      <formula>E70=""</formula>
    </cfRule>
  </conditionalFormatting>
  <conditionalFormatting sqref="E78">
    <cfRule type="expression" dxfId="22" priority="20">
      <formula>E78=""</formula>
    </cfRule>
  </conditionalFormatting>
  <conditionalFormatting sqref="E86">
    <cfRule type="expression" dxfId="21" priority="21">
      <formula>E86=""</formula>
    </cfRule>
  </conditionalFormatting>
  <dataValidations count="2">
    <dataValidation type="list" allowBlank="1" showErrorMessage="1" sqref="D35 D43" xr:uid="{00000000-0002-0000-0900-000000000000}">
      <formula1>"AA(100),AA(150)"</formula1>
    </dataValidation>
    <dataValidation type="list" allowBlank="1" showErrorMessage="1" sqref="M27" xr:uid="{00000000-0002-0000-0900-000001000000}">
      <formula1>#REF!</formula1>
    </dataValidation>
  </dataValidation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topLeftCell="A24" workbookViewId="0">
      <selection activeCell="J44" sqref="J44"/>
    </sheetView>
  </sheetViews>
  <sheetFormatPr defaultColWidth="12.625" defaultRowHeight="15" customHeight="1" x14ac:dyDescent="0.2"/>
  <cols>
    <col min="1" max="1" width="3" customWidth="1"/>
    <col min="2" max="2" width="31.625" customWidth="1"/>
    <col min="3" max="3" width="4.875" customWidth="1"/>
    <col min="4" max="10" width="9.5" customWidth="1"/>
    <col min="11" max="11" width="10.875" customWidth="1"/>
    <col min="12" max="13" width="9.5" customWidth="1"/>
    <col min="14" max="14" width="9.625" customWidth="1"/>
    <col min="15" max="26" width="8" customWidth="1"/>
  </cols>
  <sheetData>
    <row r="1" spans="1:26" x14ac:dyDescent="0.25">
      <c r="A1" s="2"/>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5">
      <c r="A2" s="754" t="s">
        <v>1267</v>
      </c>
      <c r="B2" s="613"/>
      <c r="C2" s="613"/>
      <c r="D2" s="613"/>
      <c r="E2" s="613"/>
      <c r="F2" s="613"/>
      <c r="G2" s="613"/>
      <c r="H2" s="613"/>
      <c r="I2" s="613"/>
      <c r="J2" s="613"/>
      <c r="K2" s="613"/>
      <c r="L2" s="613"/>
      <c r="M2" s="613"/>
      <c r="N2" s="116"/>
      <c r="O2" s="116"/>
      <c r="P2" s="116"/>
      <c r="Q2" s="116"/>
      <c r="R2" s="116"/>
      <c r="S2" s="116"/>
      <c r="T2" s="116"/>
      <c r="U2" s="116"/>
      <c r="V2" s="116"/>
      <c r="W2" s="116"/>
      <c r="X2" s="116"/>
      <c r="Y2" s="116"/>
      <c r="Z2" s="116"/>
    </row>
    <row r="3" spans="1:26" x14ac:dyDescent="0.25">
      <c r="A3" s="754" t="s">
        <v>6</v>
      </c>
      <c r="B3" s="613"/>
      <c r="C3" s="613"/>
      <c r="D3" s="613"/>
      <c r="E3" s="613"/>
      <c r="F3" s="613"/>
      <c r="G3" s="613"/>
      <c r="H3" s="613"/>
      <c r="I3" s="613"/>
      <c r="J3" s="613"/>
      <c r="K3" s="613"/>
      <c r="L3" s="613"/>
      <c r="M3" s="613"/>
      <c r="N3" s="7"/>
      <c r="O3" s="7"/>
      <c r="P3" s="7"/>
      <c r="Q3" s="7"/>
      <c r="R3" s="7"/>
      <c r="S3" s="7"/>
      <c r="T3" s="7"/>
      <c r="U3" s="7"/>
      <c r="V3" s="7"/>
      <c r="W3" s="7"/>
      <c r="X3" s="7"/>
      <c r="Y3" s="7"/>
      <c r="Z3" s="7"/>
    </row>
    <row r="4" spans="1:26" x14ac:dyDescent="0.25">
      <c r="A4" s="754" t="s">
        <v>1268</v>
      </c>
      <c r="B4" s="613"/>
      <c r="C4" s="613"/>
      <c r="D4" s="613"/>
      <c r="E4" s="613"/>
      <c r="F4" s="613"/>
      <c r="G4" s="613"/>
      <c r="H4" s="613"/>
      <c r="I4" s="613"/>
      <c r="J4" s="613"/>
      <c r="K4" s="613"/>
      <c r="L4" s="613"/>
      <c r="M4" s="613"/>
      <c r="N4" s="7"/>
      <c r="O4" s="7"/>
      <c r="P4" s="7"/>
      <c r="Q4" s="7"/>
      <c r="R4" s="7"/>
      <c r="S4" s="7"/>
      <c r="T4" s="7"/>
      <c r="U4" s="7"/>
      <c r="V4" s="7"/>
      <c r="W4" s="7"/>
      <c r="X4" s="7"/>
      <c r="Y4" s="7"/>
      <c r="Z4" s="7"/>
    </row>
    <row r="5" spans="1:26" ht="6" customHeight="1" x14ac:dyDescent="0.25">
      <c r="A5" s="187"/>
      <c r="B5" s="187"/>
      <c r="C5" s="187"/>
      <c r="D5" s="187"/>
      <c r="E5" s="187"/>
      <c r="F5" s="187"/>
      <c r="G5" s="187"/>
      <c r="H5" s="187"/>
      <c r="I5" s="187"/>
      <c r="J5" s="187"/>
      <c r="K5" s="187"/>
      <c r="L5" s="187"/>
      <c r="M5" s="187"/>
      <c r="N5" s="7"/>
      <c r="O5" s="7"/>
      <c r="P5" s="7"/>
      <c r="Q5" s="7"/>
      <c r="R5" s="7"/>
      <c r="S5" s="7"/>
      <c r="T5" s="7"/>
      <c r="U5" s="7"/>
      <c r="V5" s="7"/>
      <c r="W5" s="7"/>
      <c r="X5" s="7"/>
      <c r="Y5" s="7"/>
      <c r="Z5" s="7"/>
    </row>
    <row r="6" spans="1:26" ht="6.75" customHeight="1" x14ac:dyDescent="0.25">
      <c r="A6" s="187"/>
      <c r="B6" s="187"/>
      <c r="C6" s="187"/>
      <c r="D6" s="187"/>
      <c r="E6" s="187"/>
      <c r="F6" s="187"/>
      <c r="G6" s="187"/>
      <c r="H6" s="187"/>
      <c r="I6" s="187"/>
      <c r="J6" s="187"/>
      <c r="K6" s="187"/>
      <c r="L6" s="187"/>
      <c r="M6" s="187"/>
      <c r="N6" s="2"/>
      <c r="O6" s="2"/>
      <c r="P6" s="2"/>
      <c r="Q6" s="2"/>
      <c r="R6" s="2"/>
      <c r="S6" s="2"/>
      <c r="T6" s="2"/>
      <c r="U6" s="2"/>
      <c r="V6" s="2"/>
      <c r="W6" s="2"/>
      <c r="X6" s="2"/>
      <c r="Y6" s="2"/>
      <c r="Z6" s="2"/>
    </row>
    <row r="7" spans="1:26" x14ac:dyDescent="0.25">
      <c r="A7" s="465" t="s">
        <v>1269</v>
      </c>
      <c r="B7" s="755" t="s">
        <v>1270</v>
      </c>
      <c r="C7" s="615"/>
      <c r="D7" s="615"/>
      <c r="E7" s="615"/>
      <c r="F7" s="615"/>
      <c r="G7" s="615"/>
      <c r="H7" s="615"/>
      <c r="I7" s="615"/>
      <c r="J7" s="615"/>
      <c r="K7" s="615"/>
      <c r="L7" s="615"/>
      <c r="M7" s="616"/>
      <c r="N7" s="2"/>
      <c r="O7" s="2"/>
      <c r="P7" s="2"/>
      <c r="Q7" s="2"/>
      <c r="R7" s="2"/>
      <c r="S7" s="2"/>
      <c r="T7" s="2"/>
      <c r="U7" s="2"/>
      <c r="V7" s="2"/>
      <c r="W7" s="2"/>
      <c r="X7" s="2"/>
      <c r="Y7" s="2"/>
      <c r="Z7" s="2"/>
    </row>
    <row r="8" spans="1:26" ht="15" customHeight="1" x14ac:dyDescent="0.25">
      <c r="A8" s="188">
        <v>1</v>
      </c>
      <c r="B8" s="625" t="s">
        <v>19</v>
      </c>
      <c r="C8" s="616"/>
      <c r="D8" s="465" t="str">
        <f>'LAMPIRAN I DONE'!F15</f>
        <v>Dahliar Ananda</v>
      </c>
      <c r="E8" s="466"/>
      <c r="F8" s="466"/>
      <c r="G8" s="466"/>
      <c r="H8" s="466"/>
      <c r="I8" s="466"/>
      <c r="J8" s="466"/>
      <c r="K8" s="466"/>
      <c r="L8" s="466"/>
      <c r="M8" s="467"/>
      <c r="N8" s="2"/>
      <c r="O8" s="2"/>
      <c r="P8" s="2"/>
      <c r="Q8" s="2"/>
      <c r="R8" s="2"/>
      <c r="S8" s="2"/>
      <c r="T8" s="2"/>
      <c r="U8" s="2"/>
      <c r="V8" s="2"/>
      <c r="W8" s="2"/>
      <c r="X8" s="2"/>
      <c r="Y8" s="2"/>
      <c r="Z8" s="2"/>
    </row>
    <row r="9" spans="1:26" ht="15" customHeight="1" x14ac:dyDescent="0.25">
      <c r="A9" s="188">
        <v>2</v>
      </c>
      <c r="B9" s="625" t="s">
        <v>1271</v>
      </c>
      <c r="C9" s="616"/>
      <c r="D9" s="465" t="str">
        <f>'LAMPIRAN I DONE'!F16</f>
        <v>0402058203 / 09820030</v>
      </c>
      <c r="E9" s="466"/>
      <c r="F9" s="466"/>
      <c r="G9" s="466"/>
      <c r="H9" s="466"/>
      <c r="I9" s="466"/>
      <c r="J9" s="466"/>
      <c r="K9" s="466"/>
      <c r="L9" s="466"/>
      <c r="M9" s="467"/>
      <c r="N9" s="2"/>
      <c r="O9" s="2"/>
      <c r="P9" s="2"/>
      <c r="Q9" s="2"/>
      <c r="R9" s="2"/>
      <c r="S9" s="2"/>
      <c r="T9" s="2"/>
      <c r="U9" s="2"/>
      <c r="V9" s="2"/>
      <c r="W9" s="2"/>
      <c r="X9" s="2"/>
      <c r="Y9" s="2"/>
      <c r="Z9" s="2"/>
    </row>
    <row r="10" spans="1:26" ht="15" customHeight="1" x14ac:dyDescent="0.25">
      <c r="A10" s="188">
        <v>3</v>
      </c>
      <c r="B10" s="625" t="s">
        <v>1272</v>
      </c>
      <c r="C10" s="616"/>
      <c r="D10" s="465" t="s">
        <v>26</v>
      </c>
      <c r="E10" s="466"/>
      <c r="F10" s="466"/>
      <c r="G10" s="466"/>
      <c r="H10" s="466"/>
      <c r="I10" s="466"/>
      <c r="J10" s="466"/>
      <c r="K10" s="466"/>
      <c r="L10" s="466"/>
      <c r="M10" s="467"/>
      <c r="N10" s="2"/>
      <c r="O10" s="2"/>
      <c r="P10" s="2"/>
      <c r="Q10" s="2"/>
      <c r="R10" s="2"/>
      <c r="S10" s="2"/>
      <c r="T10" s="2"/>
      <c r="U10" s="2"/>
      <c r="V10" s="2"/>
      <c r="W10" s="2"/>
      <c r="X10" s="2"/>
      <c r="Y10" s="2"/>
      <c r="Z10" s="2"/>
    </row>
    <row r="11" spans="1:26" x14ac:dyDescent="0.25">
      <c r="A11" s="188">
        <v>4</v>
      </c>
      <c r="B11" s="625" t="s">
        <v>28</v>
      </c>
      <c r="C11" s="616"/>
      <c r="D11" s="465" t="str">
        <f>'LAMPIRAN I DONE'!F18</f>
        <v>Banyuwangi, 2 Mei 1982</v>
      </c>
      <c r="E11" s="466"/>
      <c r="F11" s="466"/>
      <c r="G11" s="466"/>
      <c r="H11" s="466"/>
      <c r="I11" s="466"/>
      <c r="J11" s="466"/>
      <c r="K11" s="466"/>
      <c r="L11" s="466"/>
      <c r="M11" s="467"/>
      <c r="N11" s="2"/>
      <c r="O11" s="2"/>
      <c r="P11" s="2"/>
      <c r="Q11" s="2"/>
      <c r="R11" s="2"/>
      <c r="S11" s="2"/>
      <c r="T11" s="2"/>
      <c r="U11" s="2"/>
      <c r="V11" s="2"/>
      <c r="W11" s="2"/>
      <c r="X11" s="2"/>
      <c r="Y11" s="2"/>
      <c r="Z11" s="2"/>
    </row>
    <row r="12" spans="1:26" x14ac:dyDescent="0.25">
      <c r="A12" s="188">
        <v>5</v>
      </c>
      <c r="B12" s="625" t="s">
        <v>31</v>
      </c>
      <c r="C12" s="616"/>
      <c r="D12" s="465" t="str">
        <f>'LAMPIRAN I DONE'!F19</f>
        <v>Laki-laki</v>
      </c>
      <c r="E12" s="466"/>
      <c r="F12" s="466"/>
      <c r="G12" s="466"/>
      <c r="H12" s="466"/>
      <c r="I12" s="466"/>
      <c r="J12" s="466"/>
      <c r="K12" s="466"/>
      <c r="L12" s="466"/>
      <c r="M12" s="467"/>
      <c r="N12" s="2"/>
      <c r="O12" s="2"/>
      <c r="P12" s="2"/>
      <c r="Q12" s="2"/>
      <c r="R12" s="2"/>
      <c r="S12" s="2"/>
      <c r="T12" s="2"/>
      <c r="U12" s="2"/>
      <c r="V12" s="2"/>
      <c r="W12" s="2"/>
      <c r="X12" s="2"/>
      <c r="Y12" s="2"/>
      <c r="Z12" s="2"/>
    </row>
    <row r="13" spans="1:26" x14ac:dyDescent="0.25">
      <c r="A13" s="188">
        <v>6</v>
      </c>
      <c r="B13" s="625" t="s">
        <v>1273</v>
      </c>
      <c r="C13" s="616"/>
      <c r="D13" s="465" t="str">
        <f>'LAMPIRAN I DONE'!F20</f>
        <v>Magister (S2)</v>
      </c>
      <c r="E13" s="466"/>
      <c r="F13" s="466"/>
      <c r="G13" s="466"/>
      <c r="H13" s="466"/>
      <c r="I13" s="466"/>
      <c r="J13" s="466"/>
      <c r="K13" s="466"/>
      <c r="L13" s="466"/>
      <c r="M13" s="467"/>
      <c r="N13" s="2"/>
      <c r="O13" s="2"/>
      <c r="P13" s="2"/>
      <c r="Q13" s="2"/>
      <c r="R13" s="2"/>
      <c r="S13" s="2"/>
      <c r="T13" s="2"/>
      <c r="U13" s="2"/>
      <c r="V13" s="2"/>
      <c r="W13" s="2"/>
      <c r="X13" s="2"/>
      <c r="Y13" s="2"/>
      <c r="Z13" s="2"/>
    </row>
    <row r="14" spans="1:26" x14ac:dyDescent="0.25">
      <c r="A14" s="189">
        <v>7</v>
      </c>
      <c r="B14" s="756" t="s">
        <v>1274</v>
      </c>
      <c r="C14" s="616"/>
      <c r="D14" s="392" t="str">
        <f>'LAMPIRAN II DONE'!C19</f>
        <v>-</v>
      </c>
      <c r="E14" s="468"/>
      <c r="F14" s="468"/>
      <c r="G14" s="468"/>
      <c r="H14" s="468"/>
      <c r="I14" s="468"/>
      <c r="J14" s="468"/>
      <c r="K14" s="468"/>
      <c r="L14" s="468"/>
      <c r="M14" s="469"/>
      <c r="N14" s="2"/>
      <c r="O14" s="2"/>
      <c r="P14" s="2"/>
      <c r="Q14" s="2"/>
      <c r="R14" s="2"/>
      <c r="S14" s="2"/>
      <c r="T14" s="2"/>
      <c r="U14" s="2"/>
      <c r="V14" s="2"/>
      <c r="W14" s="2"/>
      <c r="X14" s="2"/>
      <c r="Y14" s="2"/>
      <c r="Z14" s="2"/>
    </row>
    <row r="15" spans="1:26" ht="18" customHeight="1" x14ac:dyDescent="0.25">
      <c r="A15" s="189">
        <v>8</v>
      </c>
      <c r="B15" s="756" t="s">
        <v>1275</v>
      </c>
      <c r="C15" s="616"/>
      <c r="D15" s="622" t="str">
        <f>'LAMPIRAN I DONE'!F21</f>
        <v>Lektor</v>
      </c>
      <c r="E15" s="615"/>
      <c r="F15" s="615"/>
      <c r="G15" s="757">
        <f>'LAMPIRAN I DONE'!I21</f>
        <v>40848</v>
      </c>
      <c r="H15" s="615"/>
      <c r="I15" s="615"/>
      <c r="J15" s="615"/>
      <c r="K15" s="615"/>
      <c r="L15" s="615"/>
      <c r="M15" s="616"/>
      <c r="N15" s="2"/>
      <c r="O15" s="2"/>
      <c r="P15" s="2"/>
      <c r="Q15" s="2"/>
      <c r="R15" s="2"/>
      <c r="S15" s="2"/>
      <c r="T15" s="2"/>
      <c r="U15" s="2"/>
      <c r="V15" s="2"/>
      <c r="W15" s="2"/>
      <c r="X15" s="2"/>
      <c r="Y15" s="2"/>
      <c r="Z15" s="2"/>
    </row>
    <row r="16" spans="1:26" x14ac:dyDescent="0.25">
      <c r="A16" s="189">
        <v>9</v>
      </c>
      <c r="B16" s="756" t="s">
        <v>38</v>
      </c>
      <c r="C16" s="616"/>
      <c r="D16" s="622" t="str">
        <f>'LAMPIRAN I DONE'!F22</f>
        <v>S1 Rekayasa Perangkat Lunak Kampus Surabaya Fakultas Informatika</v>
      </c>
      <c r="E16" s="615"/>
      <c r="F16" s="615"/>
      <c r="G16" s="615"/>
      <c r="H16" s="615"/>
      <c r="I16" s="615"/>
      <c r="J16" s="615"/>
      <c r="K16" s="615"/>
      <c r="L16" s="615"/>
      <c r="M16" s="616"/>
      <c r="N16" s="2"/>
      <c r="O16" s="2"/>
      <c r="P16" s="2"/>
      <c r="Q16" s="2"/>
      <c r="R16" s="2"/>
      <c r="S16" s="2"/>
      <c r="T16" s="2"/>
      <c r="U16" s="2"/>
      <c r="V16" s="2"/>
      <c r="W16" s="2"/>
      <c r="X16" s="2"/>
      <c r="Y16" s="2"/>
      <c r="Z16" s="2"/>
    </row>
    <row r="17" spans="1:26" x14ac:dyDescent="0.25">
      <c r="A17" s="758">
        <v>10</v>
      </c>
      <c r="B17" s="759" t="s">
        <v>1276</v>
      </c>
      <c r="C17" s="178" t="s">
        <v>1277</v>
      </c>
      <c r="D17" s="621" t="s">
        <v>26</v>
      </c>
      <c r="E17" s="615"/>
      <c r="F17" s="615"/>
      <c r="G17" s="615"/>
      <c r="H17" s="615"/>
      <c r="I17" s="615"/>
      <c r="J17" s="615"/>
      <c r="K17" s="615"/>
      <c r="L17" s="615"/>
      <c r="M17" s="616"/>
      <c r="N17" s="2"/>
      <c r="O17" s="2"/>
      <c r="P17" s="2"/>
      <c r="Q17" s="2"/>
      <c r="R17" s="2"/>
      <c r="S17" s="2"/>
      <c r="T17" s="2"/>
      <c r="U17" s="2"/>
      <c r="V17" s="2"/>
      <c r="W17" s="2"/>
      <c r="X17" s="2"/>
      <c r="Y17" s="2"/>
      <c r="Z17" s="2"/>
    </row>
    <row r="18" spans="1:26" x14ac:dyDescent="0.25">
      <c r="A18" s="631"/>
      <c r="B18" s="636"/>
      <c r="C18" s="178" t="s">
        <v>1278</v>
      </c>
      <c r="D18" s="465">
        <f>'LAMPIRAN I DONE'!F24</f>
        <v>0</v>
      </c>
      <c r="E18" s="466"/>
      <c r="F18" s="466"/>
      <c r="G18" s="466"/>
      <c r="H18" s="466"/>
      <c r="I18" s="466"/>
      <c r="J18" s="466"/>
      <c r="K18" s="466"/>
      <c r="L18" s="466"/>
      <c r="M18" s="467"/>
      <c r="N18" s="2"/>
      <c r="O18" s="2"/>
      <c r="P18" s="2"/>
      <c r="Q18" s="2"/>
      <c r="R18" s="2"/>
      <c r="S18" s="2"/>
      <c r="T18" s="2"/>
      <c r="U18" s="2"/>
      <c r="V18" s="2"/>
      <c r="W18" s="2"/>
      <c r="X18" s="2"/>
      <c r="Y18" s="2"/>
      <c r="Z18" s="2"/>
    </row>
    <row r="19" spans="1:26" x14ac:dyDescent="0.25">
      <c r="A19" s="189">
        <v>11</v>
      </c>
      <c r="B19" s="705" t="s">
        <v>286</v>
      </c>
      <c r="C19" s="616"/>
      <c r="D19" s="465" t="str">
        <f>'LAMPIRAN I DONE'!F25</f>
        <v>S1 Rekayasa Perangkat Lunak Kampus Surabaya Fakultas Informatika di Universitas Telkom pada LLDIKTI Wilayah IV Jawa Barat dan Banten</v>
      </c>
      <c r="E19" s="470"/>
      <c r="F19" s="470"/>
      <c r="G19" s="470"/>
      <c r="H19" s="470"/>
      <c r="I19" s="470"/>
      <c r="J19" s="470"/>
      <c r="K19" s="470"/>
      <c r="L19" s="470"/>
      <c r="M19" s="471"/>
      <c r="N19" s="2"/>
      <c r="O19" s="2"/>
      <c r="P19" s="2"/>
      <c r="Q19" s="2"/>
      <c r="R19" s="2"/>
      <c r="S19" s="2"/>
      <c r="T19" s="2"/>
      <c r="U19" s="2"/>
      <c r="V19" s="2"/>
      <c r="W19" s="2"/>
      <c r="X19" s="2"/>
      <c r="Y19" s="2"/>
      <c r="Z19" s="2"/>
    </row>
    <row r="20" spans="1:26" x14ac:dyDescent="0.25">
      <c r="A20" s="187"/>
      <c r="B20" s="187"/>
      <c r="C20" s="187"/>
      <c r="D20" s="187"/>
      <c r="E20" s="187"/>
      <c r="F20" s="187"/>
      <c r="G20" s="187"/>
      <c r="H20" s="187"/>
      <c r="I20" s="187"/>
      <c r="J20" s="187"/>
      <c r="K20" s="187"/>
      <c r="L20" s="187"/>
      <c r="M20" s="187"/>
      <c r="N20" s="2"/>
      <c r="O20" s="2"/>
      <c r="P20" s="2"/>
      <c r="Q20" s="2"/>
      <c r="R20" s="2"/>
      <c r="S20" s="2"/>
      <c r="T20" s="2"/>
      <c r="U20" s="2"/>
      <c r="V20" s="2"/>
      <c r="W20" s="2"/>
      <c r="X20" s="2"/>
      <c r="Y20" s="2"/>
      <c r="Z20" s="2"/>
    </row>
    <row r="21" spans="1:26" ht="15.75" customHeight="1" x14ac:dyDescent="0.25">
      <c r="A21" s="465" t="s">
        <v>1279</v>
      </c>
      <c r="B21" s="760" t="s">
        <v>1280</v>
      </c>
      <c r="C21" s="747"/>
      <c r="D21" s="747"/>
      <c r="E21" s="747"/>
      <c r="F21" s="747"/>
      <c r="G21" s="747"/>
      <c r="H21" s="747"/>
      <c r="I21" s="747"/>
      <c r="J21" s="747"/>
      <c r="K21" s="747"/>
      <c r="L21" s="747"/>
      <c r="M21" s="747"/>
      <c r="N21" s="748"/>
      <c r="O21" s="2"/>
      <c r="P21" s="2"/>
      <c r="Q21" s="2"/>
      <c r="R21" s="2"/>
      <c r="S21" s="2"/>
      <c r="T21" s="2"/>
      <c r="U21" s="2"/>
      <c r="V21" s="2"/>
      <c r="W21" s="2"/>
      <c r="X21" s="2"/>
      <c r="Y21" s="2"/>
      <c r="Z21" s="2"/>
    </row>
    <row r="22" spans="1:26" ht="15.75" customHeight="1" x14ac:dyDescent="0.25">
      <c r="A22" s="761" t="s">
        <v>1196</v>
      </c>
      <c r="B22" s="741" t="s">
        <v>1281</v>
      </c>
      <c r="C22" s="742"/>
      <c r="D22" s="760" t="s">
        <v>1282</v>
      </c>
      <c r="E22" s="747"/>
      <c r="F22" s="747"/>
      <c r="G22" s="747"/>
      <c r="H22" s="747"/>
      <c r="I22" s="747"/>
      <c r="J22" s="747"/>
      <c r="K22" s="747"/>
      <c r="L22" s="747"/>
      <c r="M22" s="747"/>
      <c r="N22" s="748"/>
      <c r="O22" s="2"/>
      <c r="P22" s="2"/>
      <c r="Q22" s="2"/>
      <c r="R22" s="11"/>
      <c r="S22" s="2"/>
      <c r="T22" s="2"/>
      <c r="U22" s="2"/>
      <c r="V22" s="2"/>
      <c r="W22" s="2"/>
      <c r="X22" s="2"/>
      <c r="Y22" s="2"/>
      <c r="Z22" s="2"/>
    </row>
    <row r="23" spans="1:26" ht="40.5" customHeight="1" x14ac:dyDescent="0.25">
      <c r="A23" s="635"/>
      <c r="B23" s="743"/>
      <c r="C23" s="613"/>
      <c r="D23" s="746" t="s">
        <v>1283</v>
      </c>
      <c r="E23" s="747"/>
      <c r="F23" s="747"/>
      <c r="G23" s="748"/>
      <c r="H23" s="746" t="s">
        <v>1284</v>
      </c>
      <c r="I23" s="748"/>
      <c r="J23" s="746" t="s">
        <v>1285</v>
      </c>
      <c r="K23" s="747"/>
      <c r="L23" s="748"/>
      <c r="M23" s="749" t="s">
        <v>1286</v>
      </c>
      <c r="N23" s="748"/>
      <c r="O23" s="2"/>
      <c r="P23" s="2"/>
      <c r="Q23" s="2"/>
      <c r="R23" s="2"/>
      <c r="S23" s="2"/>
      <c r="T23" s="2"/>
      <c r="U23" s="2"/>
      <c r="V23" s="2"/>
      <c r="W23" s="2"/>
      <c r="X23" s="2"/>
      <c r="Y23" s="2"/>
      <c r="Z23" s="2"/>
    </row>
    <row r="24" spans="1:26" ht="45" x14ac:dyDescent="0.25">
      <c r="A24" s="636"/>
      <c r="B24" s="744"/>
      <c r="C24" s="745"/>
      <c r="D24" s="472" t="s">
        <v>1287</v>
      </c>
      <c r="E24" s="190" t="s">
        <v>1288</v>
      </c>
      <c r="F24" s="472" t="s">
        <v>1289</v>
      </c>
      <c r="G24" s="473" t="s">
        <v>1290</v>
      </c>
      <c r="H24" s="472" t="s">
        <v>1291</v>
      </c>
      <c r="I24" s="473" t="s">
        <v>1292</v>
      </c>
      <c r="J24" s="746" t="s">
        <v>1293</v>
      </c>
      <c r="K24" s="750"/>
      <c r="L24" s="473" t="s">
        <v>1294</v>
      </c>
      <c r="M24" s="191" t="s">
        <v>1295</v>
      </c>
      <c r="N24" s="192" t="s">
        <v>1294</v>
      </c>
      <c r="O24" s="2"/>
      <c r="P24" s="2"/>
      <c r="Q24" s="2"/>
      <c r="R24" s="2"/>
      <c r="S24" s="2"/>
      <c r="T24" s="2"/>
      <c r="U24" s="2"/>
      <c r="V24" s="2"/>
      <c r="W24" s="2"/>
      <c r="X24" s="2"/>
      <c r="Y24" s="2"/>
      <c r="Z24" s="2"/>
    </row>
    <row r="25" spans="1:26" ht="15.75" customHeight="1" x14ac:dyDescent="0.25">
      <c r="A25" s="474" t="s">
        <v>1296</v>
      </c>
      <c r="B25" s="752" t="s">
        <v>1297</v>
      </c>
      <c r="C25" s="637"/>
      <c r="D25" s="193" t="s">
        <v>1298</v>
      </c>
      <c r="E25" s="193" t="s">
        <v>1299</v>
      </c>
      <c r="F25" s="193" t="s">
        <v>1300</v>
      </c>
      <c r="G25" s="194" t="s">
        <v>1301</v>
      </c>
      <c r="H25" s="193" t="s">
        <v>1302</v>
      </c>
      <c r="I25" s="194" t="s">
        <v>1303</v>
      </c>
      <c r="J25" s="475" t="s">
        <v>1303</v>
      </c>
      <c r="K25" s="194" t="s">
        <v>1304</v>
      </c>
      <c r="L25" s="193" t="s">
        <v>1305</v>
      </c>
      <c r="M25" s="194" t="s">
        <v>1306</v>
      </c>
      <c r="N25" s="194" t="s">
        <v>1307</v>
      </c>
      <c r="O25" s="2"/>
      <c r="P25" s="2"/>
      <c r="Q25" s="2"/>
      <c r="R25" s="2"/>
      <c r="S25" s="2"/>
      <c r="T25" s="2"/>
      <c r="U25" s="2"/>
      <c r="V25" s="2"/>
      <c r="W25" s="2"/>
      <c r="X25" s="2"/>
      <c r="Y25" s="2"/>
      <c r="Z25" s="2"/>
    </row>
    <row r="26" spans="1:26" ht="15.75" customHeight="1" x14ac:dyDescent="0.2">
      <c r="A26" s="476"/>
      <c r="B26" s="753"/>
      <c r="C26" s="615"/>
      <c r="D26" s="195"/>
      <c r="E26" s="477"/>
      <c r="F26" s="196"/>
      <c r="G26" s="197"/>
      <c r="H26" s="195"/>
      <c r="I26" s="198"/>
      <c r="J26" s="196"/>
      <c r="K26" s="196"/>
      <c r="L26" s="478"/>
      <c r="M26" s="199"/>
      <c r="N26" s="479"/>
      <c r="O26" s="200"/>
      <c r="P26" s="200"/>
      <c r="Q26" s="200"/>
      <c r="R26" s="200"/>
      <c r="S26" s="200"/>
      <c r="T26" s="200"/>
      <c r="U26" s="200"/>
      <c r="V26" s="200"/>
      <c r="W26" s="200"/>
      <c r="X26" s="200"/>
      <c r="Y26" s="200"/>
      <c r="Z26" s="200"/>
    </row>
    <row r="27" spans="1:26" ht="15.75" customHeight="1" x14ac:dyDescent="0.2">
      <c r="A27" s="480" t="s">
        <v>1308</v>
      </c>
      <c r="B27" s="481" t="s">
        <v>920</v>
      </c>
      <c r="C27" s="201" t="str">
        <f>IF('LAMPIRAN I DONE'!F20="magister (S2)","S2",IF('LAMPIRAN I DONE'!F20="Doktor (S3)","S3",""))</f>
        <v>S2</v>
      </c>
      <c r="D27" s="202"/>
      <c r="E27" s="482"/>
      <c r="F27" s="203"/>
      <c r="G27" s="204"/>
      <c r="H27" s="202"/>
      <c r="I27" s="205"/>
      <c r="J27" s="203"/>
      <c r="K27" s="203"/>
      <c r="L27" s="204"/>
      <c r="M27" s="206"/>
      <c r="N27" s="204"/>
      <c r="O27" s="207"/>
      <c r="P27" s="207"/>
      <c r="Q27" s="207"/>
      <c r="R27" s="207"/>
      <c r="S27" s="207"/>
      <c r="T27" s="207"/>
      <c r="U27" s="207"/>
      <c r="V27" s="207"/>
      <c r="W27" s="207"/>
      <c r="X27" s="207"/>
      <c r="Y27" s="207"/>
      <c r="Z27" s="207"/>
    </row>
    <row r="28" spans="1:26" ht="15.75" customHeight="1" x14ac:dyDescent="0.2">
      <c r="A28" s="483">
        <v>1</v>
      </c>
      <c r="B28" s="484" t="s">
        <v>1309</v>
      </c>
      <c r="C28" s="485"/>
      <c r="D28" s="762"/>
      <c r="E28" s="728"/>
      <c r="F28" s="486"/>
      <c r="G28" s="487"/>
      <c r="H28" s="729">
        <f>45%*(150-D33)</f>
        <v>67.5</v>
      </c>
      <c r="I28" s="731" t="s">
        <v>932</v>
      </c>
      <c r="J28" s="488" t="str">
        <f>IF('LAMPIRAN I DONE'!$F$21="tenaga pengajar",'LAMPIRAN I DONE'!$G$34,"")</f>
        <v/>
      </c>
      <c r="K28" s="733" t="str">
        <f>IFERROR(J28+J29,"")</f>
        <v/>
      </c>
      <c r="L28" s="734" t="str">
        <f>IFERROR(K28/H33,"")</f>
        <v/>
      </c>
      <c r="M28" s="729"/>
      <c r="N28" s="751"/>
      <c r="O28" s="164"/>
      <c r="P28" s="164"/>
      <c r="Q28" s="164"/>
      <c r="R28" s="164"/>
      <c r="S28" s="164"/>
      <c r="T28" s="164"/>
      <c r="U28" s="164"/>
      <c r="V28" s="164"/>
      <c r="W28" s="164"/>
      <c r="X28" s="164"/>
      <c r="Y28" s="164"/>
      <c r="Z28" s="164"/>
    </row>
    <row r="29" spans="1:26" ht="15.75" customHeight="1" x14ac:dyDescent="0.2">
      <c r="A29" s="483">
        <v>2</v>
      </c>
      <c r="B29" s="484" t="s">
        <v>1310</v>
      </c>
      <c r="C29" s="485"/>
      <c r="D29" s="763"/>
      <c r="E29" s="631"/>
      <c r="F29" s="490"/>
      <c r="G29" s="208"/>
      <c r="H29" s="730"/>
      <c r="I29" s="732"/>
      <c r="J29" s="488" t="str">
        <f>IF('LAMPIRAN I DONE'!$F$21="tenaga pengajar",'LAMPIRAN I DONE'!$G$50,"")</f>
        <v/>
      </c>
      <c r="K29" s="631"/>
      <c r="L29" s="732"/>
      <c r="M29" s="730"/>
      <c r="N29" s="732"/>
      <c r="O29" s="164"/>
      <c r="P29" s="164"/>
      <c r="Q29" s="164"/>
      <c r="R29" s="164"/>
      <c r="S29" s="164"/>
      <c r="T29" s="164"/>
      <c r="U29" s="164"/>
      <c r="V29" s="164"/>
      <c r="W29" s="164"/>
      <c r="X29" s="164"/>
      <c r="Y29" s="164"/>
      <c r="Z29" s="164"/>
    </row>
    <row r="30" spans="1:26" ht="15.75" customHeight="1" x14ac:dyDescent="0.2">
      <c r="A30" s="483">
        <v>3</v>
      </c>
      <c r="B30" s="491" t="s">
        <v>1311</v>
      </c>
      <c r="C30" s="421"/>
      <c r="D30" s="209"/>
      <c r="E30" s="210"/>
      <c r="F30" s="211"/>
      <c r="G30" s="205"/>
      <c r="H30" s="212">
        <f>35%*(150-D33)</f>
        <v>52.5</v>
      </c>
      <c r="I30" s="213" t="s">
        <v>933</v>
      </c>
      <c r="J30" s="488" t="str">
        <f>IF('LAMPIRAN I DONE'!$F$21="tenaga pengajar",'LAMPIRAN I DONE'!$G$76,"")</f>
        <v/>
      </c>
      <c r="K30" s="492" t="str">
        <f>J30</f>
        <v/>
      </c>
      <c r="L30" s="489" t="str">
        <f>IFERROR(K30/H33,"")</f>
        <v/>
      </c>
      <c r="M30" s="493"/>
      <c r="N30" s="489"/>
      <c r="O30" s="164"/>
      <c r="P30" s="164"/>
      <c r="Q30" s="164"/>
      <c r="R30" s="164"/>
      <c r="S30" s="164"/>
      <c r="T30" s="164"/>
      <c r="U30" s="164"/>
      <c r="V30" s="164"/>
      <c r="W30" s="164"/>
      <c r="X30" s="164"/>
      <c r="Y30" s="164"/>
      <c r="Z30" s="164"/>
    </row>
    <row r="31" spans="1:26" ht="15.75" customHeight="1" x14ac:dyDescent="0.2">
      <c r="A31" s="483">
        <v>4</v>
      </c>
      <c r="B31" s="491" t="s">
        <v>1312</v>
      </c>
      <c r="C31" s="421"/>
      <c r="D31" s="209"/>
      <c r="E31" s="210"/>
      <c r="F31" s="211"/>
      <c r="G31" s="205"/>
      <c r="H31" s="212">
        <f>10%*(150-D33)</f>
        <v>15</v>
      </c>
      <c r="I31" s="213" t="s">
        <v>923</v>
      </c>
      <c r="J31" s="488" t="str">
        <f>IF('LAMPIRAN I DONE'!$F$21="tenaga pengajar",'LAMPIRAN I DONE'!$G$83,"")</f>
        <v/>
      </c>
      <c r="K31" s="492" t="str">
        <f>IF(J31="","",IF(J31&gt;(10/100*(H33)),(10/100*(H33)),J31))</f>
        <v/>
      </c>
      <c r="L31" s="489" t="str">
        <f>IFERROR(K31/H33,"")</f>
        <v/>
      </c>
      <c r="M31" s="493"/>
      <c r="N31" s="489"/>
      <c r="O31" s="164"/>
      <c r="P31" s="164"/>
      <c r="Q31" s="164"/>
      <c r="R31" s="164"/>
      <c r="S31" s="164"/>
      <c r="T31" s="164"/>
      <c r="U31" s="164"/>
      <c r="V31" s="164"/>
      <c r="W31" s="164"/>
      <c r="X31" s="164"/>
      <c r="Y31" s="164"/>
      <c r="Z31" s="164"/>
    </row>
    <row r="32" spans="1:26" ht="15.75" customHeight="1" x14ac:dyDescent="0.2">
      <c r="A32" s="483">
        <v>5</v>
      </c>
      <c r="B32" s="491" t="s">
        <v>1313</v>
      </c>
      <c r="C32" s="421"/>
      <c r="D32" s="209"/>
      <c r="E32" s="210"/>
      <c r="F32" s="211"/>
      <c r="G32" s="205"/>
      <c r="H32" s="212">
        <f>10%*(150-D33)</f>
        <v>15</v>
      </c>
      <c r="I32" s="213" t="s">
        <v>923</v>
      </c>
      <c r="J32" s="488" t="str">
        <f>IF('LAMPIRAN I DONE'!$F$21="tenaga pengajar",'LAMPIRAN I DONE'!$G$96,"")</f>
        <v/>
      </c>
      <c r="K32" s="214" t="str">
        <f>IF(J31="","",IF(J31&gt;(10/100*(H33)),(10/100*(H33)),J31))</f>
        <v/>
      </c>
      <c r="L32" s="489" t="str">
        <f>IFERROR(K32/H33,"")</f>
        <v/>
      </c>
      <c r="M32" s="493"/>
      <c r="N32" s="489"/>
      <c r="O32" s="164"/>
      <c r="P32" s="164"/>
      <c r="Q32" s="164"/>
      <c r="R32" s="164"/>
      <c r="S32" s="164"/>
      <c r="T32" s="164"/>
      <c r="U32" s="164"/>
      <c r="V32" s="164"/>
      <c r="W32" s="164"/>
      <c r="X32" s="164"/>
      <c r="Y32" s="164"/>
      <c r="Z32" s="164"/>
    </row>
    <row r="33" spans="1:26" ht="15.75" customHeight="1" x14ac:dyDescent="0.2">
      <c r="A33" s="494"/>
      <c r="B33" s="737" t="s">
        <v>1314</v>
      </c>
      <c r="C33" s="615"/>
      <c r="D33" s="495">
        <f>SUM(D28:D32)</f>
        <v>0</v>
      </c>
      <c r="E33" s="215"/>
      <c r="F33" s="215">
        <f t="shared" ref="F33:H33" si="0">SUM(F28:F32)</f>
        <v>0</v>
      </c>
      <c r="G33" s="216">
        <f t="shared" si="0"/>
        <v>0</v>
      </c>
      <c r="H33" s="217">
        <f t="shared" si="0"/>
        <v>150</v>
      </c>
      <c r="I33" s="218"/>
      <c r="J33" s="215">
        <f>SUM(J28:J32)</f>
        <v>0</v>
      </c>
      <c r="K33" s="215"/>
      <c r="L33" s="218"/>
      <c r="M33" s="217"/>
      <c r="N33" s="216"/>
      <c r="O33" s="10"/>
      <c r="P33" s="10"/>
      <c r="Q33" s="10"/>
      <c r="R33" s="10"/>
      <c r="S33" s="10"/>
      <c r="T33" s="10"/>
      <c r="U33" s="10"/>
      <c r="V33" s="10"/>
      <c r="W33" s="10"/>
      <c r="X33" s="10"/>
      <c r="Y33" s="10"/>
      <c r="Z33" s="10"/>
    </row>
    <row r="34" spans="1:26" ht="15.75" customHeight="1" x14ac:dyDescent="0.2">
      <c r="A34" s="483"/>
      <c r="B34" s="491"/>
      <c r="C34" s="421"/>
      <c r="D34" s="496"/>
      <c r="E34" s="214"/>
      <c r="F34" s="214"/>
      <c r="G34" s="219"/>
      <c r="H34" s="212"/>
      <c r="I34" s="220"/>
      <c r="J34" s="214"/>
      <c r="K34" s="214"/>
      <c r="L34" s="220"/>
      <c r="M34" s="212"/>
      <c r="N34" s="219"/>
      <c r="O34" s="164"/>
      <c r="P34" s="164"/>
      <c r="Q34" s="164"/>
      <c r="R34" s="164"/>
      <c r="S34" s="164"/>
      <c r="T34" s="164"/>
      <c r="U34" s="164"/>
      <c r="V34" s="164"/>
      <c r="W34" s="164"/>
      <c r="X34" s="164"/>
      <c r="Y34" s="164"/>
      <c r="Z34" s="164"/>
    </row>
    <row r="35" spans="1:26" ht="15.75" customHeight="1" x14ac:dyDescent="0.2">
      <c r="A35" s="480" t="s">
        <v>1315</v>
      </c>
      <c r="B35" s="481" t="s">
        <v>931</v>
      </c>
      <c r="C35" s="201" t="str">
        <f>IF('LAMPIRAN I DONE'!F20="magister (S2)","S2",IF('LAMPIRAN I DONE'!F20="Doktor (S3)","S3",""))</f>
        <v>S2</v>
      </c>
      <c r="D35" s="201" t="s">
        <v>1316</v>
      </c>
      <c r="E35" s="203"/>
      <c r="F35" s="203"/>
      <c r="G35" s="204"/>
      <c r="H35" s="202"/>
      <c r="I35" s="218"/>
      <c r="J35" s="203"/>
      <c r="K35" s="203"/>
      <c r="L35" s="218"/>
      <c r="M35" s="221"/>
      <c r="N35" s="204"/>
      <c r="O35" s="207"/>
      <c r="P35" s="207"/>
      <c r="Q35" s="207"/>
      <c r="R35" s="207"/>
      <c r="S35" s="207"/>
      <c r="T35" s="207"/>
      <c r="U35" s="207"/>
      <c r="V35" s="207"/>
      <c r="W35" s="207"/>
      <c r="X35" s="207"/>
      <c r="Y35" s="207"/>
      <c r="Z35" s="207"/>
    </row>
    <row r="36" spans="1:26" ht="15.75" customHeight="1" x14ac:dyDescent="0.2">
      <c r="A36" s="483">
        <v>1</v>
      </c>
      <c r="B36" s="484" t="s">
        <v>1309</v>
      </c>
      <c r="C36" s="485"/>
      <c r="D36" s="713"/>
      <c r="E36" s="728"/>
      <c r="F36" s="486"/>
      <c r="G36" s="487"/>
      <c r="H36" s="729">
        <f>45%*(200-D41)</f>
        <v>22.5</v>
      </c>
      <c r="I36" s="731" t="s">
        <v>932</v>
      </c>
      <c r="J36" s="488" t="str">
        <f>IF('LAMPIRAN I DONE'!$F$21="asisten ahli",'LAMPIRAN I DONE'!$G$34,"")</f>
        <v/>
      </c>
      <c r="K36" s="733" t="str">
        <f>IFERROR(J36+J37,"")</f>
        <v/>
      </c>
      <c r="L36" s="734" t="str">
        <f>IFERROR(K36/H41,"")</f>
        <v/>
      </c>
      <c r="M36" s="729"/>
      <c r="N36" s="751"/>
      <c r="O36" s="164"/>
      <c r="P36" s="164"/>
      <c r="Q36" s="164"/>
      <c r="R36" s="164"/>
      <c r="S36" s="164"/>
      <c r="T36" s="164"/>
      <c r="U36" s="164"/>
      <c r="V36" s="164"/>
      <c r="W36" s="164"/>
      <c r="X36" s="164"/>
      <c r="Y36" s="164"/>
      <c r="Z36" s="164"/>
    </row>
    <row r="37" spans="1:26" ht="15.75" customHeight="1" x14ac:dyDescent="0.2">
      <c r="A37" s="483">
        <v>2</v>
      </c>
      <c r="B37" s="484" t="s">
        <v>1310</v>
      </c>
      <c r="C37" s="485"/>
      <c r="D37" s="631"/>
      <c r="E37" s="631"/>
      <c r="F37" s="490"/>
      <c r="G37" s="208"/>
      <c r="H37" s="730"/>
      <c r="I37" s="732"/>
      <c r="J37" s="488" t="str">
        <f>IF('LAMPIRAN I DONE'!$F$21="asisten ahli",'LAMPIRAN I DONE'!$G$50,"")</f>
        <v/>
      </c>
      <c r="K37" s="631"/>
      <c r="L37" s="732"/>
      <c r="M37" s="730"/>
      <c r="N37" s="732"/>
      <c r="O37" s="164"/>
      <c r="P37" s="164"/>
      <c r="Q37" s="164"/>
      <c r="R37" s="164"/>
      <c r="S37" s="164"/>
      <c r="T37" s="164"/>
      <c r="U37" s="164"/>
      <c r="V37" s="164"/>
      <c r="W37" s="164"/>
      <c r="X37" s="164"/>
      <c r="Y37" s="164"/>
      <c r="Z37" s="164"/>
    </row>
    <row r="38" spans="1:26" ht="15.75" customHeight="1" x14ac:dyDescent="0.25">
      <c r="A38" s="483">
        <v>3</v>
      </c>
      <c r="B38" s="491" t="s">
        <v>1311</v>
      </c>
      <c r="C38" s="421"/>
      <c r="D38" s="455"/>
      <c r="E38" s="497"/>
      <c r="F38" s="211"/>
      <c r="G38" s="205"/>
      <c r="H38" s="212">
        <f>35%*(200-D41)</f>
        <v>17.5</v>
      </c>
      <c r="I38" s="213" t="s">
        <v>933</v>
      </c>
      <c r="J38" s="488" t="str">
        <f>IF('LAMPIRAN I DONE'!$F$21="asisten ahli",'LAMPIRAN I DONE'!$G$76,"")</f>
        <v/>
      </c>
      <c r="K38" s="492" t="str">
        <f>J38</f>
        <v/>
      </c>
      <c r="L38" s="489" t="str">
        <f>IFERROR(K38/H41,"")</f>
        <v/>
      </c>
      <c r="M38" s="493"/>
      <c r="N38" s="489"/>
      <c r="O38" s="164"/>
      <c r="P38" s="164"/>
      <c r="Q38" s="164"/>
      <c r="R38" s="164"/>
      <c r="S38" s="164"/>
      <c r="T38" s="164"/>
      <c r="U38" s="164"/>
      <c r="V38" s="164"/>
      <c r="W38" s="164"/>
      <c r="X38" s="164"/>
      <c r="Y38" s="164"/>
      <c r="Z38" s="164"/>
    </row>
    <row r="39" spans="1:26" ht="15.75" customHeight="1" x14ac:dyDescent="0.2">
      <c r="A39" s="483">
        <v>4</v>
      </c>
      <c r="B39" s="491" t="s">
        <v>1312</v>
      </c>
      <c r="C39" s="421"/>
      <c r="D39" s="455"/>
      <c r="E39" s="210"/>
      <c r="F39" s="211"/>
      <c r="G39" s="205"/>
      <c r="H39" s="212">
        <f>10%*(200-D41)</f>
        <v>5</v>
      </c>
      <c r="I39" s="213" t="s">
        <v>923</v>
      </c>
      <c r="J39" s="488" t="str">
        <f>IF('LAMPIRAN I DONE'!$F$21="asisten ahli",'LAMPIRAN I DONE'!$G$83,"")</f>
        <v/>
      </c>
      <c r="K39" s="492" t="str">
        <f>IF(J39="","",IF(J39&gt;(10/100*(H41)),(10/100*(H41)),J39))</f>
        <v/>
      </c>
      <c r="L39" s="489" t="str">
        <f>IFERROR(K39/H41,"")</f>
        <v/>
      </c>
      <c r="M39" s="493"/>
      <c r="N39" s="489"/>
      <c r="O39" s="164"/>
      <c r="P39" s="164"/>
      <c r="Q39" s="164"/>
      <c r="R39" s="164"/>
      <c r="S39" s="164"/>
      <c r="T39" s="164"/>
      <c r="U39" s="164"/>
      <c r="V39" s="164"/>
      <c r="W39" s="164"/>
      <c r="X39" s="164"/>
      <c r="Y39" s="164"/>
      <c r="Z39" s="164"/>
    </row>
    <row r="40" spans="1:26" ht="15.75" customHeight="1" x14ac:dyDescent="0.2">
      <c r="A40" s="483">
        <v>5</v>
      </c>
      <c r="B40" s="491" t="s">
        <v>1313</v>
      </c>
      <c r="C40" s="421"/>
      <c r="D40" s="455"/>
      <c r="E40" s="210"/>
      <c r="F40" s="211"/>
      <c r="G40" s="205"/>
      <c r="H40" s="212">
        <f>10%*(200-D41)</f>
        <v>5</v>
      </c>
      <c r="I40" s="213" t="s">
        <v>923</v>
      </c>
      <c r="J40" s="488" t="str">
        <f>IF('LAMPIRAN I DONE'!$F$21="asisten ahli",'LAMPIRAN I DONE'!$G$96,"")</f>
        <v/>
      </c>
      <c r="K40" s="214" t="str">
        <f>IF(J39="","",IF(J39&gt;(10/100*(H41)),(10/100*(H41)),J39))</f>
        <v/>
      </c>
      <c r="L40" s="489" t="str">
        <f>IFERROR(K40/H41,"")</f>
        <v/>
      </c>
      <c r="M40" s="493"/>
      <c r="N40" s="489"/>
      <c r="O40" s="164"/>
      <c r="P40" s="164"/>
      <c r="Q40" s="164"/>
      <c r="R40" s="164"/>
      <c r="S40" s="164"/>
      <c r="T40" s="164"/>
      <c r="U40" s="164"/>
      <c r="V40" s="164"/>
      <c r="W40" s="164"/>
      <c r="X40" s="164"/>
      <c r="Y40" s="164"/>
      <c r="Z40" s="164"/>
    </row>
    <row r="41" spans="1:26" ht="15.75" customHeight="1" x14ac:dyDescent="0.2">
      <c r="A41" s="494"/>
      <c r="B41" s="737" t="s">
        <v>1314</v>
      </c>
      <c r="C41" s="615"/>
      <c r="D41" s="495">
        <f>IF(D35="AA(100)",100,IF(D35="AA(150)",150,""))</f>
        <v>150</v>
      </c>
      <c r="E41" s="215"/>
      <c r="F41" s="215">
        <f t="shared" ref="F41:H41" si="1">SUM(F36:F40)</f>
        <v>0</v>
      </c>
      <c r="G41" s="216">
        <f t="shared" si="1"/>
        <v>0</v>
      </c>
      <c r="H41" s="217">
        <f t="shared" si="1"/>
        <v>50</v>
      </c>
      <c r="I41" s="218"/>
      <c r="J41" s="215">
        <f t="shared" ref="J41:K41" si="2">SUM(J36:J40)</f>
        <v>0</v>
      </c>
      <c r="K41" s="215">
        <f t="shared" si="2"/>
        <v>0</v>
      </c>
      <c r="L41" s="218"/>
      <c r="M41" s="217"/>
      <c r="N41" s="216"/>
      <c r="O41" s="10"/>
      <c r="P41" s="10"/>
      <c r="Q41" s="10"/>
      <c r="R41" s="10"/>
      <c r="S41" s="10"/>
      <c r="T41" s="10"/>
      <c r="U41" s="10"/>
      <c r="V41" s="10"/>
      <c r="W41" s="10"/>
      <c r="X41" s="10"/>
      <c r="Y41" s="10"/>
      <c r="Z41" s="10"/>
    </row>
    <row r="42" spans="1:26" ht="15.75" customHeight="1" x14ac:dyDescent="0.2">
      <c r="A42" s="483"/>
      <c r="B42" s="491"/>
      <c r="C42" s="421"/>
      <c r="D42" s="496"/>
      <c r="E42" s="214"/>
      <c r="F42" s="214"/>
      <c r="G42" s="219"/>
      <c r="H42" s="212"/>
      <c r="I42" s="220"/>
      <c r="J42" s="214"/>
      <c r="K42" s="214"/>
      <c r="L42" s="220"/>
      <c r="M42" s="212"/>
      <c r="N42" s="219"/>
      <c r="O42" s="164"/>
      <c r="P42" s="164"/>
      <c r="Q42" s="164"/>
      <c r="R42" s="164"/>
      <c r="S42" s="164"/>
      <c r="T42" s="164"/>
      <c r="U42" s="164"/>
      <c r="V42" s="164"/>
      <c r="W42" s="164"/>
      <c r="X42" s="164"/>
      <c r="Y42" s="164"/>
      <c r="Z42" s="164"/>
    </row>
    <row r="43" spans="1:26" ht="15.75" customHeight="1" x14ac:dyDescent="0.2">
      <c r="A43" s="480" t="s">
        <v>1317</v>
      </c>
      <c r="B43" s="481" t="s">
        <v>941</v>
      </c>
      <c r="C43" s="201" t="str">
        <f>IF('LAMPIRAN I DONE'!F20="magister (S2)","S2",IF('LAMPIRAN I DONE'!F20="Doktor (S3)","S3",""))</f>
        <v>S2</v>
      </c>
      <c r="D43" s="201" t="s">
        <v>1316</v>
      </c>
      <c r="E43" s="203"/>
      <c r="F43" s="203"/>
      <c r="G43" s="204"/>
      <c r="H43" s="202"/>
      <c r="I43" s="218"/>
      <c r="J43" s="203"/>
      <c r="K43" s="203"/>
      <c r="L43" s="218"/>
      <c r="M43" s="221"/>
      <c r="N43" s="204"/>
      <c r="O43" s="207"/>
      <c r="P43" s="207"/>
      <c r="Q43" s="207"/>
      <c r="R43" s="207"/>
      <c r="S43" s="207"/>
      <c r="T43" s="207"/>
      <c r="U43" s="207"/>
      <c r="V43" s="207"/>
      <c r="W43" s="207"/>
      <c r="X43" s="207"/>
      <c r="Y43" s="207"/>
      <c r="Z43" s="207"/>
    </row>
    <row r="44" spans="1:26" ht="15.75" customHeight="1" x14ac:dyDescent="0.2">
      <c r="A44" s="483">
        <v>1</v>
      </c>
      <c r="B44" s="484" t="s">
        <v>1309</v>
      </c>
      <c r="C44" s="485"/>
      <c r="D44" s="713"/>
      <c r="E44" s="728"/>
      <c r="F44" s="486"/>
      <c r="G44" s="487"/>
      <c r="H44" s="729">
        <f>45%*(300-D49)</f>
        <v>67.5</v>
      </c>
      <c r="I44" s="731" t="s">
        <v>932</v>
      </c>
      <c r="J44" s="488" t="str">
        <f>IF('LAMPIRAN I DONE'!$F$21="asisten ahli",'LAMPIRAN I DONE'!$G$34,"")</f>
        <v/>
      </c>
      <c r="K44" s="733" t="str">
        <f>IFERROR(J44+J45,"")</f>
        <v/>
      </c>
      <c r="L44" s="734" t="str">
        <f>IFERROR(K44/H49,"")</f>
        <v/>
      </c>
      <c r="M44" s="729"/>
      <c r="N44" s="751"/>
      <c r="O44" s="164"/>
      <c r="P44" s="164"/>
      <c r="Q44" s="164"/>
      <c r="R44" s="164"/>
      <c r="S44" s="164"/>
      <c r="T44" s="164"/>
      <c r="U44" s="164"/>
      <c r="V44" s="164"/>
      <c r="W44" s="164"/>
      <c r="X44" s="164"/>
      <c r="Y44" s="164"/>
      <c r="Z44" s="164"/>
    </row>
    <row r="45" spans="1:26" ht="15.75" customHeight="1" x14ac:dyDescent="0.2">
      <c r="A45" s="483">
        <v>2</v>
      </c>
      <c r="B45" s="484" t="s">
        <v>1310</v>
      </c>
      <c r="C45" s="485"/>
      <c r="D45" s="631"/>
      <c r="E45" s="631"/>
      <c r="F45" s="490"/>
      <c r="G45" s="208"/>
      <c r="H45" s="730"/>
      <c r="I45" s="732"/>
      <c r="J45" s="488" t="str">
        <f>IF('LAMPIRAN I DONE'!$F$21="asisten ahli",'LAMPIRAN I DONE'!$G$50,"")</f>
        <v/>
      </c>
      <c r="K45" s="631"/>
      <c r="L45" s="732"/>
      <c r="M45" s="730"/>
      <c r="N45" s="732"/>
      <c r="O45" s="164"/>
      <c r="P45" s="164"/>
      <c r="Q45" s="164"/>
      <c r="R45" s="164"/>
      <c r="S45" s="164"/>
      <c r="T45" s="164"/>
      <c r="U45" s="164"/>
      <c r="V45" s="164"/>
      <c r="W45" s="164"/>
      <c r="X45" s="164"/>
      <c r="Y45" s="164"/>
      <c r="Z45" s="164"/>
    </row>
    <row r="46" spans="1:26" ht="15.75" customHeight="1" x14ac:dyDescent="0.25">
      <c r="A46" s="483">
        <v>3</v>
      </c>
      <c r="B46" s="491" t="s">
        <v>1311</v>
      </c>
      <c r="C46" s="421"/>
      <c r="D46" s="455"/>
      <c r="E46" s="497"/>
      <c r="F46" s="211"/>
      <c r="G46" s="205"/>
      <c r="H46" s="212">
        <f>35%*(300-D49)</f>
        <v>52.5</v>
      </c>
      <c r="I46" s="213" t="s">
        <v>933</v>
      </c>
      <c r="J46" s="488" t="str">
        <f>IF('LAMPIRAN I DONE'!$F$21="asisten ahli",'LAMPIRAN I DONE'!$G$76,"")</f>
        <v/>
      </c>
      <c r="K46" s="492" t="str">
        <f>J46</f>
        <v/>
      </c>
      <c r="L46" s="489" t="str">
        <f>IFERROR(K46/H49,"")</f>
        <v/>
      </c>
      <c r="M46" s="493"/>
      <c r="N46" s="489"/>
      <c r="O46" s="164"/>
      <c r="P46" s="164"/>
      <c r="Q46" s="164"/>
      <c r="R46" s="164"/>
      <c r="S46" s="164"/>
      <c r="T46" s="164"/>
      <c r="U46" s="164"/>
      <c r="V46" s="164"/>
      <c r="W46" s="164"/>
      <c r="X46" s="164"/>
      <c r="Y46" s="164"/>
      <c r="Z46" s="164"/>
    </row>
    <row r="47" spans="1:26" ht="15.75" customHeight="1" x14ac:dyDescent="0.2">
      <c r="A47" s="483">
        <v>4</v>
      </c>
      <c r="B47" s="491" t="s">
        <v>1312</v>
      </c>
      <c r="C47" s="421"/>
      <c r="D47" s="455"/>
      <c r="E47" s="210"/>
      <c r="F47" s="211"/>
      <c r="G47" s="205"/>
      <c r="H47" s="212">
        <f>10%*(300-D49)</f>
        <v>15</v>
      </c>
      <c r="I47" s="213" t="s">
        <v>923</v>
      </c>
      <c r="J47" s="488" t="str">
        <f>IF('LAMPIRAN I DONE'!$F$21="asisten ahli",'LAMPIRAN I DONE'!$G$83,"")</f>
        <v/>
      </c>
      <c r="K47" s="492" t="str">
        <f>IF(J47="","",IF(J47&gt;(10/100*(H49)),(10/100*(H49)),J47))</f>
        <v/>
      </c>
      <c r="L47" s="489" t="str">
        <f>IFERROR(K47/H49,"")</f>
        <v/>
      </c>
      <c r="M47" s="493"/>
      <c r="N47" s="489"/>
      <c r="O47" s="164"/>
      <c r="P47" s="164"/>
      <c r="Q47" s="164"/>
      <c r="R47" s="164"/>
      <c r="S47" s="164"/>
      <c r="T47" s="164"/>
      <c r="U47" s="164"/>
      <c r="V47" s="164"/>
      <c r="W47" s="164"/>
      <c r="X47" s="164"/>
      <c r="Y47" s="164"/>
      <c r="Z47" s="164"/>
    </row>
    <row r="48" spans="1:26" ht="15.75" customHeight="1" x14ac:dyDescent="0.2">
      <c r="A48" s="483">
        <v>5</v>
      </c>
      <c r="B48" s="491" t="s">
        <v>1313</v>
      </c>
      <c r="C48" s="421"/>
      <c r="D48" s="455"/>
      <c r="E48" s="210"/>
      <c r="F48" s="211"/>
      <c r="G48" s="205"/>
      <c r="H48" s="212">
        <f>10%*(300-D49)</f>
        <v>15</v>
      </c>
      <c r="I48" s="213" t="s">
        <v>923</v>
      </c>
      <c r="J48" s="488" t="str">
        <f>IF('LAMPIRAN I DONE'!$F$21="asisten ahli",'LAMPIRAN I DONE'!$G$96,"")</f>
        <v/>
      </c>
      <c r="K48" s="214" t="str">
        <f>IF(J47="","",IF(J47&gt;(10/100*(H49)),(10/100*(H49)),J47))</f>
        <v/>
      </c>
      <c r="L48" s="489" t="str">
        <f>IFERROR(K48/H49,"")</f>
        <v/>
      </c>
      <c r="M48" s="493"/>
      <c r="N48" s="489"/>
      <c r="O48" s="164"/>
      <c r="P48" s="164"/>
      <c r="Q48" s="164"/>
      <c r="R48" s="164"/>
      <c r="S48" s="164"/>
      <c r="T48" s="164"/>
      <c r="U48" s="164"/>
      <c r="V48" s="164"/>
      <c r="W48" s="164"/>
      <c r="X48" s="164"/>
      <c r="Y48" s="164"/>
      <c r="Z48" s="164"/>
    </row>
    <row r="49" spans="1:26" ht="15.75" customHeight="1" x14ac:dyDescent="0.2">
      <c r="A49" s="494"/>
      <c r="B49" s="737" t="s">
        <v>1314</v>
      </c>
      <c r="C49" s="615"/>
      <c r="D49" s="495">
        <f>IF(D43="AA(100)",100,IF(D43="AA(150)",150,""))</f>
        <v>150</v>
      </c>
      <c r="E49" s="215"/>
      <c r="F49" s="215">
        <f t="shared" ref="F49:H49" si="3">SUM(F44:F48)</f>
        <v>0</v>
      </c>
      <c r="G49" s="216">
        <f t="shared" si="3"/>
        <v>0</v>
      </c>
      <c r="H49" s="217">
        <f t="shared" si="3"/>
        <v>150</v>
      </c>
      <c r="I49" s="218"/>
      <c r="J49" s="215">
        <f t="shared" ref="J49:K49" si="4">SUM(J44:J48)</f>
        <v>0</v>
      </c>
      <c r="K49" s="215">
        <f t="shared" si="4"/>
        <v>0</v>
      </c>
      <c r="L49" s="218"/>
      <c r="M49" s="217"/>
      <c r="N49" s="216"/>
      <c r="O49" s="10"/>
      <c r="P49" s="10"/>
      <c r="Q49" s="10"/>
      <c r="R49" s="10"/>
      <c r="S49" s="10"/>
      <c r="T49" s="10"/>
      <c r="U49" s="10"/>
      <c r="V49" s="10"/>
      <c r="W49" s="10"/>
      <c r="X49" s="10"/>
      <c r="Y49" s="10"/>
      <c r="Z49" s="10"/>
    </row>
    <row r="50" spans="1:26" ht="15.75" customHeight="1" x14ac:dyDescent="0.2">
      <c r="A50" s="483"/>
      <c r="B50" s="491"/>
      <c r="C50" s="421"/>
      <c r="D50" s="496"/>
      <c r="E50" s="214"/>
      <c r="F50" s="214"/>
      <c r="G50" s="219"/>
      <c r="H50" s="212"/>
      <c r="I50" s="220"/>
      <c r="J50" s="214"/>
      <c r="K50" s="214"/>
      <c r="L50" s="220"/>
      <c r="M50" s="212"/>
      <c r="N50" s="219"/>
      <c r="O50" s="164"/>
      <c r="P50" s="164"/>
      <c r="Q50" s="164"/>
      <c r="R50" s="164"/>
      <c r="S50" s="164"/>
      <c r="T50" s="164"/>
      <c r="U50" s="164"/>
      <c r="V50" s="164"/>
      <c r="W50" s="164"/>
      <c r="X50" s="164"/>
      <c r="Y50" s="164"/>
      <c r="Z50" s="164"/>
    </row>
    <row r="51" spans="1:26" ht="15.75" customHeight="1" x14ac:dyDescent="0.2">
      <c r="A51" s="480" t="s">
        <v>1318</v>
      </c>
      <c r="B51" s="481" t="s">
        <v>1319</v>
      </c>
      <c r="C51" s="201" t="str">
        <f>IF('LAMPIRAN I DONE'!F20="magister (S2)","S2",IF('LAMPIRAN I DONE'!F20="Doktor (S3)","S3",""))</f>
        <v>S2</v>
      </c>
      <c r="D51" s="498"/>
      <c r="E51" s="211"/>
      <c r="F51" s="203"/>
      <c r="G51" s="204"/>
      <c r="H51" s="202"/>
      <c r="I51" s="218"/>
      <c r="J51" s="203"/>
      <c r="K51" s="203"/>
      <c r="L51" s="218"/>
      <c r="M51" s="221"/>
      <c r="N51" s="204"/>
      <c r="O51" s="207"/>
      <c r="P51" s="207"/>
      <c r="Q51" s="207"/>
      <c r="R51" s="207"/>
      <c r="S51" s="207"/>
      <c r="T51" s="207"/>
      <c r="U51" s="207"/>
      <c r="V51" s="207"/>
      <c r="W51" s="207"/>
      <c r="X51" s="207"/>
      <c r="Y51" s="207"/>
      <c r="Z51" s="207"/>
    </row>
    <row r="52" spans="1:26" ht="15.75" customHeight="1" x14ac:dyDescent="0.2">
      <c r="A52" s="483">
        <v>1</v>
      </c>
      <c r="B52" s="484" t="s">
        <v>1309</v>
      </c>
      <c r="C52" s="485"/>
      <c r="D52" s="713"/>
      <c r="E52" s="728"/>
      <c r="F52" s="486"/>
      <c r="G52" s="487"/>
      <c r="H52" s="729">
        <f>40%*(400-D57)</f>
        <v>160</v>
      </c>
      <c r="I52" s="731" t="s">
        <v>950</v>
      </c>
      <c r="J52" s="488">
        <f>'LAMPIRAN II DONE'!G35</f>
        <v>200</v>
      </c>
      <c r="K52" s="733">
        <f>IFERROR(J52+J53,"")</f>
        <v>619</v>
      </c>
      <c r="L52" s="734">
        <f>IFERROR(K52/H57,"")</f>
        <v>1.5475000000000001</v>
      </c>
      <c r="M52" s="735">
        <f>K52</f>
        <v>619</v>
      </c>
      <c r="N52" s="736">
        <f>IFERROR(M52/H57,"")</f>
        <v>1.5475000000000001</v>
      </c>
      <c r="O52" s="164"/>
      <c r="P52" s="164"/>
      <c r="Q52" s="164"/>
      <c r="R52" s="164"/>
      <c r="S52" s="164"/>
      <c r="T52" s="164"/>
      <c r="U52" s="164"/>
      <c r="V52" s="164"/>
      <c r="W52" s="164"/>
      <c r="X52" s="164"/>
      <c r="Y52" s="164"/>
      <c r="Z52" s="164"/>
    </row>
    <row r="53" spans="1:26" ht="15.75" customHeight="1" x14ac:dyDescent="0.2">
      <c r="A53" s="483">
        <v>2</v>
      </c>
      <c r="B53" s="484" t="s">
        <v>1310</v>
      </c>
      <c r="C53" s="485"/>
      <c r="D53" s="631"/>
      <c r="E53" s="631"/>
      <c r="F53" s="490"/>
      <c r="G53" s="208"/>
      <c r="H53" s="730"/>
      <c r="I53" s="732"/>
      <c r="J53" s="488">
        <f>'LAMPIRAN II DONE'!G1224</f>
        <v>419</v>
      </c>
      <c r="K53" s="631"/>
      <c r="L53" s="732"/>
      <c r="M53" s="730"/>
      <c r="N53" s="732"/>
      <c r="O53" s="164"/>
      <c r="P53" s="164"/>
      <c r="Q53" s="164"/>
      <c r="R53" s="164"/>
      <c r="S53" s="164"/>
      <c r="T53" s="164"/>
      <c r="U53" s="164"/>
      <c r="V53" s="164"/>
      <c r="W53" s="164"/>
      <c r="X53" s="164"/>
      <c r="Y53" s="164"/>
      <c r="Z53" s="164"/>
    </row>
    <row r="54" spans="1:26" ht="15.75" customHeight="1" x14ac:dyDescent="0.25">
      <c r="A54" s="483">
        <v>3</v>
      </c>
      <c r="B54" s="491" t="s">
        <v>1311</v>
      </c>
      <c r="C54" s="421"/>
      <c r="D54" s="455"/>
      <c r="E54" s="497"/>
      <c r="F54" s="211"/>
      <c r="G54" s="205"/>
      <c r="H54" s="212">
        <f>40%*(400-D57)</f>
        <v>160</v>
      </c>
      <c r="I54" s="213" t="s">
        <v>950</v>
      </c>
      <c r="J54" s="488">
        <f>'LAMPIRAN III DONE'!I209</f>
        <v>57.5</v>
      </c>
      <c r="K54" s="492">
        <f>J54</f>
        <v>57.5</v>
      </c>
      <c r="L54" s="489">
        <f>IFERROR(K54/H57,"")</f>
        <v>0.14374999999999999</v>
      </c>
      <c r="M54" s="222">
        <f>'Reviewer Eksternal (LK&amp;GB)1'!$K$139</f>
        <v>0</v>
      </c>
      <c r="N54" s="223">
        <f>IFERROR(M54/H57,"")</f>
        <v>0</v>
      </c>
      <c r="O54" s="164"/>
      <c r="P54" s="164"/>
      <c r="Q54" s="164"/>
      <c r="R54" s="164"/>
      <c r="S54" s="164"/>
      <c r="T54" s="164"/>
      <c r="U54" s="164"/>
      <c r="V54" s="164"/>
      <c r="W54" s="164"/>
      <c r="X54" s="164"/>
      <c r="Y54" s="164"/>
      <c r="Z54" s="164"/>
    </row>
    <row r="55" spans="1:26" ht="15.75" customHeight="1" x14ac:dyDescent="0.2">
      <c r="A55" s="483">
        <v>4</v>
      </c>
      <c r="B55" s="491" t="s">
        <v>1312</v>
      </c>
      <c r="C55" s="421"/>
      <c r="D55" s="455"/>
      <c r="E55" s="210"/>
      <c r="F55" s="211"/>
      <c r="G55" s="205"/>
      <c r="H55" s="212">
        <f>10%*(400-D57)</f>
        <v>40</v>
      </c>
      <c r="I55" s="213" t="s">
        <v>923</v>
      </c>
      <c r="J55" s="488">
        <f>'LAMPIRAN IV DONE'!G85</f>
        <v>28</v>
      </c>
      <c r="K55" s="492">
        <f>IF(J55="","",IF(J55&gt;(10/100*(H57)),(10/100*(H57)),J55))</f>
        <v>28</v>
      </c>
      <c r="L55" s="489">
        <f>IFERROR(K55/H57,"")</f>
        <v>7.0000000000000007E-2</v>
      </c>
      <c r="M55" s="222">
        <f t="shared" ref="M55:M56" si="5">K55</f>
        <v>28</v>
      </c>
      <c r="N55" s="223">
        <f>IFERROR(M55/H57,"")</f>
        <v>7.0000000000000007E-2</v>
      </c>
      <c r="O55" s="164"/>
      <c r="P55" s="164"/>
      <c r="Q55" s="164"/>
      <c r="R55" s="164"/>
      <c r="S55" s="164"/>
      <c r="T55" s="164"/>
      <c r="U55" s="164"/>
      <c r="V55" s="164"/>
      <c r="W55" s="164"/>
      <c r="X55" s="164"/>
      <c r="Y55" s="164"/>
      <c r="Z55" s="164"/>
    </row>
    <row r="56" spans="1:26" ht="15.75" customHeight="1" x14ac:dyDescent="0.2">
      <c r="A56" s="483">
        <v>5</v>
      </c>
      <c r="B56" s="491" t="s">
        <v>1313</v>
      </c>
      <c r="C56" s="421"/>
      <c r="D56" s="455"/>
      <c r="E56" s="210"/>
      <c r="F56" s="211"/>
      <c r="G56" s="205"/>
      <c r="H56" s="212">
        <f>10%*(400-D57)</f>
        <v>40</v>
      </c>
      <c r="I56" s="213" t="s">
        <v>923</v>
      </c>
      <c r="J56" s="488">
        <f>'LAMPIRAN V DONE'!G157</f>
        <v>5</v>
      </c>
      <c r="K56" s="214">
        <f>IF(J56="","",IF(J56&gt;(10/100*(H57)),(10/100*(H57)),J56))</f>
        <v>5</v>
      </c>
      <c r="L56" s="489">
        <f>IFERROR(K56/H57,"")</f>
        <v>1.2500000000000001E-2</v>
      </c>
      <c r="M56" s="222">
        <f t="shared" si="5"/>
        <v>5</v>
      </c>
      <c r="N56" s="223">
        <f>IFERROR(M56/H57,"")</f>
        <v>1.2500000000000001E-2</v>
      </c>
      <c r="O56" s="164"/>
      <c r="P56" s="164"/>
      <c r="Q56" s="164"/>
      <c r="R56" s="164"/>
      <c r="S56" s="164"/>
      <c r="T56" s="164"/>
      <c r="U56" s="164"/>
      <c r="V56" s="164"/>
      <c r="W56" s="164"/>
      <c r="X56" s="164"/>
      <c r="Y56" s="164"/>
      <c r="Z56" s="164"/>
    </row>
    <row r="57" spans="1:26" ht="15.75" customHeight="1" x14ac:dyDescent="0.2">
      <c r="A57" s="494"/>
      <c r="B57" s="737" t="s">
        <v>1314</v>
      </c>
      <c r="C57" s="615"/>
      <c r="D57" s="495">
        <f>SUM(D52:D56)</f>
        <v>0</v>
      </c>
      <c r="E57" s="215"/>
      <c r="F57" s="215">
        <f t="shared" ref="F57:H57" si="6">SUM(F52:F56)</f>
        <v>0</v>
      </c>
      <c r="G57" s="216">
        <f t="shared" si="6"/>
        <v>0</v>
      </c>
      <c r="H57" s="217">
        <f t="shared" si="6"/>
        <v>400</v>
      </c>
      <c r="I57" s="218"/>
      <c r="J57" s="215">
        <f>SUM(J52:J56)</f>
        <v>709.5</v>
      </c>
      <c r="K57" s="215"/>
      <c r="L57" s="218"/>
      <c r="M57" s="224">
        <f>SUM(M52:M56)</f>
        <v>652</v>
      </c>
      <c r="N57" s="225"/>
      <c r="O57" s="10"/>
      <c r="P57" s="10"/>
      <c r="Q57" s="10"/>
      <c r="R57" s="10"/>
      <c r="S57" s="10"/>
      <c r="T57" s="10"/>
      <c r="U57" s="10"/>
      <c r="V57" s="10"/>
      <c r="W57" s="10"/>
      <c r="X57" s="10"/>
      <c r="Y57" s="10"/>
      <c r="Z57" s="10"/>
    </row>
    <row r="58" spans="1:26" ht="15.75" customHeight="1" x14ac:dyDescent="0.2">
      <c r="A58" s="483"/>
      <c r="B58" s="491"/>
      <c r="C58" s="421"/>
      <c r="D58" s="496"/>
      <c r="E58" s="214"/>
      <c r="F58" s="214"/>
      <c r="G58" s="219"/>
      <c r="H58" s="212"/>
      <c r="I58" s="220"/>
      <c r="J58" s="214"/>
      <c r="K58" s="214"/>
      <c r="L58" s="220"/>
      <c r="M58" s="234"/>
      <c r="N58" s="235"/>
      <c r="O58" s="164"/>
      <c r="P58" s="164"/>
      <c r="Q58" s="164"/>
      <c r="R58" s="164"/>
      <c r="S58" s="164"/>
      <c r="T58" s="164"/>
      <c r="U58" s="164"/>
      <c r="V58" s="164"/>
      <c r="W58" s="164"/>
      <c r="X58" s="164"/>
      <c r="Y58" s="164"/>
      <c r="Z58" s="164"/>
    </row>
    <row r="59" spans="1:26" ht="15.75" customHeight="1" x14ac:dyDescent="0.2">
      <c r="A59" s="480" t="s">
        <v>1321</v>
      </c>
      <c r="B59" s="481" t="s">
        <v>1322</v>
      </c>
      <c r="C59" s="201" t="str">
        <f>IF('LAMPIRAN I DONE'!F20="magister (S2)","S2",IF('LAMPIRAN I DONE'!F20="Doktor (S3)","S3",""))</f>
        <v>S2</v>
      </c>
      <c r="D59" s="499"/>
      <c r="E59" s="203"/>
      <c r="F59" s="203"/>
      <c r="G59" s="204"/>
      <c r="H59" s="202"/>
      <c r="I59" s="218"/>
      <c r="J59" s="203"/>
      <c r="K59" s="203"/>
      <c r="L59" s="218"/>
      <c r="M59" s="221"/>
      <c r="N59" s="204"/>
      <c r="O59" s="207"/>
      <c r="P59" s="207"/>
      <c r="Q59" s="207"/>
      <c r="R59" s="207"/>
      <c r="S59" s="207"/>
      <c r="T59" s="207"/>
      <c r="U59" s="207"/>
      <c r="V59" s="207"/>
      <c r="W59" s="207"/>
      <c r="X59" s="207"/>
      <c r="Y59" s="207"/>
      <c r="Z59" s="207"/>
    </row>
    <row r="60" spans="1:26" ht="15.75" customHeight="1" x14ac:dyDescent="0.2">
      <c r="A60" s="483">
        <v>1</v>
      </c>
      <c r="B60" s="484" t="s">
        <v>1309</v>
      </c>
      <c r="C60" s="485"/>
      <c r="D60" s="713"/>
      <c r="E60" s="728"/>
      <c r="F60" s="486"/>
      <c r="G60" s="487"/>
      <c r="H60" s="729">
        <f>40%*(550-D65)</f>
        <v>220</v>
      </c>
      <c r="I60" s="731" t="s">
        <v>950</v>
      </c>
      <c r="J60" s="488">
        <f t="shared" ref="J60:J64" si="7">J52</f>
        <v>200</v>
      </c>
      <c r="K60" s="733">
        <f>IFERROR(J60+J61,"")</f>
        <v>619</v>
      </c>
      <c r="L60" s="734">
        <f>IFERROR(K60/H65,"")</f>
        <v>1.1254545454545455</v>
      </c>
      <c r="M60" s="735">
        <f>K60</f>
        <v>619</v>
      </c>
      <c r="N60" s="736">
        <f>IFERROR(M60/H65,"")</f>
        <v>1.1254545454545455</v>
      </c>
      <c r="O60" s="164"/>
      <c r="P60" s="164"/>
      <c r="Q60" s="164"/>
      <c r="R60" s="164"/>
      <c r="S60" s="164"/>
      <c r="T60" s="164"/>
      <c r="U60" s="164"/>
      <c r="V60" s="164"/>
      <c r="W60" s="164"/>
      <c r="X60" s="164"/>
      <c r="Y60" s="164"/>
      <c r="Z60" s="164"/>
    </row>
    <row r="61" spans="1:26" ht="15.75" customHeight="1" x14ac:dyDescent="0.2">
      <c r="A61" s="483">
        <v>2</v>
      </c>
      <c r="B61" s="484" t="s">
        <v>1310</v>
      </c>
      <c r="C61" s="485"/>
      <c r="D61" s="631"/>
      <c r="E61" s="631"/>
      <c r="F61" s="490"/>
      <c r="G61" s="208"/>
      <c r="H61" s="730"/>
      <c r="I61" s="732"/>
      <c r="J61" s="488">
        <f t="shared" si="7"/>
        <v>419</v>
      </c>
      <c r="K61" s="631"/>
      <c r="L61" s="732"/>
      <c r="M61" s="730"/>
      <c r="N61" s="732"/>
      <c r="O61" s="164"/>
      <c r="P61" s="164"/>
      <c r="Q61" s="164"/>
      <c r="R61" s="164"/>
      <c r="S61" s="164"/>
      <c r="T61" s="164"/>
      <c r="U61" s="164"/>
      <c r="V61" s="164"/>
      <c r="W61" s="164"/>
      <c r="X61" s="164"/>
      <c r="Y61" s="164"/>
      <c r="Z61" s="164"/>
    </row>
    <row r="62" spans="1:26" ht="15.75" customHeight="1" x14ac:dyDescent="0.25">
      <c r="A62" s="483">
        <v>3</v>
      </c>
      <c r="B62" s="491" t="s">
        <v>1311</v>
      </c>
      <c r="C62" s="421"/>
      <c r="D62" s="455"/>
      <c r="E62" s="497"/>
      <c r="F62" s="211"/>
      <c r="G62" s="205"/>
      <c r="H62" s="212">
        <f>40%*(550-D65)</f>
        <v>220</v>
      </c>
      <c r="I62" s="213" t="s">
        <v>950</v>
      </c>
      <c r="J62" s="488">
        <f t="shared" si="7"/>
        <v>57.5</v>
      </c>
      <c r="K62" s="492">
        <f>J62</f>
        <v>57.5</v>
      </c>
      <c r="L62" s="489">
        <f>IFERROR(K62/H65,"")</f>
        <v>0.10454545454545454</v>
      </c>
      <c r="M62" s="222">
        <f>'Reviewer Eksternal (LK&amp;GB)1'!$K$139</f>
        <v>0</v>
      </c>
      <c r="N62" s="223">
        <f>IFERROR(M62/H65,"")</f>
        <v>0</v>
      </c>
      <c r="O62" s="164"/>
      <c r="P62" s="164"/>
      <c r="Q62" s="164"/>
      <c r="R62" s="164"/>
      <c r="S62" s="164"/>
      <c r="T62" s="164"/>
      <c r="U62" s="164"/>
      <c r="V62" s="164"/>
      <c r="W62" s="164"/>
      <c r="X62" s="164"/>
      <c r="Y62" s="164"/>
      <c r="Z62" s="164"/>
    </row>
    <row r="63" spans="1:26" ht="15.75" customHeight="1" x14ac:dyDescent="0.2">
      <c r="A63" s="483">
        <v>4</v>
      </c>
      <c r="B63" s="491" t="s">
        <v>1312</v>
      </c>
      <c r="C63" s="421"/>
      <c r="D63" s="455"/>
      <c r="E63" s="210"/>
      <c r="F63" s="211"/>
      <c r="G63" s="205"/>
      <c r="H63" s="212">
        <f>10%*(550-D65)</f>
        <v>55</v>
      </c>
      <c r="I63" s="213" t="s">
        <v>923</v>
      </c>
      <c r="J63" s="488">
        <f t="shared" si="7"/>
        <v>28</v>
      </c>
      <c r="K63" s="492">
        <f>IF(J63="","",IF(J63&gt;(10/100*(H65)),(10/100*(H65)),J63))</f>
        <v>28</v>
      </c>
      <c r="L63" s="489">
        <f>IFERROR(K63/H65,"")</f>
        <v>5.0909090909090911E-2</v>
      </c>
      <c r="M63" s="222">
        <f t="shared" ref="M63:M64" si="8">K63</f>
        <v>28</v>
      </c>
      <c r="N63" s="223">
        <f>IFERROR(M63/H65,"")</f>
        <v>5.0909090909090911E-2</v>
      </c>
      <c r="O63" s="164"/>
      <c r="P63" s="164"/>
      <c r="Q63" s="164"/>
      <c r="R63" s="164"/>
      <c r="S63" s="164"/>
      <c r="T63" s="164"/>
      <c r="U63" s="164"/>
      <c r="V63" s="164"/>
      <c r="W63" s="164"/>
      <c r="X63" s="164"/>
      <c r="Y63" s="164"/>
      <c r="Z63" s="164"/>
    </row>
    <row r="64" spans="1:26" ht="15.75" customHeight="1" x14ac:dyDescent="0.2">
      <c r="A64" s="483">
        <v>5</v>
      </c>
      <c r="B64" s="491" t="s">
        <v>1313</v>
      </c>
      <c r="C64" s="421"/>
      <c r="D64" s="455"/>
      <c r="E64" s="210"/>
      <c r="F64" s="211"/>
      <c r="G64" s="205"/>
      <c r="H64" s="212">
        <f>10%*(550-D65)</f>
        <v>55</v>
      </c>
      <c r="I64" s="213" t="s">
        <v>923</v>
      </c>
      <c r="J64" s="488">
        <f t="shared" si="7"/>
        <v>5</v>
      </c>
      <c r="K64" s="214">
        <f>IF(J64="","",IF(J64&gt;(10/100*(H65)),(10/100*(H65)),J64))</f>
        <v>5</v>
      </c>
      <c r="L64" s="489">
        <f>IFERROR(K64/H65,"")</f>
        <v>9.0909090909090905E-3</v>
      </c>
      <c r="M64" s="222">
        <f t="shared" si="8"/>
        <v>5</v>
      </c>
      <c r="N64" s="223">
        <f>IFERROR(M64/H65,"")</f>
        <v>9.0909090909090905E-3</v>
      </c>
      <c r="O64" s="164"/>
      <c r="P64" s="164"/>
      <c r="Q64" s="164"/>
      <c r="R64" s="164"/>
      <c r="S64" s="164"/>
      <c r="T64" s="164"/>
      <c r="U64" s="164"/>
      <c r="V64" s="164"/>
      <c r="W64" s="164"/>
      <c r="X64" s="164"/>
      <c r="Y64" s="164"/>
      <c r="Z64" s="164"/>
    </row>
    <row r="65" spans="1:26" ht="15.75" customHeight="1" x14ac:dyDescent="0.2">
      <c r="A65" s="494"/>
      <c r="B65" s="737" t="s">
        <v>1314</v>
      </c>
      <c r="C65" s="615"/>
      <c r="D65" s="495">
        <f>SUM(D60:D64)</f>
        <v>0</v>
      </c>
      <c r="E65" s="215"/>
      <c r="F65" s="215">
        <f t="shared" ref="F65:H65" si="9">SUM(F60:F64)</f>
        <v>0</v>
      </c>
      <c r="G65" s="216">
        <f t="shared" si="9"/>
        <v>0</v>
      </c>
      <c r="H65" s="217">
        <f t="shared" si="9"/>
        <v>550</v>
      </c>
      <c r="I65" s="218"/>
      <c r="J65" s="215">
        <f>SUM(J60:J64)</f>
        <v>709.5</v>
      </c>
      <c r="K65" s="215"/>
      <c r="L65" s="218"/>
      <c r="M65" s="224">
        <f>SUM(M60:M64)</f>
        <v>652</v>
      </c>
      <c r="N65" s="225"/>
      <c r="O65" s="10"/>
      <c r="P65" s="10"/>
      <c r="Q65" s="10"/>
      <c r="R65" s="10"/>
      <c r="S65" s="10"/>
      <c r="T65" s="10"/>
      <c r="U65" s="10"/>
      <c r="V65" s="10"/>
      <c r="W65" s="10"/>
      <c r="X65" s="10"/>
      <c r="Y65" s="10"/>
      <c r="Z65" s="10"/>
    </row>
    <row r="66" spans="1:26" ht="15.75" customHeight="1" x14ac:dyDescent="0.2">
      <c r="A66" s="483"/>
      <c r="B66" s="491"/>
      <c r="C66" s="421"/>
      <c r="D66" s="496"/>
      <c r="E66" s="214"/>
      <c r="F66" s="214"/>
      <c r="G66" s="219"/>
      <c r="H66" s="212"/>
      <c r="I66" s="220"/>
      <c r="J66" s="214"/>
      <c r="K66" s="214"/>
      <c r="L66" s="220"/>
      <c r="M66" s="212"/>
      <c r="N66" s="219"/>
      <c r="O66" s="164"/>
      <c r="P66" s="164"/>
      <c r="Q66" s="164"/>
      <c r="R66" s="164"/>
      <c r="S66" s="164"/>
      <c r="T66" s="164"/>
      <c r="U66" s="164"/>
      <c r="V66" s="164"/>
      <c r="W66" s="164"/>
      <c r="X66" s="164"/>
      <c r="Y66" s="164"/>
      <c r="Z66" s="164"/>
    </row>
    <row r="67" spans="1:26" ht="15.75" customHeight="1" x14ac:dyDescent="0.2">
      <c r="A67" s="480" t="s">
        <v>1323</v>
      </c>
      <c r="B67" s="481" t="s">
        <v>1324</v>
      </c>
      <c r="C67" s="201" t="str">
        <f>IF('LAMPIRAN I DONE'!F20="magister (S2)","S2",IF('LAMPIRAN I DONE'!F20="Doktor (S3)","S3",""))</f>
        <v>S2</v>
      </c>
      <c r="D67" s="498"/>
      <c r="E67" s="211"/>
      <c r="F67" s="203"/>
      <c r="G67" s="204"/>
      <c r="H67" s="212"/>
      <c r="I67" s="218"/>
      <c r="J67" s="203"/>
      <c r="K67" s="203"/>
      <c r="L67" s="204"/>
      <c r="M67" s="221"/>
      <c r="N67" s="204"/>
      <c r="O67" s="207"/>
      <c r="P67" s="207"/>
      <c r="Q67" s="207"/>
      <c r="R67" s="207"/>
      <c r="S67" s="207"/>
      <c r="T67" s="207"/>
      <c r="U67" s="207"/>
      <c r="V67" s="207"/>
      <c r="W67" s="207"/>
      <c r="X67" s="207"/>
      <c r="Y67" s="207"/>
      <c r="Z67" s="207"/>
    </row>
    <row r="68" spans="1:26" ht="15.75" customHeight="1" x14ac:dyDescent="0.2">
      <c r="A68" s="483">
        <v>1</v>
      </c>
      <c r="B68" s="484" t="s">
        <v>1309</v>
      </c>
      <c r="C68" s="485"/>
      <c r="D68" s="713"/>
      <c r="E68" s="728"/>
      <c r="F68" s="486"/>
      <c r="G68" s="487"/>
      <c r="H68" s="729">
        <f>40%*(700-D73)</f>
        <v>280</v>
      </c>
      <c r="I68" s="731" t="s">
        <v>950</v>
      </c>
      <c r="J68" s="488">
        <f t="shared" ref="J68:J72" si="10">J60</f>
        <v>200</v>
      </c>
      <c r="K68" s="733">
        <f>IFERROR(J68+J69,"")</f>
        <v>619</v>
      </c>
      <c r="L68" s="734">
        <f>IFERROR(K68/H73,"")</f>
        <v>0.88428571428571423</v>
      </c>
      <c r="M68" s="735">
        <f>K68</f>
        <v>619</v>
      </c>
      <c r="N68" s="736">
        <f>IFERROR(M68/H73,"")</f>
        <v>0.88428571428571423</v>
      </c>
      <c r="O68" s="164"/>
      <c r="P68" s="164"/>
      <c r="Q68" s="164"/>
      <c r="R68" s="164"/>
      <c r="S68" s="164"/>
      <c r="T68" s="164"/>
      <c r="U68" s="164"/>
      <c r="V68" s="164"/>
      <c r="W68" s="164"/>
      <c r="X68" s="164"/>
      <c r="Y68" s="164"/>
      <c r="Z68" s="164"/>
    </row>
    <row r="69" spans="1:26" ht="15.75" customHeight="1" x14ac:dyDescent="0.2">
      <c r="A69" s="483">
        <v>2</v>
      </c>
      <c r="B69" s="484" t="s">
        <v>1310</v>
      </c>
      <c r="C69" s="485"/>
      <c r="D69" s="631"/>
      <c r="E69" s="631"/>
      <c r="F69" s="490"/>
      <c r="G69" s="208"/>
      <c r="H69" s="730"/>
      <c r="I69" s="732"/>
      <c r="J69" s="488">
        <f t="shared" si="10"/>
        <v>419</v>
      </c>
      <c r="K69" s="631"/>
      <c r="L69" s="732"/>
      <c r="M69" s="730"/>
      <c r="N69" s="732"/>
      <c r="O69" s="164"/>
      <c r="P69" s="164"/>
      <c r="Q69" s="164"/>
      <c r="R69" s="164"/>
      <c r="S69" s="164"/>
      <c r="T69" s="164"/>
      <c r="U69" s="164"/>
      <c r="V69" s="164"/>
      <c r="W69" s="164"/>
      <c r="X69" s="164"/>
      <c r="Y69" s="164"/>
      <c r="Z69" s="164"/>
    </row>
    <row r="70" spans="1:26" ht="15.75" customHeight="1" x14ac:dyDescent="0.25">
      <c r="A70" s="483">
        <v>3</v>
      </c>
      <c r="B70" s="491" t="s">
        <v>1311</v>
      </c>
      <c r="C70" s="421"/>
      <c r="D70" s="455"/>
      <c r="E70" s="497"/>
      <c r="F70" s="211"/>
      <c r="G70" s="205"/>
      <c r="H70" s="212">
        <f>40%*(700-D73)</f>
        <v>280</v>
      </c>
      <c r="I70" s="213" t="s">
        <v>950</v>
      </c>
      <c r="J70" s="488">
        <f t="shared" si="10"/>
        <v>57.5</v>
      </c>
      <c r="K70" s="492">
        <f>J70</f>
        <v>57.5</v>
      </c>
      <c r="L70" s="489">
        <f>IFERROR(K70/H73,"")</f>
        <v>8.2142857142857142E-2</v>
      </c>
      <c r="M70" s="222">
        <f>'Reviewer Eksternal (LK&amp;GB)1'!$K$139</f>
        <v>0</v>
      </c>
      <c r="N70" s="223">
        <f>IFERROR(M70/H73,"")</f>
        <v>0</v>
      </c>
      <c r="O70" s="164"/>
      <c r="P70" s="164"/>
      <c r="Q70" s="164"/>
      <c r="R70" s="164"/>
      <c r="S70" s="164"/>
      <c r="T70" s="164"/>
      <c r="U70" s="164"/>
      <c r="V70" s="164"/>
      <c r="W70" s="164"/>
      <c r="X70" s="164"/>
      <c r="Y70" s="164"/>
      <c r="Z70" s="164"/>
    </row>
    <row r="71" spans="1:26" ht="15.75" customHeight="1" x14ac:dyDescent="0.2">
      <c r="A71" s="483">
        <v>4</v>
      </c>
      <c r="B71" s="491" t="s">
        <v>1312</v>
      </c>
      <c r="C71" s="421"/>
      <c r="D71" s="455"/>
      <c r="E71" s="210"/>
      <c r="F71" s="211"/>
      <c r="G71" s="205"/>
      <c r="H71" s="212">
        <f>10%*(700-D73)</f>
        <v>70</v>
      </c>
      <c r="I71" s="213" t="s">
        <v>923</v>
      </c>
      <c r="J71" s="488">
        <f t="shared" si="10"/>
        <v>28</v>
      </c>
      <c r="K71" s="492">
        <f>IF(J71="","",IF(J71&gt;(10/100*(H73)),(10/100*(H73)),J71))</f>
        <v>28</v>
      </c>
      <c r="L71" s="489">
        <f>IFERROR(K71/H73,"")</f>
        <v>0.04</v>
      </c>
      <c r="M71" s="222">
        <f t="shared" ref="M71:M72" si="11">K71</f>
        <v>28</v>
      </c>
      <c r="N71" s="223">
        <f>IFERROR(M71/H73,"")</f>
        <v>0.04</v>
      </c>
      <c r="O71" s="164"/>
      <c r="P71" s="164"/>
      <c r="Q71" s="164"/>
      <c r="R71" s="164"/>
      <c r="S71" s="164"/>
      <c r="T71" s="164"/>
      <c r="U71" s="164"/>
      <c r="V71" s="164"/>
      <c r="W71" s="164"/>
      <c r="X71" s="164"/>
      <c r="Y71" s="164"/>
      <c r="Z71" s="164"/>
    </row>
    <row r="72" spans="1:26" ht="15.75" customHeight="1" x14ac:dyDescent="0.2">
      <c r="A72" s="483">
        <v>5</v>
      </c>
      <c r="B72" s="491" t="s">
        <v>1313</v>
      </c>
      <c r="C72" s="421"/>
      <c r="D72" s="455"/>
      <c r="E72" s="210"/>
      <c r="F72" s="211"/>
      <c r="G72" s="205"/>
      <c r="H72" s="212">
        <f>10%*(700-D73)</f>
        <v>70</v>
      </c>
      <c r="I72" s="213" t="s">
        <v>923</v>
      </c>
      <c r="J72" s="488">
        <f t="shared" si="10"/>
        <v>5</v>
      </c>
      <c r="K72" s="214">
        <f>IF(J72="","",IF(J72&gt;(10/100*(H73)),(10/100*(H73)),J72))</f>
        <v>5</v>
      </c>
      <c r="L72" s="489">
        <f>IFERROR(K72/H73,"")</f>
        <v>7.1428571428571426E-3</v>
      </c>
      <c r="M72" s="222">
        <f t="shared" si="11"/>
        <v>5</v>
      </c>
      <c r="N72" s="223">
        <f>IFERROR(M72/H73,"")</f>
        <v>7.1428571428571426E-3</v>
      </c>
      <c r="O72" s="164"/>
      <c r="P72" s="164"/>
      <c r="Q72" s="164"/>
      <c r="R72" s="164"/>
      <c r="S72" s="164"/>
      <c r="T72" s="164"/>
      <c r="U72" s="164"/>
      <c r="V72" s="164"/>
      <c r="W72" s="164"/>
      <c r="X72" s="164"/>
      <c r="Y72" s="164"/>
      <c r="Z72" s="164"/>
    </row>
    <row r="73" spans="1:26" ht="15.75" customHeight="1" x14ac:dyDescent="0.2">
      <c r="A73" s="494"/>
      <c r="B73" s="737" t="s">
        <v>1314</v>
      </c>
      <c r="C73" s="615"/>
      <c r="D73" s="495">
        <f>SUM(D68:D72)</f>
        <v>0</v>
      </c>
      <c r="E73" s="215"/>
      <c r="F73" s="215">
        <f t="shared" ref="F73:H73" si="12">SUM(F68:F72)</f>
        <v>0</v>
      </c>
      <c r="G73" s="216">
        <f t="shared" si="12"/>
        <v>0</v>
      </c>
      <c r="H73" s="217">
        <f t="shared" si="12"/>
        <v>700</v>
      </c>
      <c r="I73" s="218"/>
      <c r="J73" s="215">
        <f>SUM(J68:J72)</f>
        <v>709.5</v>
      </c>
      <c r="K73" s="215"/>
      <c r="L73" s="218"/>
      <c r="M73" s="224">
        <f>SUM(M68:M72)</f>
        <v>652</v>
      </c>
      <c r="N73" s="225"/>
      <c r="O73" s="10"/>
      <c r="P73" s="10"/>
      <c r="Q73" s="10"/>
      <c r="R73" s="10"/>
      <c r="S73" s="10"/>
      <c r="T73" s="10"/>
      <c r="U73" s="10"/>
      <c r="V73" s="10"/>
      <c r="W73" s="10"/>
      <c r="X73" s="10"/>
      <c r="Y73" s="10"/>
      <c r="Z73" s="10"/>
    </row>
    <row r="74" spans="1:26" ht="15.75" customHeight="1" x14ac:dyDescent="0.2">
      <c r="A74" s="483"/>
      <c r="B74" s="491"/>
      <c r="C74" s="421"/>
      <c r="D74" s="496"/>
      <c r="E74" s="214"/>
      <c r="F74" s="214"/>
      <c r="G74" s="219"/>
      <c r="H74" s="212"/>
      <c r="I74" s="220"/>
      <c r="J74" s="214"/>
      <c r="K74" s="214"/>
      <c r="L74" s="220"/>
      <c r="M74" s="212"/>
      <c r="N74" s="219"/>
      <c r="O74" s="164"/>
      <c r="P74" s="164"/>
      <c r="Q74" s="164"/>
      <c r="R74" s="164"/>
      <c r="S74" s="164"/>
      <c r="T74" s="164"/>
      <c r="U74" s="164"/>
      <c r="V74" s="164"/>
      <c r="W74" s="164"/>
      <c r="X74" s="164"/>
      <c r="Y74" s="164"/>
      <c r="Z74" s="164"/>
    </row>
    <row r="75" spans="1:26" ht="15.75" customHeight="1" x14ac:dyDescent="0.2">
      <c r="A75" s="480" t="s">
        <v>1325</v>
      </c>
      <c r="B75" s="481" t="s">
        <v>1326</v>
      </c>
      <c r="C75" s="201" t="str">
        <f>IF('LAMPIRAN I DONE'!F20="magister (S2)","S2",IF('LAMPIRAN I DONE'!F20="Doktor (S3)","S3",""))</f>
        <v>S2</v>
      </c>
      <c r="D75" s="498"/>
      <c r="E75" s="211"/>
      <c r="F75" s="203"/>
      <c r="G75" s="204"/>
      <c r="H75" s="202"/>
      <c r="I75" s="218"/>
      <c r="J75" s="203"/>
      <c r="K75" s="203"/>
      <c r="L75" s="218"/>
      <c r="M75" s="221"/>
      <c r="N75" s="204"/>
      <c r="O75" s="207"/>
      <c r="P75" s="207"/>
      <c r="Q75" s="207"/>
      <c r="R75" s="207"/>
      <c r="S75" s="207"/>
      <c r="T75" s="207"/>
      <c r="U75" s="207"/>
      <c r="V75" s="207"/>
      <c r="W75" s="207"/>
      <c r="X75" s="207"/>
      <c r="Y75" s="207"/>
      <c r="Z75" s="207"/>
    </row>
    <row r="76" spans="1:26" ht="15.75" customHeight="1" x14ac:dyDescent="0.2">
      <c r="A76" s="483">
        <v>1</v>
      </c>
      <c r="B76" s="484" t="s">
        <v>1309</v>
      </c>
      <c r="C76" s="485"/>
      <c r="D76" s="713"/>
      <c r="E76" s="728"/>
      <c r="F76" s="486"/>
      <c r="G76" s="487"/>
      <c r="H76" s="729">
        <f>(35%*(850-D81))</f>
        <v>297.5</v>
      </c>
      <c r="I76" s="731" t="s">
        <v>933</v>
      </c>
      <c r="J76" s="488">
        <f t="shared" ref="J76:J80" si="13">J68</f>
        <v>200</v>
      </c>
      <c r="K76" s="733">
        <f>IFERROR(J76+J77,"")</f>
        <v>619</v>
      </c>
      <c r="L76" s="734">
        <f>IFERROR(K76/H81,"")</f>
        <v>0.72823529411764709</v>
      </c>
      <c r="M76" s="735">
        <f>K76</f>
        <v>619</v>
      </c>
      <c r="N76" s="736">
        <f>IFERROR(M76/H81,"")</f>
        <v>0.72823529411764709</v>
      </c>
      <c r="O76" s="164"/>
      <c r="P76" s="164"/>
      <c r="Q76" s="164"/>
      <c r="R76" s="164"/>
      <c r="S76" s="164"/>
      <c r="T76" s="164"/>
      <c r="U76" s="164"/>
      <c r="V76" s="164"/>
      <c r="W76" s="164"/>
      <c r="X76" s="164"/>
      <c r="Y76" s="164"/>
      <c r="Z76" s="164"/>
    </row>
    <row r="77" spans="1:26" ht="15.75" customHeight="1" x14ac:dyDescent="0.2">
      <c r="A77" s="483">
        <v>2</v>
      </c>
      <c r="B77" s="484" t="s">
        <v>1310</v>
      </c>
      <c r="C77" s="485"/>
      <c r="D77" s="631"/>
      <c r="E77" s="631"/>
      <c r="F77" s="490"/>
      <c r="G77" s="208"/>
      <c r="H77" s="730"/>
      <c r="I77" s="732"/>
      <c r="J77" s="488">
        <f t="shared" si="13"/>
        <v>419</v>
      </c>
      <c r="K77" s="631"/>
      <c r="L77" s="732"/>
      <c r="M77" s="730"/>
      <c r="N77" s="732"/>
      <c r="O77" s="164"/>
      <c r="P77" s="164"/>
      <c r="Q77" s="164"/>
      <c r="R77" s="164"/>
      <c r="S77" s="164"/>
      <c r="T77" s="164"/>
      <c r="U77" s="164"/>
      <c r="V77" s="164"/>
      <c r="W77" s="164"/>
      <c r="X77" s="164"/>
      <c r="Y77" s="164"/>
      <c r="Z77" s="164"/>
    </row>
    <row r="78" spans="1:26" ht="15.75" customHeight="1" x14ac:dyDescent="0.25">
      <c r="A78" s="483">
        <v>3</v>
      </c>
      <c r="B78" s="491" t="s">
        <v>1311</v>
      </c>
      <c r="C78" s="421"/>
      <c r="D78" s="455"/>
      <c r="E78" s="497"/>
      <c r="F78" s="211"/>
      <c r="G78" s="205"/>
      <c r="H78" s="212">
        <f>45%*(850-D81)</f>
        <v>382.5</v>
      </c>
      <c r="I78" s="213" t="s">
        <v>932</v>
      </c>
      <c r="J78" s="488">
        <f t="shared" si="13"/>
        <v>57.5</v>
      </c>
      <c r="K78" s="492">
        <f>J78</f>
        <v>57.5</v>
      </c>
      <c r="L78" s="489">
        <f>IFERROR(K78/H81,"")</f>
        <v>6.7647058823529407E-2</v>
      </c>
      <c r="M78" s="222">
        <f>'Reviewer Eksternal (LK&amp;GB)1'!$K$139</f>
        <v>0</v>
      </c>
      <c r="N78" s="223">
        <f>IFERROR(M78/H81,"")</f>
        <v>0</v>
      </c>
      <c r="O78" s="164"/>
      <c r="P78" s="164"/>
      <c r="Q78" s="164"/>
      <c r="R78" s="164"/>
      <c r="S78" s="164"/>
      <c r="T78" s="164"/>
      <c r="U78" s="164"/>
      <c r="V78" s="164"/>
      <c r="W78" s="164"/>
      <c r="X78" s="164"/>
      <c r="Y78" s="164"/>
      <c r="Z78" s="164"/>
    </row>
    <row r="79" spans="1:26" ht="15.75" customHeight="1" x14ac:dyDescent="0.2">
      <c r="A79" s="483">
        <v>4</v>
      </c>
      <c r="B79" s="491" t="s">
        <v>1312</v>
      </c>
      <c r="C79" s="421"/>
      <c r="D79" s="455"/>
      <c r="E79" s="210"/>
      <c r="F79" s="211"/>
      <c r="G79" s="205"/>
      <c r="H79" s="212">
        <f>10%*(850-D81)</f>
        <v>85</v>
      </c>
      <c r="I79" s="213" t="s">
        <v>923</v>
      </c>
      <c r="J79" s="488">
        <f t="shared" si="13"/>
        <v>28</v>
      </c>
      <c r="K79" s="492">
        <f>IF(J79="","",IF(J79&gt;(10/100*(H81)),(10/100*(H81)),J79))</f>
        <v>28</v>
      </c>
      <c r="L79" s="489">
        <f>IFERROR(K79/H81,"")</f>
        <v>3.2941176470588238E-2</v>
      </c>
      <c r="M79" s="222">
        <f t="shared" ref="M79:M80" si="14">K79</f>
        <v>28</v>
      </c>
      <c r="N79" s="223">
        <f>IFERROR(M79/H81,"")</f>
        <v>3.2941176470588238E-2</v>
      </c>
      <c r="O79" s="164"/>
      <c r="P79" s="164"/>
      <c r="Q79" s="164"/>
      <c r="R79" s="164"/>
      <c r="S79" s="164"/>
      <c r="T79" s="164"/>
      <c r="U79" s="164"/>
      <c r="V79" s="164"/>
      <c r="W79" s="164"/>
      <c r="X79" s="164"/>
      <c r="Y79" s="164"/>
      <c r="Z79" s="164"/>
    </row>
    <row r="80" spans="1:26" ht="15.75" customHeight="1" x14ac:dyDescent="0.2">
      <c r="A80" s="483">
        <v>5</v>
      </c>
      <c r="B80" s="491" t="s">
        <v>1313</v>
      </c>
      <c r="C80" s="421"/>
      <c r="D80" s="455"/>
      <c r="E80" s="210"/>
      <c r="F80" s="211"/>
      <c r="G80" s="205"/>
      <c r="H80" s="212">
        <f>10%*(850-D81)</f>
        <v>85</v>
      </c>
      <c r="I80" s="213" t="s">
        <v>923</v>
      </c>
      <c r="J80" s="488">
        <f t="shared" si="13"/>
        <v>5</v>
      </c>
      <c r="K80" s="214">
        <f>IF(J80="","",IF(J80&gt;(10/100*(H81)),(10/100*(H81)),J80))</f>
        <v>5</v>
      </c>
      <c r="L80" s="489">
        <f>IFERROR(K80/H81,"")</f>
        <v>5.8823529411764705E-3</v>
      </c>
      <c r="M80" s="222">
        <f t="shared" si="14"/>
        <v>5</v>
      </c>
      <c r="N80" s="223">
        <f>IFERROR(M80/H81,"")</f>
        <v>5.8823529411764705E-3</v>
      </c>
      <c r="O80" s="164"/>
      <c r="P80" s="164"/>
      <c r="Q80" s="164"/>
      <c r="R80" s="164"/>
      <c r="S80" s="164"/>
      <c r="T80" s="164"/>
      <c r="U80" s="164"/>
      <c r="V80" s="164"/>
      <c r="W80" s="164"/>
      <c r="X80" s="164"/>
      <c r="Y80" s="164"/>
      <c r="Z80" s="164"/>
    </row>
    <row r="81" spans="1:26" ht="15.75" customHeight="1" x14ac:dyDescent="0.2">
      <c r="A81" s="494"/>
      <c r="B81" s="737" t="s">
        <v>1314</v>
      </c>
      <c r="C81" s="615"/>
      <c r="D81" s="495">
        <f>SUM(D76:D80)</f>
        <v>0</v>
      </c>
      <c r="E81" s="215"/>
      <c r="F81" s="215">
        <f t="shared" ref="F81:H81" si="15">SUM(F76:F80)</f>
        <v>0</v>
      </c>
      <c r="G81" s="216">
        <f t="shared" si="15"/>
        <v>0</v>
      </c>
      <c r="H81" s="217">
        <f t="shared" si="15"/>
        <v>850</v>
      </c>
      <c r="I81" s="218"/>
      <c r="J81" s="215">
        <f>SUM(J76:J80)</f>
        <v>709.5</v>
      </c>
      <c r="K81" s="215"/>
      <c r="L81" s="218"/>
      <c r="M81" s="224">
        <f>SUM(M76:M80)</f>
        <v>652</v>
      </c>
      <c r="N81" s="225"/>
      <c r="O81" s="10"/>
      <c r="P81" s="10"/>
      <c r="Q81" s="10"/>
      <c r="R81" s="10"/>
      <c r="S81" s="10"/>
      <c r="T81" s="10"/>
      <c r="U81" s="10"/>
      <c r="V81" s="10"/>
      <c r="W81" s="10"/>
      <c r="X81" s="10"/>
      <c r="Y81" s="10"/>
      <c r="Z81" s="10"/>
    </row>
    <row r="82" spans="1:26" ht="15.75" customHeight="1" x14ac:dyDescent="0.2">
      <c r="A82" s="483"/>
      <c r="B82" s="491"/>
      <c r="C82" s="421"/>
      <c r="D82" s="496"/>
      <c r="E82" s="214"/>
      <c r="F82" s="214"/>
      <c r="G82" s="219"/>
      <c r="H82" s="212"/>
      <c r="I82" s="220"/>
      <c r="J82" s="214"/>
      <c r="K82" s="214"/>
      <c r="L82" s="220"/>
      <c r="M82" s="212"/>
      <c r="N82" s="219"/>
      <c r="O82" s="164"/>
      <c r="P82" s="164"/>
      <c r="Q82" s="164"/>
      <c r="R82" s="164"/>
      <c r="S82" s="164"/>
      <c r="T82" s="164"/>
      <c r="U82" s="164"/>
      <c r="V82" s="164"/>
      <c r="W82" s="164"/>
      <c r="X82" s="164"/>
      <c r="Y82" s="164"/>
      <c r="Z82" s="164"/>
    </row>
    <row r="83" spans="1:26" ht="15.75" customHeight="1" x14ac:dyDescent="0.2">
      <c r="A83" s="476" t="s">
        <v>1327</v>
      </c>
      <c r="B83" s="481" t="s">
        <v>1328</v>
      </c>
      <c r="C83" s="201" t="str">
        <f>IF('LAMPIRAN I DONE'!F20="magister (S2)","S2",IF('LAMPIRAN I DONE'!F20="Doktor (S3)","S3",""))</f>
        <v>S2</v>
      </c>
      <c r="D83" s="498"/>
      <c r="E83" s="211"/>
      <c r="F83" s="203"/>
      <c r="G83" s="204"/>
      <c r="H83" s="202"/>
      <c r="I83" s="218"/>
      <c r="J83" s="203"/>
      <c r="K83" s="203"/>
      <c r="L83" s="218"/>
      <c r="M83" s="221"/>
      <c r="N83" s="204"/>
      <c r="O83" s="207"/>
      <c r="P83" s="207"/>
      <c r="Q83" s="207"/>
      <c r="R83" s="207"/>
      <c r="S83" s="207"/>
      <c r="T83" s="207"/>
      <c r="U83" s="207"/>
      <c r="V83" s="207"/>
      <c r="W83" s="207"/>
      <c r="X83" s="207"/>
      <c r="Y83" s="207"/>
      <c r="Z83" s="207"/>
    </row>
    <row r="84" spans="1:26" ht="15.75" customHeight="1" x14ac:dyDescent="0.2">
      <c r="A84" s="483">
        <v>1</v>
      </c>
      <c r="B84" s="484" t="s">
        <v>1309</v>
      </c>
      <c r="C84" s="485"/>
      <c r="D84" s="713"/>
      <c r="E84" s="728"/>
      <c r="F84" s="486"/>
      <c r="G84" s="487"/>
      <c r="H84" s="729">
        <f>35%*(1050-D89)</f>
        <v>367.5</v>
      </c>
      <c r="I84" s="731" t="s">
        <v>933</v>
      </c>
      <c r="J84" s="488">
        <f t="shared" ref="J84:J88" si="16">J76</f>
        <v>200</v>
      </c>
      <c r="K84" s="733">
        <f>IFERROR(J84+J85,"")</f>
        <v>619</v>
      </c>
      <c r="L84" s="734">
        <f>IFERROR(K84/H89,"")</f>
        <v>0.58952380952380956</v>
      </c>
      <c r="M84" s="735">
        <f>K84</f>
        <v>619</v>
      </c>
      <c r="N84" s="736">
        <f>IFERROR(M84/H89,"")</f>
        <v>0.58952380952380956</v>
      </c>
      <c r="O84" s="164"/>
      <c r="P84" s="164"/>
      <c r="Q84" s="164"/>
      <c r="R84" s="164"/>
      <c r="S84" s="164"/>
      <c r="T84" s="164"/>
      <c r="U84" s="164"/>
      <c r="V84" s="164"/>
      <c r="W84" s="164"/>
      <c r="X84" s="164"/>
      <c r="Y84" s="164"/>
      <c r="Z84" s="164"/>
    </row>
    <row r="85" spans="1:26" ht="15.75" customHeight="1" x14ac:dyDescent="0.2">
      <c r="A85" s="483">
        <v>2</v>
      </c>
      <c r="B85" s="484" t="s">
        <v>1310</v>
      </c>
      <c r="C85" s="485"/>
      <c r="D85" s="631"/>
      <c r="E85" s="631"/>
      <c r="F85" s="490"/>
      <c r="G85" s="208"/>
      <c r="H85" s="730"/>
      <c r="I85" s="732"/>
      <c r="J85" s="488">
        <f t="shared" si="16"/>
        <v>419</v>
      </c>
      <c r="K85" s="631"/>
      <c r="L85" s="732"/>
      <c r="M85" s="730"/>
      <c r="N85" s="732"/>
      <c r="O85" s="164"/>
      <c r="P85" s="164"/>
      <c r="Q85" s="164"/>
      <c r="R85" s="164"/>
      <c r="S85" s="164"/>
      <c r="T85" s="164"/>
      <c r="U85" s="164"/>
      <c r="V85" s="164"/>
      <c r="W85" s="164"/>
      <c r="X85" s="164"/>
      <c r="Y85" s="164"/>
      <c r="Z85" s="164"/>
    </row>
    <row r="86" spans="1:26" ht="15.75" customHeight="1" x14ac:dyDescent="0.25">
      <c r="A86" s="483">
        <v>3</v>
      </c>
      <c r="B86" s="491" t="s">
        <v>1311</v>
      </c>
      <c r="C86" s="421"/>
      <c r="D86" s="455"/>
      <c r="E86" s="497"/>
      <c r="F86" s="211"/>
      <c r="G86" s="205"/>
      <c r="H86" s="212">
        <f>45%*(1050-D89)</f>
        <v>472.5</v>
      </c>
      <c r="I86" s="213" t="s">
        <v>932</v>
      </c>
      <c r="J86" s="488">
        <f t="shared" si="16"/>
        <v>57.5</v>
      </c>
      <c r="K86" s="492">
        <f>J86</f>
        <v>57.5</v>
      </c>
      <c r="L86" s="489">
        <f>IFERROR(K86/H89,"")</f>
        <v>5.4761904761904762E-2</v>
      </c>
      <c r="M86" s="222">
        <f>'Reviewer Eksternal (LK&amp;GB)1'!$K$139</f>
        <v>0</v>
      </c>
      <c r="N86" s="223">
        <f>IFERROR(M86/H89,"")</f>
        <v>0</v>
      </c>
      <c r="O86" s="164"/>
      <c r="P86" s="164"/>
      <c r="Q86" s="164"/>
      <c r="R86" s="164"/>
      <c r="S86" s="164"/>
      <c r="T86" s="164"/>
      <c r="U86" s="164"/>
      <c r="V86" s="164"/>
      <c r="W86" s="164"/>
      <c r="X86" s="164"/>
      <c r="Y86" s="164"/>
      <c r="Z86" s="164"/>
    </row>
    <row r="87" spans="1:26" ht="15.75" customHeight="1" x14ac:dyDescent="0.2">
      <c r="A87" s="483">
        <v>4</v>
      </c>
      <c r="B87" s="491" t="s">
        <v>1312</v>
      </c>
      <c r="C87" s="421"/>
      <c r="D87" s="455"/>
      <c r="E87" s="210"/>
      <c r="F87" s="211"/>
      <c r="G87" s="205"/>
      <c r="H87" s="212">
        <f>10%*(1050-D89)</f>
        <v>105</v>
      </c>
      <c r="I87" s="213" t="s">
        <v>923</v>
      </c>
      <c r="J87" s="488">
        <f t="shared" si="16"/>
        <v>28</v>
      </c>
      <c r="K87" s="492">
        <f>IF(J87="","",IF(J87&gt;(10/100*(H89)),(10/100*(H89)),J87))</f>
        <v>28</v>
      </c>
      <c r="L87" s="489">
        <f>IFERROR(K87/H89,"")</f>
        <v>2.6666666666666668E-2</v>
      </c>
      <c r="M87" s="222">
        <f t="shared" ref="M87:M88" si="17">K87</f>
        <v>28</v>
      </c>
      <c r="N87" s="223">
        <f>IFERROR(M87/H89,"")</f>
        <v>2.6666666666666668E-2</v>
      </c>
      <c r="O87" s="164"/>
      <c r="P87" s="164"/>
      <c r="Q87" s="164"/>
      <c r="R87" s="164"/>
      <c r="S87" s="164"/>
      <c r="T87" s="164"/>
      <c r="U87" s="164"/>
      <c r="V87" s="164"/>
      <c r="W87" s="164"/>
      <c r="X87" s="164"/>
      <c r="Y87" s="164"/>
      <c r="Z87" s="164"/>
    </row>
    <row r="88" spans="1:26" ht="15.75" customHeight="1" x14ac:dyDescent="0.2">
      <c r="A88" s="483">
        <v>5</v>
      </c>
      <c r="B88" s="491" t="s">
        <v>1313</v>
      </c>
      <c r="C88" s="421"/>
      <c r="D88" s="455"/>
      <c r="E88" s="210"/>
      <c r="F88" s="211"/>
      <c r="G88" s="205"/>
      <c r="H88" s="212">
        <f>10%*(1050-D89)</f>
        <v>105</v>
      </c>
      <c r="I88" s="213" t="s">
        <v>923</v>
      </c>
      <c r="J88" s="488">
        <f t="shared" si="16"/>
        <v>5</v>
      </c>
      <c r="K88" s="214">
        <f>IF(J88="","",IF(J88&gt;(10/100*(H89)),(10/100*(H89)),J88))</f>
        <v>5</v>
      </c>
      <c r="L88" s="489">
        <f>IFERROR(K88/H89,"")</f>
        <v>4.7619047619047623E-3</v>
      </c>
      <c r="M88" s="222">
        <f t="shared" si="17"/>
        <v>5</v>
      </c>
      <c r="N88" s="223">
        <f>IFERROR(M88/H89,"")</f>
        <v>4.7619047619047623E-3</v>
      </c>
      <c r="O88" s="164"/>
      <c r="P88" s="164"/>
      <c r="Q88" s="164"/>
      <c r="R88" s="164"/>
      <c r="S88" s="164"/>
      <c r="T88" s="164"/>
      <c r="U88" s="164"/>
      <c r="V88" s="164"/>
      <c r="W88" s="164"/>
      <c r="X88" s="164"/>
      <c r="Y88" s="164"/>
      <c r="Z88" s="164"/>
    </row>
    <row r="89" spans="1:26" ht="15.75" customHeight="1" x14ac:dyDescent="0.2">
      <c r="A89" s="494"/>
      <c r="B89" s="726" t="s">
        <v>1314</v>
      </c>
      <c r="C89" s="727"/>
      <c r="D89" s="226">
        <f>SUM(D84:D88)</f>
        <v>0</v>
      </c>
      <c r="E89" s="227"/>
      <c r="F89" s="228">
        <f t="shared" ref="F89:H89" si="18">SUM(F84:F88)</f>
        <v>0</v>
      </c>
      <c r="G89" s="229">
        <f t="shared" si="18"/>
        <v>0</v>
      </c>
      <c r="H89" s="226">
        <f t="shared" si="18"/>
        <v>1050</v>
      </c>
      <c r="I89" s="230"/>
      <c r="J89" s="228">
        <f>SUM(J84:J88)</f>
        <v>709.5</v>
      </c>
      <c r="K89" s="228"/>
      <c r="L89" s="230"/>
      <c r="M89" s="224">
        <f>SUM(M84:M88)</f>
        <v>652</v>
      </c>
      <c r="N89" s="225"/>
      <c r="O89" s="10"/>
      <c r="P89" s="10"/>
      <c r="Q89" s="10"/>
      <c r="R89" s="10"/>
      <c r="S89" s="10"/>
      <c r="T89" s="10"/>
      <c r="U89" s="10"/>
      <c r="V89" s="10"/>
      <c r="W89" s="10"/>
      <c r="X89" s="10"/>
      <c r="Y89" s="10"/>
      <c r="Z89" s="10"/>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14" t="s">
        <v>36</v>
      </c>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3">
    <mergeCell ref="B33:C33"/>
    <mergeCell ref="D28:D29"/>
    <mergeCell ref="E36:E37"/>
    <mergeCell ref="H36:H37"/>
    <mergeCell ref="I36:I37"/>
    <mergeCell ref="K36:K37"/>
    <mergeCell ref="N44:N45"/>
    <mergeCell ref="D36:D37"/>
    <mergeCell ref="E44:E45"/>
    <mergeCell ref="H44:H45"/>
    <mergeCell ref="I44:I45"/>
    <mergeCell ref="K44:K45"/>
    <mergeCell ref="L44:L45"/>
    <mergeCell ref="M36:M37"/>
    <mergeCell ref="N36:N37"/>
    <mergeCell ref="D44:D45"/>
    <mergeCell ref="E52:E53"/>
    <mergeCell ref="H52:H53"/>
    <mergeCell ref="I52:I53"/>
    <mergeCell ref="K52:K53"/>
    <mergeCell ref="L52:L53"/>
    <mergeCell ref="L36:L37"/>
    <mergeCell ref="B41:C41"/>
    <mergeCell ref="M44:M45"/>
    <mergeCell ref="N60:N61"/>
    <mergeCell ref="D52:D53"/>
    <mergeCell ref="E60:E61"/>
    <mergeCell ref="H60:H61"/>
    <mergeCell ref="I60:I61"/>
    <mergeCell ref="K60:K61"/>
    <mergeCell ref="L60:L61"/>
    <mergeCell ref="B49:C49"/>
    <mergeCell ref="M52:M53"/>
    <mergeCell ref="N52:N53"/>
    <mergeCell ref="B19:C19"/>
    <mergeCell ref="B21:N21"/>
    <mergeCell ref="D22:N22"/>
    <mergeCell ref="A22:A24"/>
    <mergeCell ref="B73:C73"/>
    <mergeCell ref="M76:M77"/>
    <mergeCell ref="N76:N77"/>
    <mergeCell ref="D68:D69"/>
    <mergeCell ref="E76:E77"/>
    <mergeCell ref="H76:H77"/>
    <mergeCell ref="I76:I77"/>
    <mergeCell ref="K76:K77"/>
    <mergeCell ref="L76:L77"/>
    <mergeCell ref="B65:C65"/>
    <mergeCell ref="M68:M69"/>
    <mergeCell ref="N68:N69"/>
    <mergeCell ref="D60:D61"/>
    <mergeCell ref="E68:E69"/>
    <mergeCell ref="H68:H69"/>
    <mergeCell ref="I68:I69"/>
    <mergeCell ref="K68:K69"/>
    <mergeCell ref="L68:L69"/>
    <mergeCell ref="B57:C57"/>
    <mergeCell ref="M60:M61"/>
    <mergeCell ref="B13:C13"/>
    <mergeCell ref="B14:C14"/>
    <mergeCell ref="B15:C15"/>
    <mergeCell ref="D15:F15"/>
    <mergeCell ref="G15:M15"/>
    <mergeCell ref="B16:C16"/>
    <mergeCell ref="D16:M16"/>
    <mergeCell ref="A17:A18"/>
    <mergeCell ref="B17:B18"/>
    <mergeCell ref="D17:M17"/>
    <mergeCell ref="A2:M2"/>
    <mergeCell ref="A3:M3"/>
    <mergeCell ref="A4:M4"/>
    <mergeCell ref="B7:M7"/>
    <mergeCell ref="B8:C8"/>
    <mergeCell ref="B9:C9"/>
    <mergeCell ref="B10:C10"/>
    <mergeCell ref="B11:C11"/>
    <mergeCell ref="B12:C12"/>
    <mergeCell ref="B22:C24"/>
    <mergeCell ref="D23:G23"/>
    <mergeCell ref="H23:I23"/>
    <mergeCell ref="J23:L23"/>
    <mergeCell ref="M23:N23"/>
    <mergeCell ref="J24:K24"/>
    <mergeCell ref="L28:L29"/>
    <mergeCell ref="M28:M29"/>
    <mergeCell ref="N28:N29"/>
    <mergeCell ref="B25:C25"/>
    <mergeCell ref="B26:C26"/>
    <mergeCell ref="E28:E29"/>
    <mergeCell ref="H28:H29"/>
    <mergeCell ref="I28:I29"/>
    <mergeCell ref="K28:K29"/>
    <mergeCell ref="B89:C89"/>
    <mergeCell ref="M84:M85"/>
    <mergeCell ref="N84:N85"/>
    <mergeCell ref="D76:D77"/>
    <mergeCell ref="D84:D85"/>
    <mergeCell ref="E84:E85"/>
    <mergeCell ref="H84:H85"/>
    <mergeCell ref="I84:I85"/>
    <mergeCell ref="K84:K85"/>
    <mergeCell ref="L84:L85"/>
    <mergeCell ref="B81:C81"/>
  </mergeCells>
  <conditionalFormatting sqref="D36">
    <cfRule type="expression" dxfId="20" priority="1">
      <formula>D36=""</formula>
    </cfRule>
  </conditionalFormatting>
  <conditionalFormatting sqref="D38:D40">
    <cfRule type="expression" dxfId="19" priority="2">
      <formula>D38=""</formula>
    </cfRule>
  </conditionalFormatting>
  <conditionalFormatting sqref="D44">
    <cfRule type="expression" dxfId="18" priority="3">
      <formula>D44=""</formula>
    </cfRule>
  </conditionalFormatting>
  <conditionalFormatting sqref="D46:D48">
    <cfRule type="expression" dxfId="17" priority="4">
      <formula>D46=""</formula>
    </cfRule>
  </conditionalFormatting>
  <conditionalFormatting sqref="D52">
    <cfRule type="expression" dxfId="16" priority="5">
      <formula>D52=""</formula>
    </cfRule>
  </conditionalFormatting>
  <conditionalFormatting sqref="D54:D56">
    <cfRule type="expression" dxfId="15" priority="6">
      <formula>D54=""</formula>
    </cfRule>
  </conditionalFormatting>
  <conditionalFormatting sqref="D60">
    <cfRule type="expression" dxfId="14" priority="7">
      <formula>D60=""</formula>
    </cfRule>
  </conditionalFormatting>
  <conditionalFormatting sqref="D62:D64">
    <cfRule type="expression" dxfId="13" priority="8">
      <formula>D62=""</formula>
    </cfRule>
  </conditionalFormatting>
  <conditionalFormatting sqref="D68">
    <cfRule type="expression" dxfId="12" priority="9">
      <formula>D68=""</formula>
    </cfRule>
  </conditionalFormatting>
  <conditionalFormatting sqref="D70:D72">
    <cfRule type="expression" dxfId="11" priority="10">
      <formula>D70=""</formula>
    </cfRule>
  </conditionalFormatting>
  <conditionalFormatting sqref="D76">
    <cfRule type="expression" dxfId="10" priority="11">
      <formula>D76=""</formula>
    </cfRule>
  </conditionalFormatting>
  <conditionalFormatting sqref="D78:D80">
    <cfRule type="expression" dxfId="9" priority="12">
      <formula>D78=""</formula>
    </cfRule>
  </conditionalFormatting>
  <conditionalFormatting sqref="D84">
    <cfRule type="expression" dxfId="8" priority="13">
      <formula>D84=""</formula>
    </cfRule>
  </conditionalFormatting>
  <conditionalFormatting sqref="D86:D88">
    <cfRule type="expression" dxfId="7" priority="14">
      <formula>D86=""</formula>
    </cfRule>
  </conditionalFormatting>
  <conditionalFormatting sqref="E38">
    <cfRule type="expression" dxfId="6" priority="15">
      <formula>E38=""</formula>
    </cfRule>
  </conditionalFormatting>
  <conditionalFormatting sqref="E46">
    <cfRule type="expression" dxfId="5" priority="16">
      <formula>E46=""</formula>
    </cfRule>
  </conditionalFormatting>
  <conditionalFormatting sqref="E54">
    <cfRule type="expression" dxfId="4" priority="17">
      <formula>E54=""</formula>
    </cfRule>
  </conditionalFormatting>
  <conditionalFormatting sqref="E62">
    <cfRule type="expression" dxfId="3" priority="18">
      <formula>E62=""</formula>
    </cfRule>
  </conditionalFormatting>
  <conditionalFormatting sqref="E70">
    <cfRule type="expression" dxfId="2" priority="19">
      <formula>E70=""</formula>
    </cfRule>
  </conditionalFormatting>
  <conditionalFormatting sqref="E78">
    <cfRule type="expression" dxfId="1" priority="20">
      <formula>E78=""</formula>
    </cfRule>
  </conditionalFormatting>
  <conditionalFormatting sqref="E86">
    <cfRule type="expression" dxfId="0" priority="21">
      <formula>E86=""</formula>
    </cfRule>
  </conditionalFormatting>
  <dataValidations count="2">
    <dataValidation type="list" allowBlank="1" showErrorMessage="1" sqref="D35 D43" xr:uid="{00000000-0002-0000-0A00-000000000000}">
      <formula1>"AA(100),AA(150)"</formula1>
    </dataValidation>
    <dataValidation type="list" allowBlank="1" showErrorMessage="1" sqref="M27" xr:uid="{00000000-0002-0000-0A00-000001000000}">
      <formula1>#REF!</formula1>
    </dataValidation>
  </dataValidation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625" defaultRowHeight="15" customHeight="1" x14ac:dyDescent="0.2"/>
  <cols>
    <col min="1" max="5" width="4.125" customWidth="1"/>
    <col min="6" max="6" width="2.625" customWidth="1"/>
    <col min="7" max="7" width="39.5" customWidth="1"/>
    <col min="8" max="8" width="8.5" customWidth="1"/>
    <col min="9" max="9" width="7.375" customWidth="1"/>
    <col min="10" max="10" width="9.125" customWidth="1"/>
    <col min="11" max="12" width="6.625" customWidth="1"/>
    <col min="13" max="13" width="11.375" customWidth="1"/>
    <col min="14" max="16" width="8" customWidth="1"/>
    <col min="17" max="26" width="7.625" customWidth="1"/>
  </cols>
  <sheetData>
    <row r="1" spans="1:26" ht="18" customHeight="1" x14ac:dyDescent="0.25">
      <c r="A1" s="236"/>
      <c r="B1" s="237"/>
      <c r="C1" s="236"/>
      <c r="D1" s="238"/>
      <c r="E1" s="238"/>
      <c r="F1" s="238"/>
      <c r="G1" s="239"/>
      <c r="H1" s="790" t="s">
        <v>1329</v>
      </c>
      <c r="I1" s="613"/>
      <c r="J1" s="613"/>
      <c r="K1" s="613"/>
      <c r="L1" s="613"/>
      <c r="M1" s="613"/>
      <c r="N1" s="237"/>
      <c r="O1" s="237"/>
      <c r="P1" s="237"/>
      <c r="Q1" s="237"/>
      <c r="R1" s="237"/>
      <c r="S1" s="237"/>
      <c r="T1" s="237"/>
      <c r="U1" s="237"/>
      <c r="V1" s="237"/>
      <c r="W1" s="237"/>
      <c r="X1" s="237"/>
      <c r="Y1" s="237"/>
      <c r="Z1" s="237"/>
    </row>
    <row r="2" spans="1:26" ht="15" customHeight="1" x14ac:dyDescent="0.25">
      <c r="A2" s="241"/>
      <c r="B2" s="241"/>
      <c r="C2" s="241"/>
      <c r="D2" s="241"/>
      <c r="E2" s="241"/>
      <c r="F2" s="241"/>
      <c r="G2" s="241"/>
      <c r="H2" s="790" t="s">
        <v>1330</v>
      </c>
      <c r="I2" s="613"/>
      <c r="J2" s="613"/>
      <c r="K2" s="613"/>
      <c r="L2" s="613"/>
      <c r="M2" s="613"/>
      <c r="N2" s="237"/>
      <c r="O2" s="237"/>
      <c r="P2" s="237"/>
      <c r="Q2" s="237"/>
      <c r="R2" s="237"/>
      <c r="S2" s="237"/>
      <c r="T2" s="237"/>
      <c r="U2" s="237"/>
      <c r="V2" s="237"/>
      <c r="W2" s="237"/>
      <c r="X2" s="237"/>
      <c r="Y2" s="237"/>
      <c r="Z2" s="237"/>
    </row>
    <row r="3" spans="1:26" ht="15" customHeight="1" x14ac:dyDescent="0.25">
      <c r="A3" s="241"/>
      <c r="B3" s="241"/>
      <c r="C3" s="241"/>
      <c r="D3" s="241"/>
      <c r="E3" s="241"/>
      <c r="F3" s="241"/>
      <c r="G3" s="241"/>
      <c r="H3" s="240" t="s">
        <v>1331</v>
      </c>
      <c r="I3" s="240"/>
      <c r="J3" s="240"/>
      <c r="K3" s="240"/>
      <c r="L3" s="240"/>
      <c r="M3" s="240"/>
      <c r="N3" s="237"/>
      <c r="O3" s="237"/>
      <c r="P3" s="237"/>
      <c r="Q3" s="237"/>
      <c r="R3" s="237"/>
      <c r="S3" s="237"/>
      <c r="T3" s="237"/>
      <c r="U3" s="237"/>
      <c r="V3" s="237"/>
      <c r="W3" s="237"/>
      <c r="X3" s="237"/>
      <c r="Y3" s="237"/>
      <c r="Z3" s="237"/>
    </row>
    <row r="4" spans="1:26" ht="15" customHeight="1" x14ac:dyDescent="0.25">
      <c r="A4" s="241"/>
      <c r="B4" s="241"/>
      <c r="C4" s="241"/>
      <c r="D4" s="241"/>
      <c r="E4" s="241"/>
      <c r="F4" s="241"/>
      <c r="G4" s="241"/>
      <c r="H4" s="240" t="s">
        <v>1332</v>
      </c>
      <c r="I4" s="240"/>
      <c r="J4" s="240"/>
      <c r="K4" s="240"/>
      <c r="L4" s="240"/>
      <c r="M4" s="240"/>
      <c r="N4" s="237"/>
      <c r="O4" s="237"/>
      <c r="P4" s="237"/>
      <c r="Q4" s="237"/>
      <c r="R4" s="237"/>
      <c r="S4" s="237"/>
      <c r="T4" s="237"/>
      <c r="U4" s="237"/>
      <c r="V4" s="237"/>
      <c r="W4" s="237"/>
      <c r="X4" s="237"/>
      <c r="Y4" s="237"/>
      <c r="Z4" s="237"/>
    </row>
    <row r="5" spans="1:26" ht="15" customHeight="1" x14ac:dyDescent="0.25">
      <c r="A5" s="241"/>
      <c r="B5" s="241"/>
      <c r="C5" s="241"/>
      <c r="D5" s="241"/>
      <c r="E5" s="241"/>
      <c r="F5" s="241"/>
      <c r="G5" s="241"/>
      <c r="H5" s="240" t="s">
        <v>1333</v>
      </c>
      <c r="I5" s="240"/>
      <c r="J5" s="240"/>
      <c r="K5" s="240"/>
      <c r="L5" s="240"/>
      <c r="M5" s="240"/>
      <c r="N5" s="237"/>
      <c r="O5" s="237"/>
      <c r="P5" s="237"/>
      <c r="Q5" s="237"/>
      <c r="R5" s="237"/>
      <c r="S5" s="237"/>
      <c r="T5" s="237"/>
      <c r="U5" s="237"/>
      <c r="V5" s="237"/>
      <c r="W5" s="237"/>
      <c r="X5" s="237"/>
      <c r="Y5" s="237"/>
      <c r="Z5" s="237"/>
    </row>
    <row r="6" spans="1:26" ht="15" customHeight="1" x14ac:dyDescent="0.25">
      <c r="A6" s="241"/>
      <c r="B6" s="241"/>
      <c r="C6" s="241"/>
      <c r="D6" s="241"/>
      <c r="E6" s="241"/>
      <c r="F6" s="241"/>
      <c r="G6" s="241"/>
      <c r="H6" s="242" t="s">
        <v>1334</v>
      </c>
      <c r="I6" s="240"/>
      <c r="J6" s="240"/>
      <c r="K6" s="240"/>
      <c r="L6" s="240"/>
      <c r="M6" s="240"/>
      <c r="N6" s="237"/>
      <c r="O6" s="237"/>
      <c r="P6" s="237"/>
      <c r="Q6" s="237"/>
      <c r="R6" s="237"/>
      <c r="S6" s="237"/>
      <c r="T6" s="237"/>
      <c r="U6" s="237"/>
      <c r="V6" s="237"/>
      <c r="W6" s="237"/>
      <c r="X6" s="237"/>
      <c r="Y6" s="237"/>
      <c r="Z6" s="237"/>
    </row>
    <row r="7" spans="1:26" ht="15" customHeight="1" x14ac:dyDescent="0.25">
      <c r="A7" s="241"/>
      <c r="B7" s="241"/>
      <c r="C7" s="241"/>
      <c r="D7" s="241"/>
      <c r="E7" s="241"/>
      <c r="F7" s="241"/>
      <c r="G7" s="241"/>
      <c r="H7" s="242" t="s">
        <v>1335</v>
      </c>
      <c r="I7" s="240"/>
      <c r="J7" s="240"/>
      <c r="K7" s="240"/>
      <c r="L7" s="240"/>
      <c r="M7" s="240"/>
      <c r="N7" s="237"/>
      <c r="O7" s="237"/>
      <c r="P7" s="237"/>
      <c r="Q7" s="237"/>
      <c r="R7" s="237"/>
      <c r="S7" s="237"/>
      <c r="T7" s="237"/>
      <c r="U7" s="237"/>
      <c r="V7" s="237"/>
      <c r="W7" s="237"/>
      <c r="X7" s="237"/>
      <c r="Y7" s="237"/>
      <c r="Z7" s="237"/>
    </row>
    <row r="8" spans="1:26" ht="15" customHeight="1" x14ac:dyDescent="0.25">
      <c r="A8" s="241"/>
      <c r="B8" s="241"/>
      <c r="C8" s="241"/>
      <c r="D8" s="241"/>
      <c r="E8" s="241"/>
      <c r="F8" s="241"/>
      <c r="G8" s="241"/>
      <c r="H8" s="240" t="s">
        <v>1336</v>
      </c>
      <c r="I8" s="240"/>
      <c r="J8" s="240"/>
      <c r="K8" s="240"/>
      <c r="L8" s="240"/>
      <c r="M8" s="240"/>
      <c r="N8" s="237"/>
      <c r="O8" s="237"/>
      <c r="P8" s="237"/>
      <c r="Q8" s="237"/>
      <c r="R8" s="237"/>
      <c r="S8" s="237"/>
      <c r="T8" s="237"/>
      <c r="U8" s="237"/>
      <c r="V8" s="237"/>
      <c r="W8" s="237"/>
      <c r="X8" s="237"/>
      <c r="Y8" s="237"/>
      <c r="Z8" s="237"/>
    </row>
    <row r="9" spans="1:26" ht="153" customHeight="1" x14ac:dyDescent="0.25">
      <c r="A9" s="241"/>
      <c r="B9" s="241"/>
      <c r="C9" s="241"/>
      <c r="D9" s="241"/>
      <c r="E9" s="241"/>
      <c r="F9" s="241"/>
      <c r="G9" s="241"/>
      <c r="H9" s="791" t="s">
        <v>1337</v>
      </c>
      <c r="I9" s="613"/>
      <c r="J9" s="613"/>
      <c r="K9" s="613"/>
      <c r="L9" s="613"/>
      <c r="M9" s="613"/>
      <c r="N9" s="237"/>
      <c r="O9" s="237"/>
      <c r="P9" s="237"/>
      <c r="Q9" s="237"/>
      <c r="R9" s="237"/>
      <c r="S9" s="237"/>
      <c r="T9" s="237"/>
      <c r="U9" s="237"/>
      <c r="V9" s="237"/>
      <c r="W9" s="237"/>
      <c r="X9" s="237"/>
      <c r="Y9" s="237"/>
      <c r="Z9" s="237"/>
    </row>
    <row r="10" spans="1:26" ht="19.5" customHeight="1" x14ac:dyDescent="0.25">
      <c r="A10" s="792" t="s">
        <v>6</v>
      </c>
      <c r="B10" s="613"/>
      <c r="C10" s="613"/>
      <c r="D10" s="613"/>
      <c r="E10" s="613"/>
      <c r="F10" s="613"/>
      <c r="G10" s="613"/>
      <c r="H10" s="613"/>
      <c r="I10" s="613"/>
      <c r="J10" s="613"/>
      <c r="K10" s="613"/>
      <c r="L10" s="613"/>
      <c r="M10" s="613"/>
      <c r="N10" s="243"/>
      <c r="O10" s="237"/>
      <c r="P10" s="237"/>
      <c r="Q10" s="237"/>
      <c r="R10" s="237"/>
      <c r="S10" s="237"/>
      <c r="T10" s="237"/>
      <c r="U10" s="237"/>
      <c r="V10" s="237"/>
      <c r="W10" s="237"/>
      <c r="X10" s="237"/>
      <c r="Y10" s="237"/>
      <c r="Z10" s="237"/>
    </row>
    <row r="11" spans="1:26" ht="19.5" customHeight="1" x14ac:dyDescent="0.25">
      <c r="A11" s="792" t="s">
        <v>7</v>
      </c>
      <c r="B11" s="613"/>
      <c r="C11" s="613"/>
      <c r="D11" s="613"/>
      <c r="E11" s="613"/>
      <c r="F11" s="613"/>
      <c r="G11" s="613"/>
      <c r="H11" s="613"/>
      <c r="I11" s="613"/>
      <c r="J11" s="613"/>
      <c r="K11" s="613"/>
      <c r="L11" s="613"/>
      <c r="M11" s="613"/>
      <c r="N11" s="243"/>
      <c r="O11" s="237"/>
      <c r="P11" s="237"/>
      <c r="Q11" s="237"/>
      <c r="R11" s="237"/>
      <c r="S11" s="237"/>
      <c r="T11" s="237"/>
      <c r="U11" s="237"/>
      <c r="V11" s="237"/>
      <c r="W11" s="237"/>
      <c r="X11" s="237"/>
      <c r="Y11" s="237"/>
      <c r="Z11" s="237"/>
    </row>
    <row r="12" spans="1:26" ht="18.75" customHeight="1" x14ac:dyDescent="0.25">
      <c r="A12" s="793"/>
      <c r="B12" s="613"/>
      <c r="C12" s="613"/>
      <c r="D12" s="613"/>
      <c r="E12" s="613"/>
      <c r="F12" s="613"/>
      <c r="G12" s="613"/>
      <c r="H12" s="613"/>
      <c r="I12" s="613"/>
      <c r="J12" s="613"/>
      <c r="K12" s="613"/>
      <c r="L12" s="613"/>
      <c r="M12" s="613"/>
      <c r="N12" s="243"/>
      <c r="O12" s="237"/>
      <c r="P12" s="237"/>
      <c r="Q12" s="237"/>
      <c r="R12" s="237"/>
      <c r="S12" s="237"/>
      <c r="T12" s="237"/>
      <c r="U12" s="237"/>
      <c r="V12" s="237"/>
      <c r="W12" s="237"/>
      <c r="X12" s="237"/>
      <c r="Y12" s="237"/>
      <c r="Z12" s="237"/>
    </row>
    <row r="13" spans="1:26" ht="18.75" customHeight="1" x14ac:dyDescent="0.25">
      <c r="A13" s="244"/>
      <c r="B13" s="244"/>
      <c r="C13" s="244"/>
      <c r="D13" s="244"/>
      <c r="E13" s="244"/>
      <c r="F13" s="244"/>
      <c r="G13" s="244"/>
      <c r="H13" s="244"/>
      <c r="I13" s="244"/>
      <c r="J13" s="244"/>
      <c r="K13" s="244"/>
      <c r="L13" s="244"/>
      <c r="M13" s="244"/>
      <c r="N13" s="244"/>
      <c r="O13" s="237"/>
      <c r="P13" s="237"/>
      <c r="Q13" s="237"/>
      <c r="R13" s="237"/>
      <c r="S13" s="237"/>
      <c r="T13" s="237"/>
      <c r="U13" s="237"/>
      <c r="V13" s="237"/>
      <c r="W13" s="237"/>
      <c r="X13" s="237"/>
      <c r="Y13" s="237"/>
      <c r="Z13" s="237"/>
    </row>
    <row r="14" spans="1:26" ht="18" customHeight="1" x14ac:dyDescent="0.25">
      <c r="A14" s="238" t="s">
        <v>1338</v>
      </c>
      <c r="B14" s="241"/>
      <c r="C14" s="241"/>
      <c r="D14" s="241"/>
      <c r="E14" s="241"/>
      <c r="F14" s="241"/>
      <c r="G14" s="241"/>
      <c r="H14" s="790" t="s">
        <v>8</v>
      </c>
      <c r="I14" s="613"/>
      <c r="J14" s="613"/>
      <c r="K14" s="237"/>
      <c r="L14" s="237"/>
      <c r="M14" s="241"/>
      <c r="N14" s="241"/>
      <c r="O14" s="237"/>
      <c r="P14" s="237"/>
      <c r="Q14" s="237"/>
      <c r="R14" s="237"/>
      <c r="S14" s="237"/>
      <c r="T14" s="237"/>
      <c r="U14" s="237"/>
      <c r="V14" s="237"/>
      <c r="W14" s="237"/>
      <c r="X14" s="237"/>
      <c r="Y14" s="237"/>
      <c r="Z14" s="237"/>
    </row>
    <row r="15" spans="1:26" ht="19.5" customHeight="1" x14ac:dyDescent="0.25">
      <c r="A15" s="237"/>
      <c r="B15" s="238"/>
      <c r="C15" s="238"/>
      <c r="D15" s="238"/>
      <c r="E15" s="238"/>
      <c r="F15" s="238"/>
      <c r="G15" s="238"/>
      <c r="H15" s="238" t="s">
        <v>1339</v>
      </c>
      <c r="I15" s="238"/>
      <c r="J15" s="237"/>
      <c r="K15" s="238"/>
      <c r="L15" s="238"/>
      <c r="M15" s="238"/>
      <c r="N15" s="238"/>
      <c r="O15" s="237"/>
      <c r="P15" s="237"/>
      <c r="Q15" s="237"/>
      <c r="R15" s="237"/>
      <c r="S15" s="237"/>
      <c r="T15" s="237"/>
      <c r="U15" s="237"/>
      <c r="V15" s="237"/>
      <c r="W15" s="237"/>
      <c r="X15" s="237"/>
      <c r="Y15" s="237"/>
      <c r="Z15" s="237"/>
    </row>
    <row r="16" spans="1:26" ht="25.5" customHeight="1" x14ac:dyDescent="0.25">
      <c r="A16" s="245" t="s">
        <v>45</v>
      </c>
      <c r="B16" s="770" t="s">
        <v>1340</v>
      </c>
      <c r="C16" s="615"/>
      <c r="D16" s="615"/>
      <c r="E16" s="615"/>
      <c r="F16" s="615"/>
      <c r="G16" s="615"/>
      <c r="H16" s="615"/>
      <c r="I16" s="615"/>
      <c r="J16" s="615"/>
      <c r="K16" s="615"/>
      <c r="L16" s="615"/>
      <c r="M16" s="616"/>
      <c r="N16" s="238"/>
      <c r="O16" s="238"/>
      <c r="P16" s="237"/>
      <c r="Q16" s="237"/>
      <c r="R16" s="237"/>
      <c r="S16" s="237"/>
      <c r="T16" s="237"/>
      <c r="U16" s="237"/>
      <c r="V16" s="237"/>
      <c r="W16" s="237"/>
      <c r="X16" s="237"/>
      <c r="Y16" s="237"/>
      <c r="Z16" s="237"/>
    </row>
    <row r="17" spans="1:26" ht="21" customHeight="1" x14ac:dyDescent="0.25">
      <c r="A17" s="501" t="s">
        <v>121</v>
      </c>
      <c r="B17" s="764" t="s">
        <v>1341</v>
      </c>
      <c r="C17" s="615"/>
      <c r="D17" s="615"/>
      <c r="E17" s="615"/>
      <c r="F17" s="615"/>
      <c r="G17" s="615"/>
      <c r="H17" s="502"/>
      <c r="I17" s="503"/>
      <c r="J17" s="503"/>
      <c r="K17" s="246"/>
      <c r="L17" s="246"/>
      <c r="M17" s="247"/>
      <c r="N17" s="238"/>
      <c r="O17" s="238"/>
      <c r="P17" s="237"/>
      <c r="Q17" s="237"/>
      <c r="R17" s="237"/>
      <c r="S17" s="237"/>
      <c r="T17" s="237"/>
      <c r="U17" s="237"/>
      <c r="V17" s="237"/>
      <c r="W17" s="237"/>
      <c r="X17" s="237"/>
      <c r="Y17" s="237"/>
      <c r="Z17" s="237"/>
    </row>
    <row r="18" spans="1:26" ht="21" customHeight="1" x14ac:dyDescent="0.2">
      <c r="A18" s="500" t="s">
        <v>123</v>
      </c>
      <c r="B18" s="764" t="s">
        <v>1342</v>
      </c>
      <c r="C18" s="615"/>
      <c r="D18" s="615"/>
      <c r="E18" s="615"/>
      <c r="F18" s="615"/>
      <c r="G18" s="615"/>
      <c r="H18" s="502"/>
      <c r="I18" s="503"/>
      <c r="J18" s="503"/>
      <c r="K18" s="504"/>
      <c r="L18" s="504"/>
      <c r="M18" s="505"/>
      <c r="N18" s="238"/>
      <c r="O18" s="238"/>
      <c r="P18" s="238"/>
      <c r="Q18" s="238"/>
      <c r="R18" s="238"/>
      <c r="S18" s="238"/>
      <c r="T18" s="238"/>
      <c r="U18" s="238"/>
      <c r="V18" s="238"/>
      <c r="W18" s="238"/>
      <c r="X18" s="238"/>
      <c r="Y18" s="238"/>
      <c r="Z18" s="238"/>
    </row>
    <row r="19" spans="1:26" ht="21" customHeight="1" x14ac:dyDescent="0.2">
      <c r="A19" s="500" t="s">
        <v>125</v>
      </c>
      <c r="B19" s="764" t="s">
        <v>1343</v>
      </c>
      <c r="C19" s="615"/>
      <c r="D19" s="615"/>
      <c r="E19" s="615"/>
      <c r="F19" s="615"/>
      <c r="G19" s="615"/>
      <c r="H19" s="502"/>
      <c r="I19" s="503"/>
      <c r="J19" s="503"/>
      <c r="K19" s="504"/>
      <c r="L19" s="504"/>
      <c r="M19" s="505"/>
      <c r="N19" s="238"/>
      <c r="O19" s="238"/>
      <c r="P19" s="238"/>
      <c r="Q19" s="238"/>
      <c r="R19" s="238"/>
      <c r="S19" s="238"/>
      <c r="T19" s="238"/>
      <c r="U19" s="238"/>
      <c r="V19" s="238"/>
      <c r="W19" s="238"/>
      <c r="X19" s="238"/>
      <c r="Y19" s="238"/>
      <c r="Z19" s="238"/>
    </row>
    <row r="20" spans="1:26" ht="21" customHeight="1" x14ac:dyDescent="0.2">
      <c r="A20" s="500" t="s">
        <v>127</v>
      </c>
      <c r="B20" s="764" t="s">
        <v>1344</v>
      </c>
      <c r="C20" s="615"/>
      <c r="D20" s="615"/>
      <c r="E20" s="615"/>
      <c r="F20" s="615"/>
      <c r="G20" s="615"/>
      <c r="H20" s="502"/>
      <c r="I20" s="503"/>
      <c r="J20" s="503"/>
      <c r="K20" s="504"/>
      <c r="L20" s="504"/>
      <c r="M20" s="505"/>
      <c r="N20" s="238"/>
      <c r="O20" s="238"/>
      <c r="P20" s="238"/>
      <c r="Q20" s="238"/>
      <c r="R20" s="238"/>
      <c r="S20" s="238"/>
      <c r="T20" s="238"/>
      <c r="U20" s="238"/>
      <c r="V20" s="238"/>
      <c r="W20" s="238"/>
      <c r="X20" s="238"/>
      <c r="Y20" s="238"/>
      <c r="Z20" s="238"/>
    </row>
    <row r="21" spans="1:26" ht="21" customHeight="1" x14ac:dyDescent="0.2">
      <c r="A21" s="500" t="s">
        <v>129</v>
      </c>
      <c r="B21" s="764" t="s">
        <v>1345</v>
      </c>
      <c r="C21" s="615"/>
      <c r="D21" s="615"/>
      <c r="E21" s="615"/>
      <c r="F21" s="615"/>
      <c r="G21" s="615"/>
      <c r="H21" s="502"/>
      <c r="I21" s="503"/>
      <c r="J21" s="503"/>
      <c r="K21" s="504"/>
      <c r="L21" s="504"/>
      <c r="M21" s="505"/>
      <c r="N21" s="238"/>
      <c r="O21" s="238"/>
      <c r="P21" s="238"/>
      <c r="Q21" s="238"/>
      <c r="R21" s="238"/>
      <c r="S21" s="238"/>
      <c r="T21" s="238"/>
      <c r="U21" s="238"/>
      <c r="V21" s="238"/>
      <c r="W21" s="238"/>
      <c r="X21" s="238"/>
      <c r="Y21" s="238"/>
      <c r="Z21" s="238"/>
    </row>
    <row r="22" spans="1:26" ht="21" customHeight="1" x14ac:dyDescent="0.25">
      <c r="A22" s="500" t="s">
        <v>131</v>
      </c>
      <c r="B22" s="764" t="s">
        <v>1346</v>
      </c>
      <c r="C22" s="615"/>
      <c r="D22" s="615"/>
      <c r="E22" s="615"/>
      <c r="F22" s="615"/>
      <c r="G22" s="615"/>
      <c r="H22" s="506"/>
      <c r="I22" s="507"/>
      <c r="J22" s="507"/>
      <c r="K22" s="504"/>
      <c r="L22" s="504"/>
      <c r="M22" s="505"/>
      <c r="N22" s="238"/>
      <c r="O22" s="238"/>
      <c r="P22" s="238"/>
      <c r="Q22" s="238"/>
      <c r="R22" s="238"/>
      <c r="S22" s="238"/>
      <c r="T22" s="238"/>
      <c r="U22" s="238"/>
      <c r="V22" s="238"/>
      <c r="W22" s="238"/>
      <c r="X22" s="238"/>
      <c r="Y22" s="238"/>
      <c r="Z22" s="238"/>
    </row>
    <row r="23" spans="1:26" ht="21" customHeight="1" x14ac:dyDescent="0.2">
      <c r="A23" s="500" t="s">
        <v>134</v>
      </c>
      <c r="B23" s="764" t="s">
        <v>1347</v>
      </c>
      <c r="C23" s="615"/>
      <c r="D23" s="615"/>
      <c r="E23" s="615"/>
      <c r="F23" s="615"/>
      <c r="G23" s="615"/>
      <c r="H23" s="502"/>
      <c r="I23" s="503"/>
      <c r="J23" s="503"/>
      <c r="K23" s="504"/>
      <c r="L23" s="504"/>
      <c r="M23" s="505"/>
      <c r="N23" s="238"/>
      <c r="O23" s="238"/>
      <c r="P23" s="238"/>
      <c r="Q23" s="238"/>
      <c r="R23" s="238"/>
      <c r="S23" s="238"/>
      <c r="T23" s="238"/>
      <c r="U23" s="238"/>
      <c r="V23" s="238"/>
      <c r="W23" s="238"/>
      <c r="X23" s="238"/>
      <c r="Y23" s="238"/>
      <c r="Z23" s="238"/>
    </row>
    <row r="24" spans="1:26" ht="21" customHeight="1" x14ac:dyDescent="0.2">
      <c r="A24" s="508" t="s">
        <v>1348</v>
      </c>
      <c r="B24" s="764" t="s">
        <v>1349</v>
      </c>
      <c r="C24" s="615"/>
      <c r="D24" s="615"/>
      <c r="E24" s="615"/>
      <c r="F24" s="615"/>
      <c r="G24" s="615"/>
      <c r="H24" s="502"/>
      <c r="I24" s="503"/>
      <c r="J24" s="503"/>
      <c r="K24" s="248"/>
      <c r="L24" s="248"/>
      <c r="M24" s="249"/>
      <c r="N24" s="238"/>
      <c r="O24" s="238"/>
      <c r="P24" s="238"/>
      <c r="Q24" s="238"/>
      <c r="R24" s="238"/>
      <c r="S24" s="238"/>
      <c r="T24" s="238"/>
      <c r="U24" s="238"/>
      <c r="V24" s="238"/>
      <c r="W24" s="238"/>
      <c r="X24" s="238"/>
      <c r="Y24" s="238"/>
      <c r="Z24" s="238"/>
    </row>
    <row r="25" spans="1:26" ht="21" customHeight="1" x14ac:dyDescent="0.2">
      <c r="A25" s="508" t="s">
        <v>1350</v>
      </c>
      <c r="B25" s="764" t="s">
        <v>1351</v>
      </c>
      <c r="C25" s="615"/>
      <c r="D25" s="615"/>
      <c r="E25" s="615"/>
      <c r="F25" s="615"/>
      <c r="G25" s="615"/>
      <c r="H25" s="502"/>
      <c r="I25" s="503"/>
      <c r="J25" s="503"/>
      <c r="K25" s="248"/>
      <c r="L25" s="248"/>
      <c r="M25" s="249"/>
      <c r="N25" s="238"/>
      <c r="O25" s="238"/>
      <c r="P25" s="238"/>
      <c r="Q25" s="238"/>
      <c r="R25" s="238"/>
      <c r="S25" s="238"/>
      <c r="T25" s="238"/>
      <c r="U25" s="238"/>
      <c r="V25" s="238"/>
      <c r="W25" s="238"/>
      <c r="X25" s="238"/>
      <c r="Y25" s="238"/>
      <c r="Z25" s="238"/>
    </row>
    <row r="26" spans="1:26" ht="21" customHeight="1" x14ac:dyDescent="0.2">
      <c r="A26" s="508" t="s">
        <v>1352</v>
      </c>
      <c r="B26" s="784" t="s">
        <v>1353</v>
      </c>
      <c r="C26" s="645"/>
      <c r="D26" s="645"/>
      <c r="E26" s="645"/>
      <c r="F26" s="645"/>
      <c r="G26" s="645"/>
      <c r="H26" s="509"/>
      <c r="I26" s="250"/>
      <c r="J26" s="250"/>
      <c r="K26" s="248"/>
      <c r="L26" s="248"/>
      <c r="M26" s="249"/>
      <c r="N26" s="238"/>
      <c r="O26" s="238"/>
      <c r="P26" s="238"/>
      <c r="Q26" s="238"/>
      <c r="R26" s="238"/>
      <c r="S26" s="238"/>
      <c r="T26" s="238"/>
      <c r="U26" s="238"/>
      <c r="V26" s="238"/>
      <c r="W26" s="238"/>
      <c r="X26" s="238"/>
      <c r="Y26" s="238"/>
      <c r="Z26" s="238"/>
    </row>
    <row r="27" spans="1:26" ht="19.5" customHeight="1" x14ac:dyDescent="0.2">
      <c r="A27" s="510"/>
      <c r="B27" s="511"/>
      <c r="C27" s="512"/>
      <c r="D27" s="512"/>
      <c r="E27" s="512"/>
      <c r="F27" s="512"/>
      <c r="G27" s="512"/>
      <c r="H27" s="512"/>
      <c r="I27" s="512"/>
      <c r="J27" s="512"/>
      <c r="K27" s="504"/>
      <c r="L27" s="504"/>
      <c r="M27" s="505"/>
      <c r="N27" s="238"/>
      <c r="O27" s="238"/>
      <c r="P27" s="238"/>
      <c r="Q27" s="238"/>
      <c r="R27" s="238"/>
      <c r="S27" s="238"/>
      <c r="T27" s="238"/>
      <c r="U27" s="238"/>
      <c r="V27" s="238"/>
      <c r="W27" s="238"/>
      <c r="X27" s="238"/>
      <c r="Y27" s="238"/>
      <c r="Z27" s="238"/>
    </row>
    <row r="28" spans="1:26" ht="22.5" customHeight="1" x14ac:dyDescent="0.2">
      <c r="A28" s="769" t="s">
        <v>45</v>
      </c>
      <c r="B28" s="772" t="s">
        <v>46</v>
      </c>
      <c r="C28" s="637"/>
      <c r="D28" s="637"/>
      <c r="E28" s="637"/>
      <c r="F28" s="637"/>
      <c r="G28" s="637"/>
      <c r="H28" s="637"/>
      <c r="I28" s="637"/>
      <c r="J28" s="637"/>
      <c r="K28" s="637"/>
      <c r="L28" s="637"/>
      <c r="M28" s="638"/>
      <c r="N28" s="238"/>
      <c r="O28" s="238"/>
      <c r="P28" s="238"/>
      <c r="Q28" s="238"/>
      <c r="R28" s="238"/>
      <c r="S28" s="238"/>
      <c r="T28" s="238"/>
      <c r="U28" s="238"/>
      <c r="V28" s="238"/>
      <c r="W28" s="238"/>
      <c r="X28" s="238"/>
      <c r="Y28" s="238"/>
      <c r="Z28" s="238"/>
    </row>
    <row r="29" spans="1:26" ht="18" customHeight="1" x14ac:dyDescent="0.2">
      <c r="A29" s="630"/>
      <c r="B29" s="771" t="s">
        <v>67</v>
      </c>
      <c r="C29" s="613"/>
      <c r="D29" s="613"/>
      <c r="E29" s="613"/>
      <c r="F29" s="613"/>
      <c r="G29" s="634"/>
      <c r="H29" s="772" t="s">
        <v>48</v>
      </c>
      <c r="I29" s="637"/>
      <c r="J29" s="637"/>
      <c r="K29" s="637"/>
      <c r="L29" s="637"/>
      <c r="M29" s="638"/>
      <c r="N29" s="238"/>
      <c r="O29" s="238"/>
      <c r="P29" s="238"/>
      <c r="Q29" s="238"/>
      <c r="R29" s="238"/>
      <c r="S29" s="238"/>
      <c r="T29" s="238"/>
      <c r="U29" s="238"/>
      <c r="V29" s="238"/>
      <c r="W29" s="238"/>
      <c r="X29" s="238"/>
      <c r="Y29" s="238"/>
      <c r="Z29" s="238"/>
    </row>
    <row r="30" spans="1:26" ht="18" customHeight="1" x14ac:dyDescent="0.2">
      <c r="A30" s="630"/>
      <c r="B30" s="635"/>
      <c r="C30" s="613"/>
      <c r="D30" s="613"/>
      <c r="E30" s="613"/>
      <c r="F30" s="613"/>
      <c r="G30" s="634"/>
      <c r="H30" s="772" t="s">
        <v>49</v>
      </c>
      <c r="I30" s="637"/>
      <c r="J30" s="638"/>
      <c r="K30" s="772" t="s">
        <v>50</v>
      </c>
      <c r="L30" s="637"/>
      <c r="M30" s="638"/>
      <c r="N30" s="238"/>
      <c r="O30" s="238"/>
      <c r="P30" s="238"/>
      <c r="Q30" s="238"/>
      <c r="R30" s="238"/>
      <c r="S30" s="238"/>
      <c r="T30" s="238"/>
      <c r="U30" s="238"/>
      <c r="V30" s="238"/>
      <c r="W30" s="238"/>
      <c r="X30" s="238"/>
      <c r="Y30" s="238"/>
      <c r="Z30" s="238"/>
    </row>
    <row r="31" spans="1:26" ht="18" customHeight="1" x14ac:dyDescent="0.2">
      <c r="A31" s="631"/>
      <c r="B31" s="636"/>
      <c r="C31" s="637"/>
      <c r="D31" s="637"/>
      <c r="E31" s="637"/>
      <c r="F31" s="637"/>
      <c r="G31" s="638"/>
      <c r="H31" s="245" t="s">
        <v>51</v>
      </c>
      <c r="I31" s="245" t="s">
        <v>52</v>
      </c>
      <c r="J31" s="245" t="s">
        <v>53</v>
      </c>
      <c r="K31" s="245" t="s">
        <v>51</v>
      </c>
      <c r="L31" s="245" t="s">
        <v>52</v>
      </c>
      <c r="M31" s="245" t="s">
        <v>53</v>
      </c>
      <c r="N31" s="238"/>
      <c r="O31" s="238"/>
      <c r="P31" s="238"/>
      <c r="Q31" s="238"/>
      <c r="R31" s="238"/>
      <c r="S31" s="238"/>
      <c r="T31" s="238"/>
      <c r="U31" s="238"/>
      <c r="V31" s="238"/>
      <c r="W31" s="238"/>
      <c r="X31" s="238"/>
      <c r="Y31" s="238"/>
      <c r="Z31" s="238"/>
    </row>
    <row r="32" spans="1:26" ht="17.25" customHeight="1" x14ac:dyDescent="0.2">
      <c r="A32" s="514">
        <v>1</v>
      </c>
      <c r="B32" s="770">
        <v>2</v>
      </c>
      <c r="C32" s="615"/>
      <c r="D32" s="615"/>
      <c r="E32" s="615"/>
      <c r="F32" s="615"/>
      <c r="G32" s="616"/>
      <c r="H32" s="245">
        <v>3</v>
      </c>
      <c r="I32" s="245">
        <v>4</v>
      </c>
      <c r="J32" s="245">
        <v>5</v>
      </c>
      <c r="K32" s="245">
        <v>6</v>
      </c>
      <c r="L32" s="245">
        <v>7</v>
      </c>
      <c r="M32" s="245">
        <v>8</v>
      </c>
      <c r="N32" s="238"/>
      <c r="O32" s="238"/>
      <c r="P32" s="238"/>
      <c r="Q32" s="238"/>
      <c r="R32" s="238"/>
      <c r="S32" s="238"/>
      <c r="T32" s="238"/>
      <c r="U32" s="238"/>
      <c r="V32" s="238"/>
      <c r="W32" s="238"/>
      <c r="X32" s="238"/>
      <c r="Y32" s="238"/>
      <c r="Z32" s="238"/>
    </row>
    <row r="33" spans="1:26" ht="27" customHeight="1" x14ac:dyDescent="0.25">
      <c r="A33" s="515" t="s">
        <v>54</v>
      </c>
      <c r="B33" s="787" t="s">
        <v>1354</v>
      </c>
      <c r="C33" s="615"/>
      <c r="D33" s="615"/>
      <c r="E33" s="615"/>
      <c r="F33" s="615"/>
      <c r="G33" s="616"/>
      <c r="H33" s="245"/>
      <c r="I33" s="251"/>
      <c r="J33" s="245">
        <f t="shared" ref="J33:J41" si="0">H33+I33</f>
        <v>0</v>
      </c>
      <c r="K33" s="252"/>
      <c r="L33" s="252"/>
      <c r="M33" s="252"/>
      <c r="N33" s="253"/>
      <c r="O33" s="253"/>
      <c r="P33" s="253"/>
      <c r="Q33" s="253"/>
      <c r="R33" s="253"/>
      <c r="S33" s="253"/>
      <c r="T33" s="253"/>
      <c r="U33" s="253"/>
      <c r="V33" s="253"/>
      <c r="W33" s="253"/>
      <c r="X33" s="253"/>
      <c r="Y33" s="253"/>
      <c r="Z33" s="253"/>
    </row>
    <row r="34" spans="1:26" ht="21" customHeight="1" x14ac:dyDescent="0.25">
      <c r="A34" s="516"/>
      <c r="B34" s="517" t="s">
        <v>56</v>
      </c>
      <c r="C34" s="788" t="s">
        <v>1355</v>
      </c>
      <c r="D34" s="615"/>
      <c r="E34" s="615"/>
      <c r="F34" s="615"/>
      <c r="G34" s="616"/>
      <c r="H34" s="245"/>
      <c r="I34" s="251"/>
      <c r="J34" s="245">
        <f t="shared" si="0"/>
        <v>0</v>
      </c>
      <c r="K34" s="252"/>
      <c r="L34" s="252"/>
      <c r="M34" s="252"/>
      <c r="N34" s="253"/>
      <c r="O34" s="253"/>
      <c r="P34" s="253"/>
      <c r="Q34" s="253"/>
      <c r="R34" s="253"/>
      <c r="S34" s="253"/>
      <c r="T34" s="253"/>
      <c r="U34" s="253"/>
      <c r="V34" s="253"/>
      <c r="W34" s="253"/>
      <c r="X34" s="253"/>
      <c r="Y34" s="253"/>
      <c r="Z34" s="253"/>
    </row>
    <row r="35" spans="1:26" ht="21" customHeight="1" x14ac:dyDescent="0.25">
      <c r="A35" s="518"/>
      <c r="B35" s="238"/>
      <c r="C35" s="245">
        <v>1</v>
      </c>
      <c r="D35" s="788" t="s">
        <v>1356</v>
      </c>
      <c r="E35" s="615"/>
      <c r="F35" s="615"/>
      <c r="G35" s="616"/>
      <c r="H35" s="254"/>
      <c r="I35" s="245"/>
      <c r="J35" s="245">
        <f t="shared" si="0"/>
        <v>0</v>
      </c>
      <c r="K35" s="255"/>
      <c r="L35" s="255"/>
      <c r="M35" s="255"/>
      <c r="N35" s="237"/>
      <c r="O35" s="237"/>
      <c r="P35" s="237"/>
      <c r="Q35" s="237"/>
      <c r="R35" s="237"/>
      <c r="S35" s="237"/>
      <c r="T35" s="237"/>
      <c r="U35" s="237"/>
      <c r="V35" s="237"/>
      <c r="W35" s="237"/>
      <c r="X35" s="237"/>
      <c r="Y35" s="237"/>
      <c r="Z35" s="237"/>
    </row>
    <row r="36" spans="1:26" ht="21" customHeight="1" x14ac:dyDescent="0.25">
      <c r="A36" s="516"/>
      <c r="B36" s="256"/>
      <c r="C36" s="245">
        <v>2</v>
      </c>
      <c r="D36" s="519" t="s">
        <v>35</v>
      </c>
      <c r="E36" s="504"/>
      <c r="F36" s="504"/>
      <c r="G36" s="505"/>
      <c r="H36" s="254"/>
      <c r="I36" s="245"/>
      <c r="J36" s="245">
        <f t="shared" si="0"/>
        <v>0</v>
      </c>
      <c r="K36" s="255"/>
      <c r="L36" s="255"/>
      <c r="M36" s="255"/>
      <c r="N36" s="237"/>
      <c r="O36" s="237"/>
      <c r="P36" s="237"/>
      <c r="Q36" s="237"/>
      <c r="R36" s="237"/>
      <c r="S36" s="237"/>
      <c r="T36" s="237"/>
      <c r="U36" s="237"/>
      <c r="V36" s="237"/>
      <c r="W36" s="237"/>
      <c r="X36" s="237"/>
      <c r="Y36" s="237"/>
      <c r="Z36" s="237"/>
    </row>
    <row r="37" spans="1:26" ht="21" customHeight="1" x14ac:dyDescent="0.25">
      <c r="A37" s="516"/>
      <c r="B37" s="514" t="s">
        <v>61</v>
      </c>
      <c r="C37" s="764" t="s">
        <v>1357</v>
      </c>
      <c r="D37" s="615"/>
      <c r="E37" s="615"/>
      <c r="F37" s="615"/>
      <c r="G37" s="616"/>
      <c r="H37" s="254"/>
      <c r="I37" s="245"/>
      <c r="J37" s="245">
        <f t="shared" si="0"/>
        <v>0</v>
      </c>
      <c r="K37" s="255"/>
      <c r="L37" s="255"/>
      <c r="M37" s="255"/>
      <c r="N37" s="237"/>
      <c r="O37" s="237"/>
      <c r="P37" s="237"/>
      <c r="Q37" s="237"/>
      <c r="R37" s="237"/>
      <c r="S37" s="237"/>
      <c r="T37" s="237"/>
      <c r="U37" s="237"/>
      <c r="V37" s="237"/>
      <c r="W37" s="237"/>
      <c r="X37" s="237"/>
      <c r="Y37" s="237"/>
      <c r="Z37" s="237"/>
    </row>
    <row r="38" spans="1:26" ht="21" customHeight="1" x14ac:dyDescent="0.25">
      <c r="A38" s="520"/>
      <c r="B38" s="238"/>
      <c r="C38" s="245"/>
      <c r="D38" s="519" t="s">
        <v>1358</v>
      </c>
      <c r="E38" s="504"/>
      <c r="F38" s="504"/>
      <c r="G38" s="505"/>
      <c r="H38" s="254"/>
      <c r="I38" s="251"/>
      <c r="J38" s="245">
        <f t="shared" si="0"/>
        <v>0</v>
      </c>
      <c r="K38" s="255"/>
      <c r="L38" s="255"/>
      <c r="M38" s="255"/>
      <c r="N38" s="237"/>
      <c r="O38" s="237"/>
      <c r="P38" s="237"/>
      <c r="Q38" s="237"/>
      <c r="R38" s="237"/>
      <c r="S38" s="237"/>
      <c r="T38" s="237"/>
      <c r="U38" s="237"/>
      <c r="V38" s="237"/>
      <c r="W38" s="237"/>
      <c r="X38" s="237"/>
      <c r="Y38" s="237"/>
      <c r="Z38" s="237"/>
    </row>
    <row r="39" spans="1:26" ht="27" customHeight="1" x14ac:dyDescent="0.25">
      <c r="A39" s="521" t="s">
        <v>43</v>
      </c>
      <c r="B39" s="789" t="s">
        <v>1359</v>
      </c>
      <c r="C39" s="645"/>
      <c r="D39" s="645"/>
      <c r="E39" s="645"/>
      <c r="F39" s="645"/>
      <c r="G39" s="646"/>
      <c r="H39" s="254"/>
      <c r="I39" s="251"/>
      <c r="J39" s="245">
        <f t="shared" si="0"/>
        <v>0</v>
      </c>
      <c r="K39" s="255"/>
      <c r="L39" s="255"/>
      <c r="M39" s="255"/>
      <c r="N39" s="237"/>
      <c r="O39" s="237"/>
      <c r="P39" s="237"/>
      <c r="Q39" s="237"/>
      <c r="R39" s="237"/>
      <c r="S39" s="237"/>
      <c r="T39" s="237"/>
      <c r="U39" s="237"/>
      <c r="V39" s="237"/>
      <c r="W39" s="237"/>
      <c r="X39" s="237"/>
      <c r="Y39" s="237"/>
      <c r="Z39" s="237"/>
    </row>
    <row r="40" spans="1:26" ht="65.25" customHeight="1" x14ac:dyDescent="0.25">
      <c r="A40" s="522"/>
      <c r="B40" s="523" t="s">
        <v>56</v>
      </c>
      <c r="C40" s="767" t="s">
        <v>1360</v>
      </c>
      <c r="D40" s="615"/>
      <c r="E40" s="615"/>
      <c r="F40" s="615"/>
      <c r="G40" s="616"/>
      <c r="H40" s="254"/>
      <c r="I40" s="524"/>
      <c r="J40" s="245">
        <f t="shared" si="0"/>
        <v>0</v>
      </c>
      <c r="K40" s="255"/>
      <c r="L40" s="255"/>
      <c r="M40" s="255"/>
      <c r="N40" s="237"/>
      <c r="O40" s="237"/>
      <c r="P40" s="237"/>
      <c r="Q40" s="237"/>
      <c r="R40" s="237"/>
      <c r="S40" s="237"/>
      <c r="T40" s="237"/>
      <c r="U40" s="237"/>
      <c r="V40" s="237"/>
      <c r="W40" s="237"/>
      <c r="X40" s="237"/>
      <c r="Y40" s="237"/>
      <c r="Z40" s="237"/>
    </row>
    <row r="41" spans="1:26" ht="120" customHeight="1" x14ac:dyDescent="0.25">
      <c r="A41" s="522"/>
      <c r="B41" s="525"/>
      <c r="C41" s="526"/>
      <c r="D41" s="786" t="s">
        <v>1361</v>
      </c>
      <c r="E41" s="615"/>
      <c r="F41" s="615"/>
      <c r="G41" s="616"/>
      <c r="H41" s="257"/>
      <c r="I41" s="257"/>
      <c r="J41" s="245">
        <f t="shared" si="0"/>
        <v>0</v>
      </c>
      <c r="K41" s="257"/>
      <c r="L41" s="257"/>
      <c r="M41" s="257"/>
      <c r="N41" s="237"/>
      <c r="O41" s="237"/>
      <c r="P41" s="237"/>
      <c r="Q41" s="237"/>
      <c r="R41" s="237"/>
      <c r="S41" s="237"/>
      <c r="T41" s="237"/>
      <c r="U41" s="237"/>
      <c r="V41" s="237"/>
      <c r="W41" s="237"/>
      <c r="X41" s="237"/>
      <c r="Y41" s="237"/>
      <c r="Z41" s="237"/>
    </row>
    <row r="42" spans="1:26" ht="20.25" customHeight="1" x14ac:dyDescent="0.25">
      <c r="A42" s="522"/>
      <c r="B42" s="525"/>
      <c r="C42" s="526"/>
      <c r="D42" s="527"/>
      <c r="E42" s="527"/>
      <c r="F42" s="527"/>
      <c r="G42" s="528"/>
      <c r="H42" s="257"/>
      <c r="I42" s="529"/>
      <c r="J42" s="257"/>
      <c r="K42" s="257"/>
      <c r="L42" s="257"/>
      <c r="M42" s="257"/>
      <c r="N42" s="237"/>
      <c r="O42" s="237"/>
      <c r="P42" s="237"/>
      <c r="Q42" s="237"/>
      <c r="R42" s="237"/>
      <c r="S42" s="237"/>
      <c r="T42" s="237"/>
      <c r="U42" s="237"/>
      <c r="V42" s="237"/>
      <c r="W42" s="237"/>
      <c r="X42" s="237"/>
      <c r="Y42" s="237"/>
      <c r="Z42" s="237"/>
    </row>
    <row r="43" spans="1:26" ht="20.25" customHeight="1" x14ac:dyDescent="0.25">
      <c r="A43" s="769" t="s">
        <v>45</v>
      </c>
      <c r="B43" s="770" t="s">
        <v>46</v>
      </c>
      <c r="C43" s="615"/>
      <c r="D43" s="615"/>
      <c r="E43" s="615"/>
      <c r="F43" s="615"/>
      <c r="G43" s="615"/>
      <c r="H43" s="615"/>
      <c r="I43" s="615"/>
      <c r="J43" s="615"/>
      <c r="K43" s="615"/>
      <c r="L43" s="615"/>
      <c r="M43" s="616"/>
      <c r="N43" s="237"/>
      <c r="O43" s="237"/>
      <c r="P43" s="237"/>
      <c r="Q43" s="237"/>
      <c r="R43" s="237"/>
      <c r="S43" s="237"/>
      <c r="T43" s="237"/>
      <c r="U43" s="237"/>
      <c r="V43" s="237"/>
      <c r="W43" s="237"/>
      <c r="X43" s="237"/>
      <c r="Y43" s="237"/>
      <c r="Z43" s="237"/>
    </row>
    <row r="44" spans="1:26" ht="20.25" customHeight="1" x14ac:dyDescent="0.25">
      <c r="A44" s="630"/>
      <c r="B44" s="771" t="s">
        <v>67</v>
      </c>
      <c r="C44" s="613"/>
      <c r="D44" s="613"/>
      <c r="E44" s="613"/>
      <c r="F44" s="613"/>
      <c r="G44" s="634"/>
      <c r="H44" s="772" t="s">
        <v>48</v>
      </c>
      <c r="I44" s="637"/>
      <c r="J44" s="637"/>
      <c r="K44" s="637"/>
      <c r="L44" s="637"/>
      <c r="M44" s="638"/>
      <c r="N44" s="237"/>
      <c r="O44" s="237"/>
      <c r="P44" s="237"/>
      <c r="Q44" s="237"/>
      <c r="R44" s="237"/>
      <c r="S44" s="237"/>
      <c r="T44" s="237"/>
      <c r="U44" s="237"/>
      <c r="V44" s="237"/>
      <c r="W44" s="237"/>
      <c r="X44" s="237"/>
      <c r="Y44" s="237"/>
      <c r="Z44" s="237"/>
    </row>
    <row r="45" spans="1:26" ht="20.25" customHeight="1" x14ac:dyDescent="0.25">
      <c r="A45" s="630"/>
      <c r="B45" s="635"/>
      <c r="C45" s="613"/>
      <c r="D45" s="613"/>
      <c r="E45" s="613"/>
      <c r="F45" s="613"/>
      <c r="G45" s="634"/>
      <c r="H45" s="772" t="s">
        <v>49</v>
      </c>
      <c r="I45" s="637"/>
      <c r="J45" s="638"/>
      <c r="K45" s="772" t="s">
        <v>50</v>
      </c>
      <c r="L45" s="637"/>
      <c r="M45" s="638"/>
      <c r="N45" s="237"/>
      <c r="O45" s="237"/>
      <c r="P45" s="237"/>
      <c r="Q45" s="237"/>
      <c r="R45" s="237"/>
      <c r="S45" s="237"/>
      <c r="T45" s="237"/>
      <c r="U45" s="237"/>
      <c r="V45" s="237"/>
      <c r="W45" s="237"/>
      <c r="X45" s="237"/>
      <c r="Y45" s="237"/>
      <c r="Z45" s="237"/>
    </row>
    <row r="46" spans="1:26" ht="20.25" customHeight="1" x14ac:dyDescent="0.25">
      <c r="A46" s="631"/>
      <c r="B46" s="636"/>
      <c r="C46" s="637"/>
      <c r="D46" s="637"/>
      <c r="E46" s="637"/>
      <c r="F46" s="637"/>
      <c r="G46" s="638"/>
      <c r="H46" s="245" t="s">
        <v>51</v>
      </c>
      <c r="I46" s="245" t="s">
        <v>52</v>
      </c>
      <c r="J46" s="245" t="s">
        <v>53</v>
      </c>
      <c r="K46" s="245" t="s">
        <v>51</v>
      </c>
      <c r="L46" s="245" t="s">
        <v>52</v>
      </c>
      <c r="M46" s="245" t="s">
        <v>53</v>
      </c>
      <c r="N46" s="237"/>
      <c r="O46" s="237"/>
      <c r="P46" s="237"/>
      <c r="Q46" s="237"/>
      <c r="R46" s="237"/>
      <c r="S46" s="237"/>
      <c r="T46" s="237"/>
      <c r="U46" s="237"/>
      <c r="V46" s="237"/>
      <c r="W46" s="237"/>
      <c r="X46" s="237"/>
      <c r="Y46" s="237"/>
      <c r="Z46" s="237"/>
    </row>
    <row r="47" spans="1:26" ht="20.25" customHeight="1" x14ac:dyDescent="0.25">
      <c r="A47" s="514">
        <v>1</v>
      </c>
      <c r="B47" s="770">
        <v>2</v>
      </c>
      <c r="C47" s="615"/>
      <c r="D47" s="615"/>
      <c r="E47" s="615"/>
      <c r="F47" s="615"/>
      <c r="G47" s="616"/>
      <c r="H47" s="245">
        <v>3</v>
      </c>
      <c r="I47" s="245">
        <v>4</v>
      </c>
      <c r="J47" s="245">
        <v>5</v>
      </c>
      <c r="K47" s="245">
        <v>6</v>
      </c>
      <c r="L47" s="245">
        <v>7</v>
      </c>
      <c r="M47" s="245">
        <v>8</v>
      </c>
      <c r="N47" s="237"/>
      <c r="O47" s="237"/>
      <c r="P47" s="237"/>
      <c r="Q47" s="237"/>
      <c r="R47" s="237"/>
      <c r="S47" s="237"/>
      <c r="T47" s="237"/>
      <c r="U47" s="237"/>
      <c r="V47" s="237"/>
      <c r="W47" s="237"/>
      <c r="X47" s="237"/>
      <c r="Y47" s="237"/>
      <c r="Z47" s="237"/>
    </row>
    <row r="48" spans="1:26" ht="24" customHeight="1" x14ac:dyDescent="0.25">
      <c r="A48" s="530"/>
      <c r="B48" s="251" t="s">
        <v>61</v>
      </c>
      <c r="C48" s="764" t="s">
        <v>379</v>
      </c>
      <c r="D48" s="615"/>
      <c r="E48" s="615"/>
      <c r="F48" s="615"/>
      <c r="G48" s="616"/>
      <c r="H48" s="254"/>
      <c r="I48" s="524"/>
      <c r="J48" s="254"/>
      <c r="K48" s="255"/>
      <c r="L48" s="255"/>
      <c r="M48" s="255"/>
      <c r="N48" s="237"/>
      <c r="O48" s="237"/>
      <c r="P48" s="237"/>
      <c r="Q48" s="237"/>
      <c r="R48" s="237"/>
      <c r="S48" s="237"/>
      <c r="T48" s="237"/>
      <c r="U48" s="237"/>
      <c r="V48" s="237"/>
      <c r="W48" s="237"/>
      <c r="X48" s="237"/>
      <c r="Y48" s="237"/>
      <c r="Z48" s="237"/>
    </row>
    <row r="49" spans="1:26" ht="21" customHeight="1" x14ac:dyDescent="0.25">
      <c r="A49" s="522"/>
      <c r="B49" s="513"/>
      <c r="C49" s="258"/>
      <c r="D49" s="764" t="s">
        <v>1362</v>
      </c>
      <c r="E49" s="615"/>
      <c r="F49" s="615"/>
      <c r="G49" s="616"/>
      <c r="H49" s="254"/>
      <c r="I49" s="524"/>
      <c r="J49" s="245">
        <f>H49+I49</f>
        <v>0</v>
      </c>
      <c r="K49" s="255"/>
      <c r="L49" s="255"/>
      <c r="M49" s="255"/>
      <c r="N49" s="237"/>
      <c r="O49" s="237"/>
      <c r="P49" s="237"/>
      <c r="Q49" s="237"/>
      <c r="R49" s="237"/>
      <c r="S49" s="237"/>
      <c r="T49" s="237"/>
      <c r="U49" s="237"/>
      <c r="V49" s="237"/>
      <c r="W49" s="237"/>
      <c r="X49" s="237"/>
      <c r="Y49" s="237"/>
      <c r="Z49" s="237"/>
    </row>
    <row r="50" spans="1:26" ht="36" customHeight="1" x14ac:dyDescent="0.25">
      <c r="A50" s="259"/>
      <c r="B50" s="531" t="s">
        <v>70</v>
      </c>
      <c r="C50" s="767" t="s">
        <v>1363</v>
      </c>
      <c r="D50" s="615"/>
      <c r="E50" s="615"/>
      <c r="F50" s="615"/>
      <c r="G50" s="616"/>
      <c r="H50" s="260"/>
      <c r="I50" s="524"/>
      <c r="J50" s="254"/>
      <c r="K50" s="255"/>
      <c r="L50" s="255"/>
      <c r="M50" s="255"/>
      <c r="N50" s="237"/>
      <c r="O50" s="237"/>
      <c r="P50" s="237"/>
      <c r="Q50" s="237"/>
      <c r="R50" s="237"/>
      <c r="S50" s="237"/>
      <c r="T50" s="237"/>
      <c r="U50" s="237"/>
      <c r="V50" s="237"/>
      <c r="W50" s="237"/>
      <c r="X50" s="237"/>
      <c r="Y50" s="237"/>
      <c r="Z50" s="237"/>
    </row>
    <row r="51" spans="1:26" ht="35.25" customHeight="1" x14ac:dyDescent="0.25">
      <c r="A51" s="259"/>
      <c r="B51" s="532"/>
      <c r="C51" s="258"/>
      <c r="D51" s="764" t="s">
        <v>1364</v>
      </c>
      <c r="E51" s="615"/>
      <c r="F51" s="615"/>
      <c r="G51" s="616"/>
      <c r="H51" s="260"/>
      <c r="I51" s="524"/>
      <c r="J51" s="245">
        <f>H51+I51</f>
        <v>0</v>
      </c>
      <c r="K51" s="255"/>
      <c r="L51" s="255"/>
      <c r="M51" s="255"/>
      <c r="N51" s="237"/>
      <c r="O51" s="237"/>
      <c r="P51" s="237"/>
      <c r="Q51" s="237"/>
      <c r="R51" s="237"/>
      <c r="S51" s="237"/>
      <c r="T51" s="237"/>
      <c r="U51" s="237"/>
      <c r="V51" s="237"/>
      <c r="W51" s="237"/>
      <c r="X51" s="237"/>
      <c r="Y51" s="237"/>
      <c r="Z51" s="237"/>
    </row>
    <row r="52" spans="1:26" ht="33" customHeight="1" x14ac:dyDescent="0.25">
      <c r="A52" s="261"/>
      <c r="B52" s="523" t="s">
        <v>73</v>
      </c>
      <c r="C52" s="767" t="s">
        <v>1365</v>
      </c>
      <c r="D52" s="615"/>
      <c r="E52" s="615"/>
      <c r="F52" s="615"/>
      <c r="G52" s="616"/>
      <c r="H52" s="260"/>
      <c r="I52" s="524"/>
      <c r="J52" s="254"/>
      <c r="K52" s="255"/>
      <c r="L52" s="255"/>
      <c r="M52" s="255"/>
      <c r="N52" s="237"/>
      <c r="O52" s="237"/>
      <c r="P52" s="237"/>
      <c r="Q52" s="237"/>
      <c r="R52" s="237"/>
      <c r="S52" s="237"/>
      <c r="T52" s="237"/>
      <c r="U52" s="237"/>
      <c r="V52" s="237"/>
      <c r="W52" s="237"/>
      <c r="X52" s="237"/>
      <c r="Y52" s="237"/>
      <c r="Z52" s="237"/>
    </row>
    <row r="53" spans="1:26" ht="21" customHeight="1" x14ac:dyDescent="0.25">
      <c r="A53" s="261"/>
      <c r="B53" s="533"/>
      <c r="C53" s="513">
        <v>1</v>
      </c>
      <c r="D53" s="764" t="s">
        <v>1366</v>
      </c>
      <c r="E53" s="615"/>
      <c r="F53" s="615"/>
      <c r="G53" s="616"/>
      <c r="H53" s="260"/>
      <c r="I53" s="524"/>
      <c r="J53" s="245">
        <f t="shared" ref="J53:J57" si="1">H53+I53</f>
        <v>0</v>
      </c>
      <c r="K53" s="255"/>
      <c r="L53" s="255"/>
      <c r="M53" s="255"/>
      <c r="N53" s="237"/>
      <c r="O53" s="237"/>
      <c r="P53" s="237"/>
      <c r="Q53" s="237"/>
      <c r="R53" s="237"/>
      <c r="S53" s="237"/>
      <c r="T53" s="237"/>
      <c r="U53" s="237"/>
      <c r="V53" s="237"/>
      <c r="W53" s="237"/>
      <c r="X53" s="237"/>
      <c r="Y53" s="237"/>
      <c r="Z53" s="237"/>
    </row>
    <row r="54" spans="1:26" ht="21" customHeight="1" x14ac:dyDescent="0.25">
      <c r="A54" s="261"/>
      <c r="B54" s="533"/>
      <c r="C54" s="534"/>
      <c r="D54" s="251" t="s">
        <v>76</v>
      </c>
      <c r="E54" s="764" t="s">
        <v>77</v>
      </c>
      <c r="F54" s="615"/>
      <c r="G54" s="616"/>
      <c r="H54" s="260"/>
      <c r="I54" s="524"/>
      <c r="J54" s="245">
        <f t="shared" si="1"/>
        <v>0</v>
      </c>
      <c r="K54" s="255"/>
      <c r="L54" s="255"/>
      <c r="M54" s="255"/>
      <c r="N54" s="237"/>
      <c r="O54" s="237"/>
      <c r="P54" s="237"/>
      <c r="Q54" s="237"/>
      <c r="R54" s="237"/>
      <c r="S54" s="237"/>
      <c r="T54" s="237"/>
      <c r="U54" s="237"/>
      <c r="V54" s="237"/>
      <c r="W54" s="237"/>
      <c r="X54" s="237"/>
      <c r="Y54" s="237"/>
      <c r="Z54" s="237"/>
    </row>
    <row r="55" spans="1:26" ht="21" customHeight="1" x14ac:dyDescent="0.25">
      <c r="A55" s="261"/>
      <c r="B55" s="533"/>
      <c r="C55" s="534"/>
      <c r="D55" s="251" t="s">
        <v>78</v>
      </c>
      <c r="E55" s="764" t="s">
        <v>79</v>
      </c>
      <c r="F55" s="615"/>
      <c r="G55" s="616"/>
      <c r="H55" s="260"/>
      <c r="I55" s="524"/>
      <c r="J55" s="245">
        <f t="shared" si="1"/>
        <v>0</v>
      </c>
      <c r="K55" s="255"/>
      <c r="L55" s="255"/>
      <c r="M55" s="255"/>
      <c r="N55" s="237"/>
      <c r="O55" s="237"/>
      <c r="P55" s="237"/>
      <c r="Q55" s="237"/>
      <c r="R55" s="237"/>
      <c r="S55" s="237"/>
      <c r="T55" s="237"/>
      <c r="U55" s="237"/>
      <c r="V55" s="237"/>
      <c r="W55" s="237"/>
      <c r="X55" s="237"/>
      <c r="Y55" s="237"/>
      <c r="Z55" s="237"/>
    </row>
    <row r="56" spans="1:26" ht="21" customHeight="1" x14ac:dyDescent="0.25">
      <c r="A56" s="261"/>
      <c r="B56" s="533"/>
      <c r="C56" s="534"/>
      <c r="D56" s="251" t="s">
        <v>80</v>
      </c>
      <c r="E56" s="764" t="s">
        <v>81</v>
      </c>
      <c r="F56" s="615"/>
      <c r="G56" s="616"/>
      <c r="H56" s="260"/>
      <c r="I56" s="524"/>
      <c r="J56" s="245">
        <f t="shared" si="1"/>
        <v>0</v>
      </c>
      <c r="K56" s="255"/>
      <c r="L56" s="255"/>
      <c r="M56" s="255"/>
      <c r="N56" s="237"/>
      <c r="O56" s="237"/>
      <c r="P56" s="237"/>
      <c r="Q56" s="237"/>
      <c r="R56" s="237"/>
      <c r="S56" s="237"/>
      <c r="T56" s="237"/>
      <c r="U56" s="237"/>
      <c r="V56" s="237"/>
      <c r="W56" s="237"/>
      <c r="X56" s="237"/>
      <c r="Y56" s="237"/>
      <c r="Z56" s="237"/>
    </row>
    <row r="57" spans="1:26" ht="21" customHeight="1" x14ac:dyDescent="0.25">
      <c r="A57" s="262"/>
      <c r="B57" s="533"/>
      <c r="C57" s="535"/>
      <c r="D57" s="251" t="s">
        <v>82</v>
      </c>
      <c r="E57" s="764" t="s">
        <v>1367</v>
      </c>
      <c r="F57" s="615"/>
      <c r="G57" s="616"/>
      <c r="H57" s="263"/>
      <c r="I57" s="264"/>
      <c r="J57" s="245">
        <f t="shared" si="1"/>
        <v>0</v>
      </c>
      <c r="K57" s="264"/>
      <c r="L57" s="264"/>
      <c r="M57" s="264"/>
      <c r="N57" s="237"/>
      <c r="O57" s="237"/>
      <c r="P57" s="237"/>
      <c r="Q57" s="237"/>
      <c r="R57" s="237"/>
      <c r="S57" s="237"/>
      <c r="T57" s="237"/>
      <c r="U57" s="237"/>
      <c r="V57" s="237"/>
      <c r="W57" s="237"/>
      <c r="X57" s="237"/>
      <c r="Y57" s="237"/>
      <c r="Z57" s="237"/>
    </row>
    <row r="58" spans="1:26" ht="21" customHeight="1" x14ac:dyDescent="0.25">
      <c r="A58" s="262"/>
      <c r="B58" s="533"/>
      <c r="C58" s="513">
        <v>2</v>
      </c>
      <c r="D58" s="764" t="s">
        <v>1368</v>
      </c>
      <c r="E58" s="615"/>
      <c r="F58" s="615"/>
      <c r="G58" s="616"/>
      <c r="H58" s="519"/>
      <c r="I58" s="265"/>
      <c r="J58" s="265"/>
      <c r="K58" s="265"/>
      <c r="L58" s="265"/>
      <c r="M58" s="265"/>
      <c r="N58" s="237"/>
      <c r="O58" s="237"/>
      <c r="P58" s="237"/>
      <c r="Q58" s="237"/>
      <c r="R58" s="237"/>
      <c r="S58" s="237"/>
      <c r="T58" s="237"/>
      <c r="U58" s="237"/>
      <c r="V58" s="237"/>
      <c r="W58" s="237"/>
      <c r="X58" s="237"/>
      <c r="Y58" s="237"/>
      <c r="Z58" s="237"/>
    </row>
    <row r="59" spans="1:26" ht="21" customHeight="1" x14ac:dyDescent="0.25">
      <c r="A59" s="262"/>
      <c r="B59" s="533"/>
      <c r="C59" s="533"/>
      <c r="D59" s="251" t="s">
        <v>76</v>
      </c>
      <c r="E59" s="764" t="s">
        <v>77</v>
      </c>
      <c r="F59" s="615"/>
      <c r="G59" s="616"/>
      <c r="H59" s="519"/>
      <c r="I59" s="265"/>
      <c r="J59" s="245">
        <f t="shared" ref="J59:J62" si="2">H59+I59</f>
        <v>0</v>
      </c>
      <c r="K59" s="265"/>
      <c r="L59" s="265"/>
      <c r="M59" s="265"/>
      <c r="N59" s="237"/>
      <c r="O59" s="237"/>
      <c r="P59" s="237"/>
      <c r="Q59" s="237"/>
      <c r="R59" s="237"/>
      <c r="S59" s="237"/>
      <c r="T59" s="237"/>
      <c r="U59" s="237"/>
      <c r="V59" s="237"/>
      <c r="W59" s="237"/>
      <c r="X59" s="237"/>
      <c r="Y59" s="237"/>
      <c r="Z59" s="237"/>
    </row>
    <row r="60" spans="1:26" ht="21" customHeight="1" x14ac:dyDescent="0.25">
      <c r="A60" s="262"/>
      <c r="B60" s="533"/>
      <c r="C60" s="533"/>
      <c r="D60" s="251" t="s">
        <v>78</v>
      </c>
      <c r="E60" s="764" t="s">
        <v>79</v>
      </c>
      <c r="F60" s="615"/>
      <c r="G60" s="616"/>
      <c r="H60" s="500"/>
      <c r="I60" s="245"/>
      <c r="J60" s="245">
        <f t="shared" si="2"/>
        <v>0</v>
      </c>
      <c r="K60" s="245"/>
      <c r="L60" s="245"/>
      <c r="M60" s="245"/>
      <c r="N60" s="237"/>
      <c r="O60" s="237"/>
      <c r="P60" s="237"/>
      <c r="Q60" s="237"/>
      <c r="R60" s="237"/>
      <c r="S60" s="237"/>
      <c r="T60" s="237"/>
      <c r="U60" s="237"/>
      <c r="V60" s="237"/>
      <c r="W60" s="237"/>
      <c r="X60" s="237"/>
      <c r="Y60" s="237"/>
      <c r="Z60" s="237"/>
    </row>
    <row r="61" spans="1:26" ht="21" customHeight="1" x14ac:dyDescent="0.2">
      <c r="A61" s="516"/>
      <c r="B61" s="533"/>
      <c r="C61" s="533"/>
      <c r="D61" s="251" t="s">
        <v>80</v>
      </c>
      <c r="E61" s="764" t="s">
        <v>81</v>
      </c>
      <c r="F61" s="615"/>
      <c r="G61" s="616"/>
      <c r="H61" s="500"/>
      <c r="I61" s="245"/>
      <c r="J61" s="245">
        <f t="shared" si="2"/>
        <v>0</v>
      </c>
      <c r="K61" s="245"/>
      <c r="L61" s="245"/>
      <c r="M61" s="245"/>
      <c r="N61" s="238"/>
      <c r="O61" s="238"/>
      <c r="P61" s="238"/>
      <c r="Q61" s="238"/>
      <c r="R61" s="238"/>
      <c r="S61" s="238"/>
      <c r="T61" s="238"/>
      <c r="U61" s="238"/>
      <c r="V61" s="238"/>
      <c r="W61" s="238"/>
      <c r="X61" s="238"/>
      <c r="Y61" s="238"/>
      <c r="Z61" s="238"/>
    </row>
    <row r="62" spans="1:26" ht="21" customHeight="1" x14ac:dyDescent="0.25">
      <c r="A62" s="266"/>
      <c r="B62" s="532"/>
      <c r="C62" s="532"/>
      <c r="D62" s="532" t="s">
        <v>82</v>
      </c>
      <c r="E62" s="775" t="s">
        <v>1367</v>
      </c>
      <c r="F62" s="637"/>
      <c r="G62" s="638"/>
      <c r="H62" s="267"/>
      <c r="I62" s="251"/>
      <c r="J62" s="245">
        <f t="shared" si="2"/>
        <v>0</v>
      </c>
      <c r="K62" s="255"/>
      <c r="L62" s="255"/>
      <c r="M62" s="255"/>
      <c r="N62" s="237"/>
      <c r="O62" s="237"/>
      <c r="P62" s="237"/>
      <c r="Q62" s="237"/>
      <c r="R62" s="237"/>
      <c r="S62" s="237"/>
      <c r="T62" s="237"/>
      <c r="U62" s="237"/>
      <c r="V62" s="237"/>
      <c r="W62" s="237"/>
      <c r="X62" s="237"/>
      <c r="Y62" s="237"/>
      <c r="Z62" s="237"/>
    </row>
    <row r="63" spans="1:26" ht="21" customHeight="1" x14ac:dyDescent="0.25">
      <c r="A63" s="261"/>
      <c r="B63" s="513" t="s">
        <v>85</v>
      </c>
      <c r="C63" s="764" t="s">
        <v>1369</v>
      </c>
      <c r="D63" s="615"/>
      <c r="E63" s="615"/>
      <c r="F63" s="615"/>
      <c r="G63" s="616"/>
      <c r="H63" s="267"/>
      <c r="I63" s="251"/>
      <c r="J63" s="254"/>
      <c r="K63" s="255"/>
      <c r="L63" s="255"/>
      <c r="M63" s="255"/>
      <c r="N63" s="237"/>
      <c r="O63" s="237"/>
      <c r="P63" s="237"/>
      <c r="Q63" s="237"/>
      <c r="R63" s="237"/>
      <c r="S63" s="237"/>
      <c r="T63" s="237"/>
      <c r="U63" s="237"/>
      <c r="V63" s="237"/>
      <c r="W63" s="237"/>
      <c r="X63" s="237"/>
      <c r="Y63" s="237"/>
      <c r="Z63" s="237"/>
    </row>
    <row r="64" spans="1:26" ht="21" customHeight="1" x14ac:dyDescent="0.25">
      <c r="A64" s="261"/>
      <c r="B64" s="533"/>
      <c r="C64" s="251">
        <v>1</v>
      </c>
      <c r="D64" s="764" t="s">
        <v>1370</v>
      </c>
      <c r="E64" s="615"/>
      <c r="F64" s="615"/>
      <c r="G64" s="616"/>
      <c r="H64" s="267"/>
      <c r="I64" s="251"/>
      <c r="J64" s="245">
        <f t="shared" ref="J64:J65" si="3">H64+I64</f>
        <v>0</v>
      </c>
      <c r="K64" s="255"/>
      <c r="L64" s="255"/>
      <c r="M64" s="255"/>
      <c r="N64" s="237"/>
      <c r="O64" s="237"/>
      <c r="P64" s="237"/>
      <c r="Q64" s="237"/>
      <c r="R64" s="237"/>
      <c r="S64" s="237"/>
      <c r="T64" s="237"/>
      <c r="U64" s="237"/>
      <c r="V64" s="237"/>
      <c r="W64" s="237"/>
      <c r="X64" s="237"/>
      <c r="Y64" s="237"/>
      <c r="Z64" s="237"/>
    </row>
    <row r="65" spans="1:26" ht="21" customHeight="1" x14ac:dyDescent="0.25">
      <c r="A65" s="261"/>
      <c r="B65" s="532"/>
      <c r="C65" s="251">
        <v>2</v>
      </c>
      <c r="D65" s="764" t="s">
        <v>1371</v>
      </c>
      <c r="E65" s="615"/>
      <c r="F65" s="615"/>
      <c r="G65" s="616"/>
      <c r="H65" s="267"/>
      <c r="I65" s="251"/>
      <c r="J65" s="245">
        <f t="shared" si="3"/>
        <v>0</v>
      </c>
      <c r="K65" s="255"/>
      <c r="L65" s="255"/>
      <c r="M65" s="255"/>
      <c r="N65" s="237"/>
      <c r="O65" s="237"/>
      <c r="P65" s="237"/>
      <c r="Q65" s="237"/>
      <c r="R65" s="237"/>
      <c r="S65" s="237"/>
      <c r="T65" s="237"/>
      <c r="U65" s="237"/>
      <c r="V65" s="237"/>
      <c r="W65" s="237"/>
      <c r="X65" s="237"/>
      <c r="Y65" s="237"/>
      <c r="Z65" s="237"/>
    </row>
    <row r="66" spans="1:26" ht="21" customHeight="1" x14ac:dyDescent="0.25">
      <c r="A66" s="261"/>
      <c r="B66" s="513" t="s">
        <v>89</v>
      </c>
      <c r="C66" s="764" t="s">
        <v>801</v>
      </c>
      <c r="D66" s="615"/>
      <c r="E66" s="615"/>
      <c r="F66" s="615"/>
      <c r="G66" s="616"/>
      <c r="H66" s="267"/>
      <c r="I66" s="251"/>
      <c r="J66" s="254"/>
      <c r="K66" s="255"/>
      <c r="L66" s="255"/>
      <c r="M66" s="255"/>
      <c r="N66" s="237"/>
      <c r="O66" s="237"/>
      <c r="P66" s="237"/>
      <c r="Q66" s="237"/>
      <c r="R66" s="237"/>
      <c r="S66" s="237"/>
      <c r="T66" s="237"/>
      <c r="U66" s="237"/>
      <c r="V66" s="237"/>
      <c r="W66" s="237"/>
      <c r="X66" s="237"/>
      <c r="Y66" s="237"/>
      <c r="Z66" s="237"/>
    </row>
    <row r="67" spans="1:26" ht="34.5" customHeight="1" x14ac:dyDescent="0.25">
      <c r="A67" s="261"/>
      <c r="B67" s="532"/>
      <c r="C67" s="268"/>
      <c r="D67" s="764" t="s">
        <v>1372</v>
      </c>
      <c r="E67" s="615"/>
      <c r="F67" s="615"/>
      <c r="G67" s="616"/>
      <c r="H67" s="267"/>
      <c r="I67" s="251"/>
      <c r="J67" s="245">
        <f>H67+I67</f>
        <v>0</v>
      </c>
      <c r="K67" s="255"/>
      <c r="L67" s="255"/>
      <c r="M67" s="255"/>
      <c r="N67" s="237"/>
      <c r="O67" s="237"/>
      <c r="P67" s="237"/>
      <c r="Q67" s="237"/>
      <c r="R67" s="237"/>
      <c r="S67" s="237"/>
      <c r="T67" s="237"/>
      <c r="U67" s="237"/>
      <c r="V67" s="237"/>
      <c r="W67" s="237"/>
      <c r="X67" s="237"/>
      <c r="Y67" s="237"/>
      <c r="Z67" s="237"/>
    </row>
    <row r="68" spans="1:26" ht="21" customHeight="1" x14ac:dyDescent="0.25">
      <c r="A68" s="261"/>
      <c r="B68" s="513" t="s">
        <v>92</v>
      </c>
      <c r="C68" s="764" t="s">
        <v>805</v>
      </c>
      <c r="D68" s="615"/>
      <c r="E68" s="615"/>
      <c r="F68" s="615"/>
      <c r="G68" s="616"/>
      <c r="H68" s="267"/>
      <c r="I68" s="251"/>
      <c r="J68" s="254"/>
      <c r="K68" s="255"/>
      <c r="L68" s="255"/>
      <c r="M68" s="255"/>
      <c r="N68" s="237"/>
      <c r="O68" s="237"/>
      <c r="P68" s="237"/>
      <c r="Q68" s="237"/>
      <c r="R68" s="237"/>
      <c r="S68" s="237"/>
      <c r="T68" s="237"/>
      <c r="U68" s="237"/>
      <c r="V68" s="237"/>
      <c r="W68" s="237"/>
      <c r="X68" s="237"/>
      <c r="Y68" s="237"/>
      <c r="Z68" s="237"/>
    </row>
    <row r="69" spans="1:26" ht="21" customHeight="1" x14ac:dyDescent="0.25">
      <c r="A69" s="261"/>
      <c r="B69" s="532"/>
      <c r="C69" s="268"/>
      <c r="D69" s="764" t="s">
        <v>1373</v>
      </c>
      <c r="E69" s="615"/>
      <c r="F69" s="615"/>
      <c r="G69" s="616"/>
      <c r="H69" s="267"/>
      <c r="I69" s="251"/>
      <c r="J69" s="245">
        <f>H69+I69</f>
        <v>0</v>
      </c>
      <c r="K69" s="255"/>
      <c r="L69" s="255"/>
      <c r="M69" s="255"/>
      <c r="N69" s="237"/>
      <c r="O69" s="237"/>
      <c r="P69" s="237"/>
      <c r="Q69" s="237"/>
      <c r="R69" s="237"/>
      <c r="S69" s="237"/>
      <c r="T69" s="237"/>
      <c r="U69" s="237"/>
      <c r="V69" s="237"/>
      <c r="W69" s="237"/>
      <c r="X69" s="237"/>
      <c r="Y69" s="237"/>
      <c r="Z69" s="237"/>
    </row>
    <row r="70" spans="1:26" ht="21" customHeight="1" x14ac:dyDescent="0.25">
      <c r="A70" s="261"/>
      <c r="B70" s="513" t="s">
        <v>95</v>
      </c>
      <c r="C70" s="764" t="s">
        <v>808</v>
      </c>
      <c r="D70" s="615"/>
      <c r="E70" s="615"/>
      <c r="F70" s="615"/>
      <c r="G70" s="616"/>
      <c r="H70" s="267"/>
      <c r="I70" s="251"/>
      <c r="J70" s="254"/>
      <c r="K70" s="255"/>
      <c r="L70" s="255"/>
      <c r="M70" s="255"/>
      <c r="N70" s="237"/>
      <c r="O70" s="237"/>
      <c r="P70" s="237"/>
      <c r="Q70" s="237"/>
      <c r="R70" s="237"/>
      <c r="S70" s="237"/>
      <c r="T70" s="237"/>
      <c r="U70" s="237"/>
      <c r="V70" s="237"/>
      <c r="W70" s="237"/>
      <c r="X70" s="237"/>
      <c r="Y70" s="237"/>
      <c r="Z70" s="237"/>
    </row>
    <row r="71" spans="1:26" ht="21" customHeight="1" x14ac:dyDescent="0.25">
      <c r="A71" s="261"/>
      <c r="B71" s="533"/>
      <c r="C71" s="251">
        <v>1</v>
      </c>
      <c r="D71" s="764" t="s">
        <v>1374</v>
      </c>
      <c r="E71" s="615"/>
      <c r="F71" s="615"/>
      <c r="G71" s="616"/>
      <c r="H71" s="267"/>
      <c r="I71" s="251"/>
      <c r="J71" s="245">
        <f t="shared" ref="J71:J72" si="4">H71+I71</f>
        <v>0</v>
      </c>
      <c r="K71" s="255"/>
      <c r="L71" s="255"/>
      <c r="M71" s="255"/>
      <c r="N71" s="237"/>
      <c r="O71" s="237"/>
      <c r="P71" s="237"/>
      <c r="Q71" s="237"/>
      <c r="R71" s="237"/>
      <c r="S71" s="237"/>
      <c r="T71" s="237"/>
      <c r="U71" s="237"/>
      <c r="V71" s="237"/>
      <c r="W71" s="237"/>
      <c r="X71" s="237"/>
      <c r="Y71" s="237"/>
      <c r="Z71" s="237"/>
    </row>
    <row r="72" spans="1:26" ht="33.75" customHeight="1" x14ac:dyDescent="0.25">
      <c r="A72" s="261"/>
      <c r="B72" s="532"/>
      <c r="C72" s="269">
        <v>2</v>
      </c>
      <c r="D72" s="767" t="s">
        <v>1375</v>
      </c>
      <c r="E72" s="615"/>
      <c r="F72" s="615"/>
      <c r="G72" s="616"/>
      <c r="H72" s="267"/>
      <c r="I72" s="251"/>
      <c r="J72" s="245">
        <f t="shared" si="4"/>
        <v>0</v>
      </c>
      <c r="K72" s="255"/>
      <c r="L72" s="255"/>
      <c r="M72" s="255"/>
      <c r="N72" s="237"/>
      <c r="O72" s="237"/>
      <c r="P72" s="237"/>
      <c r="Q72" s="237"/>
      <c r="R72" s="237"/>
      <c r="S72" s="237"/>
      <c r="T72" s="237"/>
      <c r="U72" s="237"/>
      <c r="V72" s="237"/>
      <c r="W72" s="237"/>
      <c r="X72" s="237"/>
      <c r="Y72" s="237"/>
      <c r="Z72" s="237"/>
    </row>
    <row r="73" spans="1:26" ht="19.5" customHeight="1" x14ac:dyDescent="0.25">
      <c r="A73" s="261"/>
      <c r="B73" s="513" t="s">
        <v>54</v>
      </c>
      <c r="C73" s="764" t="s">
        <v>1376</v>
      </c>
      <c r="D73" s="615"/>
      <c r="E73" s="615"/>
      <c r="F73" s="615"/>
      <c r="G73" s="616"/>
      <c r="H73" s="267"/>
      <c r="I73" s="251"/>
      <c r="J73" s="254"/>
      <c r="K73" s="255"/>
      <c r="L73" s="255"/>
      <c r="M73" s="255"/>
      <c r="N73" s="237"/>
      <c r="O73" s="237"/>
      <c r="P73" s="237"/>
      <c r="Q73" s="237"/>
      <c r="R73" s="237"/>
      <c r="S73" s="237"/>
      <c r="T73" s="237"/>
      <c r="U73" s="237"/>
      <c r="V73" s="237"/>
      <c r="W73" s="237"/>
      <c r="X73" s="237"/>
      <c r="Y73" s="237"/>
      <c r="Z73" s="237"/>
    </row>
    <row r="74" spans="1:26" ht="35.25" customHeight="1" x14ac:dyDescent="0.25">
      <c r="A74" s="261"/>
      <c r="B74" s="532"/>
      <c r="C74" s="268"/>
      <c r="D74" s="764" t="s">
        <v>1377</v>
      </c>
      <c r="E74" s="615"/>
      <c r="F74" s="615"/>
      <c r="G74" s="616"/>
      <c r="H74" s="267"/>
      <c r="I74" s="251"/>
      <c r="J74" s="245">
        <f>H74+I74</f>
        <v>0</v>
      </c>
      <c r="K74" s="255"/>
      <c r="L74" s="255"/>
      <c r="M74" s="255"/>
      <c r="N74" s="237"/>
      <c r="O74" s="237"/>
      <c r="P74" s="237"/>
      <c r="Q74" s="237"/>
      <c r="R74" s="237"/>
      <c r="S74" s="237"/>
      <c r="T74" s="237"/>
      <c r="U74" s="237"/>
      <c r="V74" s="237"/>
      <c r="W74" s="237"/>
      <c r="X74" s="237"/>
      <c r="Y74" s="237"/>
      <c r="Z74" s="237"/>
    </row>
    <row r="75" spans="1:26" ht="19.5" customHeight="1" x14ac:dyDescent="0.25">
      <c r="A75" s="261"/>
      <c r="B75" s="513" t="s">
        <v>101</v>
      </c>
      <c r="C75" s="764" t="s">
        <v>813</v>
      </c>
      <c r="D75" s="615"/>
      <c r="E75" s="615"/>
      <c r="F75" s="615"/>
      <c r="G75" s="616"/>
      <c r="H75" s="267"/>
      <c r="I75" s="251"/>
      <c r="J75" s="254"/>
      <c r="K75" s="255"/>
      <c r="L75" s="255"/>
      <c r="M75" s="255"/>
      <c r="N75" s="237"/>
      <c r="O75" s="237"/>
      <c r="P75" s="237"/>
      <c r="Q75" s="237"/>
      <c r="R75" s="237"/>
      <c r="S75" s="237"/>
      <c r="T75" s="237"/>
      <c r="U75" s="237"/>
      <c r="V75" s="237"/>
      <c r="W75" s="237"/>
      <c r="X75" s="237"/>
      <c r="Y75" s="237"/>
      <c r="Z75" s="237"/>
    </row>
    <row r="76" spans="1:26" ht="19.5" customHeight="1" x14ac:dyDescent="0.25">
      <c r="A76" s="261"/>
      <c r="B76" s="533"/>
      <c r="C76" s="251">
        <v>1</v>
      </c>
      <c r="D76" s="764" t="s">
        <v>103</v>
      </c>
      <c r="E76" s="615"/>
      <c r="F76" s="615"/>
      <c r="G76" s="616"/>
      <c r="H76" s="267"/>
      <c r="I76" s="251"/>
      <c r="J76" s="245">
        <f t="shared" ref="J76:J83" si="5">H76+I76</f>
        <v>0</v>
      </c>
      <c r="K76" s="255"/>
      <c r="L76" s="255"/>
      <c r="M76" s="255"/>
      <c r="N76" s="237"/>
      <c r="O76" s="237"/>
      <c r="P76" s="237"/>
      <c r="Q76" s="237"/>
      <c r="R76" s="237"/>
      <c r="S76" s="237"/>
      <c r="T76" s="237"/>
      <c r="U76" s="237"/>
      <c r="V76" s="237"/>
      <c r="W76" s="237"/>
      <c r="X76" s="237"/>
      <c r="Y76" s="237"/>
      <c r="Z76" s="237"/>
    </row>
    <row r="77" spans="1:26" ht="34.5" customHeight="1" x14ac:dyDescent="0.25">
      <c r="A77" s="261"/>
      <c r="B77" s="533"/>
      <c r="C77" s="269">
        <v>2</v>
      </c>
      <c r="D77" s="777" t="s">
        <v>1378</v>
      </c>
      <c r="E77" s="645"/>
      <c r="F77" s="645"/>
      <c r="G77" s="646"/>
      <c r="H77" s="267"/>
      <c r="I77" s="251"/>
      <c r="J77" s="245">
        <f t="shared" si="5"/>
        <v>0</v>
      </c>
      <c r="K77" s="255"/>
      <c r="L77" s="255"/>
      <c r="M77" s="255"/>
      <c r="N77" s="237"/>
      <c r="O77" s="237"/>
      <c r="P77" s="237"/>
      <c r="Q77" s="237"/>
      <c r="R77" s="237"/>
      <c r="S77" s="237"/>
      <c r="T77" s="237"/>
      <c r="U77" s="237"/>
      <c r="V77" s="237"/>
      <c r="W77" s="237"/>
      <c r="X77" s="237"/>
      <c r="Y77" s="237"/>
      <c r="Z77" s="237"/>
    </row>
    <row r="78" spans="1:26" ht="33.75" customHeight="1" x14ac:dyDescent="0.25">
      <c r="A78" s="261"/>
      <c r="B78" s="533"/>
      <c r="C78" s="269">
        <v>3</v>
      </c>
      <c r="D78" s="767" t="s">
        <v>1379</v>
      </c>
      <c r="E78" s="615"/>
      <c r="F78" s="615"/>
      <c r="G78" s="616"/>
      <c r="H78" s="267"/>
      <c r="I78" s="251"/>
      <c r="J78" s="245">
        <f t="shared" si="5"/>
        <v>0</v>
      </c>
      <c r="K78" s="255"/>
      <c r="L78" s="255"/>
      <c r="M78" s="255"/>
      <c r="N78" s="237"/>
      <c r="O78" s="237"/>
      <c r="P78" s="237"/>
      <c r="Q78" s="237"/>
      <c r="R78" s="237"/>
      <c r="S78" s="237"/>
      <c r="T78" s="237"/>
      <c r="U78" s="237"/>
      <c r="V78" s="237"/>
      <c r="W78" s="237"/>
      <c r="X78" s="237"/>
      <c r="Y78" s="237"/>
      <c r="Z78" s="237"/>
    </row>
    <row r="79" spans="1:26" ht="33.75" customHeight="1" x14ac:dyDescent="0.25">
      <c r="A79" s="261"/>
      <c r="B79" s="533"/>
      <c r="C79" s="269">
        <v>4</v>
      </c>
      <c r="D79" s="767" t="s">
        <v>1380</v>
      </c>
      <c r="E79" s="615"/>
      <c r="F79" s="615"/>
      <c r="G79" s="616"/>
      <c r="H79" s="267"/>
      <c r="I79" s="251"/>
      <c r="J79" s="245">
        <f t="shared" si="5"/>
        <v>0</v>
      </c>
      <c r="K79" s="255"/>
      <c r="L79" s="255"/>
      <c r="M79" s="255"/>
      <c r="N79" s="237"/>
      <c r="O79" s="237"/>
      <c r="P79" s="237"/>
      <c r="Q79" s="237"/>
      <c r="R79" s="237"/>
      <c r="S79" s="237"/>
      <c r="T79" s="237"/>
      <c r="U79" s="237"/>
      <c r="V79" s="237"/>
      <c r="W79" s="237"/>
      <c r="X79" s="237"/>
      <c r="Y79" s="237"/>
      <c r="Z79" s="237"/>
    </row>
    <row r="80" spans="1:26" ht="19.5" customHeight="1" x14ac:dyDescent="0.2">
      <c r="A80" s="261"/>
      <c r="B80" s="533"/>
      <c r="C80" s="251">
        <v>5</v>
      </c>
      <c r="D80" s="764" t="s">
        <v>1381</v>
      </c>
      <c r="E80" s="615"/>
      <c r="F80" s="615"/>
      <c r="G80" s="616"/>
      <c r="H80" s="267"/>
      <c r="I80" s="269"/>
      <c r="J80" s="245">
        <f t="shared" si="5"/>
        <v>0</v>
      </c>
      <c r="K80" s="270"/>
      <c r="L80" s="270"/>
      <c r="M80" s="270"/>
      <c r="N80" s="239"/>
      <c r="O80" s="239"/>
      <c r="P80" s="239"/>
      <c r="Q80" s="239"/>
      <c r="R80" s="239"/>
      <c r="S80" s="239"/>
      <c r="T80" s="239"/>
      <c r="U80" s="239"/>
      <c r="V80" s="239"/>
      <c r="W80" s="239"/>
      <c r="X80" s="239"/>
      <c r="Y80" s="239"/>
      <c r="Z80" s="239"/>
    </row>
    <row r="81" spans="1:26" ht="32.25" customHeight="1" x14ac:dyDescent="0.25">
      <c r="A81" s="261"/>
      <c r="B81" s="533"/>
      <c r="C81" s="269">
        <v>6</v>
      </c>
      <c r="D81" s="767" t="s">
        <v>1382</v>
      </c>
      <c r="E81" s="615"/>
      <c r="F81" s="615"/>
      <c r="G81" s="616"/>
      <c r="H81" s="267"/>
      <c r="I81" s="251"/>
      <c r="J81" s="245">
        <f t="shared" si="5"/>
        <v>0</v>
      </c>
      <c r="K81" s="255"/>
      <c r="L81" s="255"/>
      <c r="M81" s="255"/>
      <c r="N81" s="237"/>
      <c r="O81" s="237"/>
      <c r="P81" s="237"/>
      <c r="Q81" s="237"/>
      <c r="R81" s="237"/>
      <c r="S81" s="237"/>
      <c r="T81" s="237"/>
      <c r="U81" s="237"/>
      <c r="V81" s="237"/>
      <c r="W81" s="237"/>
      <c r="X81" s="237"/>
      <c r="Y81" s="237"/>
      <c r="Z81" s="237"/>
    </row>
    <row r="82" spans="1:26" ht="48.75" customHeight="1" x14ac:dyDescent="0.25">
      <c r="A82" s="261"/>
      <c r="B82" s="533"/>
      <c r="C82" s="269">
        <v>7</v>
      </c>
      <c r="D82" s="767" t="s">
        <v>1383</v>
      </c>
      <c r="E82" s="615"/>
      <c r="F82" s="615"/>
      <c r="G82" s="616"/>
      <c r="H82" s="267"/>
      <c r="I82" s="251"/>
      <c r="J82" s="245">
        <f t="shared" si="5"/>
        <v>0</v>
      </c>
      <c r="K82" s="255"/>
      <c r="L82" s="255"/>
      <c r="M82" s="255"/>
      <c r="N82" s="237"/>
      <c r="O82" s="237"/>
      <c r="P82" s="237"/>
      <c r="Q82" s="237"/>
      <c r="R82" s="237"/>
      <c r="S82" s="237"/>
      <c r="T82" s="237"/>
      <c r="U82" s="237"/>
      <c r="V82" s="237"/>
      <c r="W82" s="237"/>
      <c r="X82" s="237"/>
      <c r="Y82" s="237"/>
      <c r="Z82" s="237"/>
    </row>
    <row r="83" spans="1:26" ht="51" customHeight="1" x14ac:dyDescent="0.25">
      <c r="A83" s="261"/>
      <c r="B83" s="532"/>
      <c r="C83" s="269">
        <v>8</v>
      </c>
      <c r="D83" s="773" t="s">
        <v>1384</v>
      </c>
      <c r="E83" s="637"/>
      <c r="F83" s="637"/>
      <c r="G83" s="638"/>
      <c r="H83" s="267"/>
      <c r="I83" s="251"/>
      <c r="J83" s="245">
        <f t="shared" si="5"/>
        <v>0</v>
      </c>
      <c r="K83" s="255"/>
      <c r="L83" s="255"/>
      <c r="M83" s="255"/>
      <c r="N83" s="237"/>
      <c r="O83" s="237"/>
      <c r="P83" s="237"/>
      <c r="Q83" s="237"/>
      <c r="R83" s="237"/>
      <c r="S83" s="237"/>
      <c r="T83" s="237"/>
      <c r="U83" s="237"/>
      <c r="V83" s="237"/>
      <c r="W83" s="237"/>
      <c r="X83" s="237"/>
      <c r="Y83" s="237"/>
      <c r="Z83" s="237"/>
    </row>
    <row r="84" spans="1:26" ht="33" customHeight="1" x14ac:dyDescent="0.25">
      <c r="A84" s="261"/>
      <c r="B84" s="523" t="s">
        <v>111</v>
      </c>
      <c r="C84" s="767" t="s">
        <v>1385</v>
      </c>
      <c r="D84" s="615"/>
      <c r="E84" s="615"/>
      <c r="F84" s="615"/>
      <c r="G84" s="616"/>
      <c r="H84" s="267"/>
      <c r="I84" s="251"/>
      <c r="J84" s="254"/>
      <c r="K84" s="255"/>
      <c r="L84" s="255"/>
      <c r="M84" s="255"/>
      <c r="N84" s="237"/>
      <c r="O84" s="237"/>
      <c r="P84" s="237"/>
      <c r="Q84" s="237"/>
      <c r="R84" s="237"/>
      <c r="S84" s="237"/>
      <c r="T84" s="237"/>
      <c r="U84" s="237"/>
      <c r="V84" s="237"/>
      <c r="W84" s="237"/>
      <c r="X84" s="237"/>
      <c r="Y84" s="237"/>
      <c r="Z84" s="237"/>
    </row>
    <row r="85" spans="1:26" ht="19.5" customHeight="1" x14ac:dyDescent="0.25">
      <c r="A85" s="261"/>
      <c r="B85" s="533"/>
      <c r="C85" s="251">
        <v>1</v>
      </c>
      <c r="D85" s="764" t="s">
        <v>1386</v>
      </c>
      <c r="E85" s="615"/>
      <c r="F85" s="615"/>
      <c r="G85" s="616"/>
      <c r="H85" s="267"/>
      <c r="I85" s="251"/>
      <c r="J85" s="245">
        <f t="shared" ref="J85:J86" si="6">H85+I85</f>
        <v>0</v>
      </c>
      <c r="K85" s="255"/>
      <c r="L85" s="255"/>
      <c r="M85" s="255"/>
      <c r="N85" s="237"/>
      <c r="O85" s="237"/>
      <c r="P85" s="237"/>
      <c r="Q85" s="237"/>
      <c r="R85" s="237"/>
      <c r="S85" s="237"/>
      <c r="T85" s="237"/>
      <c r="U85" s="237"/>
      <c r="V85" s="237"/>
      <c r="W85" s="237"/>
      <c r="X85" s="237"/>
      <c r="Y85" s="237"/>
      <c r="Z85" s="237"/>
    </row>
    <row r="86" spans="1:26" ht="19.5" customHeight="1" x14ac:dyDescent="0.25">
      <c r="A86" s="261"/>
      <c r="B86" s="532"/>
      <c r="C86" s="251">
        <v>2</v>
      </c>
      <c r="D86" s="764" t="s">
        <v>114</v>
      </c>
      <c r="E86" s="615"/>
      <c r="F86" s="615"/>
      <c r="G86" s="616"/>
      <c r="H86" s="267"/>
      <c r="I86" s="251"/>
      <c r="J86" s="245">
        <f t="shared" si="6"/>
        <v>0</v>
      </c>
      <c r="K86" s="255"/>
      <c r="L86" s="255"/>
      <c r="M86" s="255"/>
      <c r="N86" s="237"/>
      <c r="O86" s="237"/>
      <c r="P86" s="237"/>
      <c r="Q86" s="237"/>
      <c r="R86" s="237"/>
      <c r="S86" s="237"/>
      <c r="T86" s="237"/>
      <c r="U86" s="237"/>
      <c r="V86" s="237"/>
      <c r="W86" s="237"/>
      <c r="X86" s="237"/>
      <c r="Y86" s="237"/>
      <c r="Z86" s="237"/>
    </row>
    <row r="87" spans="1:26" ht="31.5" customHeight="1" x14ac:dyDescent="0.25">
      <c r="A87" s="261"/>
      <c r="B87" s="523" t="s">
        <v>115</v>
      </c>
      <c r="C87" s="777" t="s">
        <v>1387</v>
      </c>
      <c r="D87" s="645"/>
      <c r="E87" s="645"/>
      <c r="F87" s="645"/>
      <c r="G87" s="646"/>
      <c r="H87" s="271"/>
      <c r="I87" s="513"/>
      <c r="J87" s="517"/>
      <c r="K87" s="536"/>
      <c r="L87" s="536"/>
      <c r="M87" s="536"/>
      <c r="N87" s="237"/>
      <c r="O87" s="237"/>
      <c r="P87" s="237"/>
      <c r="Q87" s="237"/>
      <c r="R87" s="237"/>
      <c r="S87" s="237"/>
      <c r="T87" s="237"/>
      <c r="U87" s="237"/>
      <c r="V87" s="237"/>
      <c r="W87" s="237"/>
      <c r="X87" s="237"/>
      <c r="Y87" s="237"/>
      <c r="Z87" s="237"/>
    </row>
    <row r="88" spans="1:26" ht="21" customHeight="1" x14ac:dyDescent="0.25">
      <c r="A88" s="261"/>
      <c r="B88" s="532"/>
      <c r="C88" s="251">
        <v>1</v>
      </c>
      <c r="D88" s="764" t="s">
        <v>117</v>
      </c>
      <c r="E88" s="615"/>
      <c r="F88" s="615"/>
      <c r="G88" s="616"/>
      <c r="H88" s="272"/>
      <c r="I88" s="251"/>
      <c r="J88" s="245">
        <f>H88+I88</f>
        <v>0</v>
      </c>
      <c r="K88" s="255"/>
      <c r="L88" s="255"/>
      <c r="M88" s="255"/>
      <c r="N88" s="237"/>
      <c r="O88" s="237"/>
      <c r="P88" s="237"/>
      <c r="Q88" s="237"/>
      <c r="R88" s="237"/>
      <c r="S88" s="237"/>
      <c r="T88" s="237"/>
      <c r="U88" s="237"/>
      <c r="V88" s="237"/>
      <c r="W88" s="237"/>
      <c r="X88" s="237"/>
      <c r="Y88" s="237"/>
      <c r="Z88" s="237"/>
    </row>
    <row r="89" spans="1:26" ht="21" customHeight="1" x14ac:dyDescent="0.25">
      <c r="A89" s="769" t="s">
        <v>45</v>
      </c>
      <c r="B89" s="770" t="s">
        <v>46</v>
      </c>
      <c r="C89" s="615"/>
      <c r="D89" s="615"/>
      <c r="E89" s="615"/>
      <c r="F89" s="615"/>
      <c r="G89" s="615"/>
      <c r="H89" s="615"/>
      <c r="I89" s="615"/>
      <c r="J89" s="615"/>
      <c r="K89" s="615"/>
      <c r="L89" s="615"/>
      <c r="M89" s="616"/>
      <c r="N89" s="237"/>
      <c r="O89" s="237"/>
      <c r="P89" s="237"/>
      <c r="Q89" s="237"/>
      <c r="R89" s="237"/>
      <c r="S89" s="237"/>
      <c r="T89" s="237"/>
      <c r="U89" s="237"/>
      <c r="V89" s="237"/>
      <c r="W89" s="237"/>
      <c r="X89" s="237"/>
      <c r="Y89" s="237"/>
      <c r="Z89" s="237"/>
    </row>
    <row r="90" spans="1:26" ht="21" customHeight="1" x14ac:dyDescent="0.25">
      <c r="A90" s="630"/>
      <c r="B90" s="771" t="s">
        <v>67</v>
      </c>
      <c r="C90" s="613"/>
      <c r="D90" s="613"/>
      <c r="E90" s="613"/>
      <c r="F90" s="613"/>
      <c r="G90" s="634"/>
      <c r="H90" s="772" t="s">
        <v>48</v>
      </c>
      <c r="I90" s="637"/>
      <c r="J90" s="637"/>
      <c r="K90" s="637"/>
      <c r="L90" s="637"/>
      <c r="M90" s="638"/>
      <c r="N90" s="237"/>
      <c r="O90" s="237"/>
      <c r="P90" s="237"/>
      <c r="Q90" s="237"/>
      <c r="R90" s="237"/>
      <c r="S90" s="237"/>
      <c r="T90" s="237"/>
      <c r="U90" s="237"/>
      <c r="V90" s="237"/>
      <c r="W90" s="237"/>
      <c r="X90" s="237"/>
      <c r="Y90" s="237"/>
      <c r="Z90" s="237"/>
    </row>
    <row r="91" spans="1:26" ht="21" customHeight="1" x14ac:dyDescent="0.25">
      <c r="A91" s="630"/>
      <c r="B91" s="635"/>
      <c r="C91" s="613"/>
      <c r="D91" s="613"/>
      <c r="E91" s="613"/>
      <c r="F91" s="613"/>
      <c r="G91" s="634"/>
      <c r="H91" s="772" t="s">
        <v>49</v>
      </c>
      <c r="I91" s="637"/>
      <c r="J91" s="638"/>
      <c r="K91" s="772" t="s">
        <v>50</v>
      </c>
      <c r="L91" s="637"/>
      <c r="M91" s="638"/>
      <c r="N91" s="237"/>
      <c r="O91" s="237"/>
      <c r="P91" s="237"/>
      <c r="Q91" s="237"/>
      <c r="R91" s="237"/>
      <c r="S91" s="237"/>
      <c r="T91" s="237"/>
      <c r="U91" s="237"/>
      <c r="V91" s="237"/>
      <c r="W91" s="237"/>
      <c r="X91" s="237"/>
      <c r="Y91" s="237"/>
      <c r="Z91" s="237"/>
    </row>
    <row r="92" spans="1:26" ht="21" customHeight="1" x14ac:dyDescent="0.25">
      <c r="A92" s="631"/>
      <c r="B92" s="636"/>
      <c r="C92" s="637"/>
      <c r="D92" s="637"/>
      <c r="E92" s="637"/>
      <c r="F92" s="637"/>
      <c r="G92" s="638"/>
      <c r="H92" s="245" t="s">
        <v>51</v>
      </c>
      <c r="I92" s="245" t="s">
        <v>52</v>
      </c>
      <c r="J92" s="245" t="s">
        <v>53</v>
      </c>
      <c r="K92" s="245" t="s">
        <v>51</v>
      </c>
      <c r="L92" s="245" t="s">
        <v>52</v>
      </c>
      <c r="M92" s="245" t="s">
        <v>53</v>
      </c>
      <c r="N92" s="237"/>
      <c r="O92" s="237"/>
      <c r="P92" s="237"/>
      <c r="Q92" s="237"/>
      <c r="R92" s="237"/>
      <c r="S92" s="237"/>
      <c r="T92" s="237"/>
      <c r="U92" s="237"/>
      <c r="V92" s="237"/>
      <c r="W92" s="237"/>
      <c r="X92" s="237"/>
      <c r="Y92" s="237"/>
      <c r="Z92" s="237"/>
    </row>
    <row r="93" spans="1:26" ht="21" customHeight="1" x14ac:dyDescent="0.25">
      <c r="A93" s="514">
        <v>1</v>
      </c>
      <c r="B93" s="770">
        <v>2</v>
      </c>
      <c r="C93" s="615"/>
      <c r="D93" s="615"/>
      <c r="E93" s="615"/>
      <c r="F93" s="615"/>
      <c r="G93" s="616"/>
      <c r="H93" s="245">
        <v>3</v>
      </c>
      <c r="I93" s="245">
        <v>4</v>
      </c>
      <c r="J93" s="245">
        <v>5</v>
      </c>
      <c r="K93" s="245">
        <v>6</v>
      </c>
      <c r="L93" s="245">
        <v>7</v>
      </c>
      <c r="M93" s="245">
        <v>8</v>
      </c>
      <c r="N93" s="237"/>
      <c r="O93" s="237"/>
      <c r="P93" s="237"/>
      <c r="Q93" s="237"/>
      <c r="R93" s="237"/>
      <c r="S93" s="237"/>
      <c r="T93" s="237"/>
      <c r="U93" s="237"/>
      <c r="V93" s="237"/>
      <c r="W93" s="237"/>
      <c r="X93" s="237"/>
      <c r="Y93" s="237"/>
      <c r="Z93" s="237"/>
    </row>
    <row r="94" spans="1:26" ht="21" customHeight="1" x14ac:dyDescent="0.25">
      <c r="A94" s="261"/>
      <c r="B94" s="532"/>
      <c r="C94" s="251">
        <v>2</v>
      </c>
      <c r="D94" s="764" t="s">
        <v>118</v>
      </c>
      <c r="E94" s="615"/>
      <c r="F94" s="615"/>
      <c r="G94" s="616"/>
      <c r="H94" s="272"/>
      <c r="I94" s="251"/>
      <c r="J94" s="245">
        <f>H94+I94</f>
        <v>0</v>
      </c>
      <c r="K94" s="255"/>
      <c r="L94" s="255"/>
      <c r="M94" s="255"/>
      <c r="N94" s="237"/>
      <c r="O94" s="237"/>
      <c r="P94" s="237"/>
      <c r="Q94" s="237"/>
      <c r="R94" s="237"/>
      <c r="S94" s="237"/>
      <c r="T94" s="237"/>
      <c r="U94" s="237"/>
      <c r="V94" s="237"/>
      <c r="W94" s="237"/>
      <c r="X94" s="237"/>
      <c r="Y94" s="237"/>
      <c r="Z94" s="237"/>
    </row>
    <row r="95" spans="1:26" ht="31.5" customHeight="1" x14ac:dyDescent="0.25">
      <c r="A95" s="261"/>
      <c r="B95" s="273" t="s">
        <v>119</v>
      </c>
      <c r="C95" s="767" t="s">
        <v>823</v>
      </c>
      <c r="D95" s="615"/>
      <c r="E95" s="615"/>
      <c r="F95" s="615"/>
      <c r="G95" s="616"/>
      <c r="H95" s="274"/>
      <c r="I95" s="532"/>
      <c r="J95" s="537"/>
      <c r="K95" s="538"/>
      <c r="L95" s="538"/>
      <c r="M95" s="538"/>
      <c r="N95" s="237"/>
      <c r="O95" s="237"/>
      <c r="P95" s="237"/>
      <c r="Q95" s="237"/>
      <c r="R95" s="237"/>
      <c r="S95" s="237"/>
      <c r="T95" s="237"/>
      <c r="U95" s="237"/>
      <c r="V95" s="237"/>
      <c r="W95" s="237"/>
      <c r="X95" s="237"/>
      <c r="Y95" s="237"/>
      <c r="Z95" s="237"/>
    </row>
    <row r="96" spans="1:26" ht="21" customHeight="1" x14ac:dyDescent="0.25">
      <c r="A96" s="261"/>
      <c r="B96" s="275"/>
      <c r="C96" s="276" t="s">
        <v>121</v>
      </c>
      <c r="D96" s="785" t="s">
        <v>1388</v>
      </c>
      <c r="E96" s="615"/>
      <c r="F96" s="615"/>
      <c r="G96" s="616"/>
      <c r="H96" s="274"/>
      <c r="I96" s="532"/>
      <c r="J96" s="245">
        <f t="shared" ref="J96:J102" si="7">H96+I96</f>
        <v>0</v>
      </c>
      <c r="K96" s="538"/>
      <c r="L96" s="538"/>
      <c r="M96" s="538"/>
      <c r="N96" s="237"/>
      <c r="O96" s="237"/>
      <c r="P96" s="237"/>
      <c r="Q96" s="237"/>
      <c r="R96" s="237"/>
      <c r="S96" s="237"/>
      <c r="T96" s="237"/>
      <c r="U96" s="237"/>
      <c r="V96" s="237"/>
      <c r="W96" s="237"/>
      <c r="X96" s="237"/>
      <c r="Y96" s="237"/>
      <c r="Z96" s="237"/>
    </row>
    <row r="97" spans="1:26" ht="19.5" customHeight="1" x14ac:dyDescent="0.25">
      <c r="A97" s="261"/>
      <c r="B97" s="275"/>
      <c r="C97" s="276" t="s">
        <v>123</v>
      </c>
      <c r="D97" s="785" t="s">
        <v>1389</v>
      </c>
      <c r="E97" s="615"/>
      <c r="F97" s="615"/>
      <c r="G97" s="616"/>
      <c r="H97" s="274"/>
      <c r="I97" s="532"/>
      <c r="J97" s="245">
        <f t="shared" si="7"/>
        <v>0</v>
      </c>
      <c r="K97" s="538"/>
      <c r="L97" s="538"/>
      <c r="M97" s="538"/>
      <c r="N97" s="237"/>
      <c r="O97" s="237"/>
      <c r="P97" s="237"/>
      <c r="Q97" s="237"/>
      <c r="R97" s="237"/>
      <c r="S97" s="237"/>
      <c r="T97" s="237"/>
      <c r="U97" s="237"/>
      <c r="V97" s="237"/>
      <c r="W97" s="237"/>
      <c r="X97" s="237"/>
      <c r="Y97" s="237"/>
      <c r="Z97" s="237"/>
    </row>
    <row r="98" spans="1:26" ht="19.5" customHeight="1" x14ac:dyDescent="0.25">
      <c r="A98" s="261"/>
      <c r="B98" s="518"/>
      <c r="C98" s="276" t="s">
        <v>125</v>
      </c>
      <c r="D98" s="785" t="s">
        <v>1390</v>
      </c>
      <c r="E98" s="615"/>
      <c r="F98" s="615"/>
      <c r="G98" s="616"/>
      <c r="H98" s="267"/>
      <c r="I98" s="251"/>
      <c r="J98" s="245">
        <f t="shared" si="7"/>
        <v>0</v>
      </c>
      <c r="K98" s="255"/>
      <c r="L98" s="255"/>
      <c r="M98" s="255"/>
      <c r="N98" s="237"/>
      <c r="O98" s="237"/>
      <c r="P98" s="237"/>
      <c r="Q98" s="237"/>
      <c r="R98" s="237"/>
      <c r="S98" s="237"/>
      <c r="T98" s="237"/>
      <c r="U98" s="237"/>
      <c r="V98" s="237"/>
      <c r="W98" s="237"/>
      <c r="X98" s="237"/>
      <c r="Y98" s="237"/>
      <c r="Z98" s="237"/>
    </row>
    <row r="99" spans="1:26" ht="19.5" customHeight="1" x14ac:dyDescent="0.25">
      <c r="A99" s="261"/>
      <c r="B99" s="275"/>
      <c r="C99" s="276" t="s">
        <v>127</v>
      </c>
      <c r="D99" s="785" t="s">
        <v>1391</v>
      </c>
      <c r="E99" s="615"/>
      <c r="F99" s="615"/>
      <c r="G99" s="616"/>
      <c r="H99" s="267"/>
      <c r="I99" s="251"/>
      <c r="J99" s="245">
        <f t="shared" si="7"/>
        <v>0</v>
      </c>
      <c r="K99" s="255"/>
      <c r="L99" s="255"/>
      <c r="M99" s="255"/>
      <c r="N99" s="237"/>
      <c r="O99" s="237"/>
      <c r="P99" s="237"/>
      <c r="Q99" s="237"/>
      <c r="R99" s="237"/>
      <c r="S99" s="237"/>
      <c r="T99" s="237"/>
      <c r="U99" s="237"/>
      <c r="V99" s="237"/>
      <c r="W99" s="237"/>
      <c r="X99" s="237"/>
      <c r="Y99" s="237"/>
      <c r="Z99" s="237"/>
    </row>
    <row r="100" spans="1:26" ht="19.5" customHeight="1" x14ac:dyDescent="0.25">
      <c r="A100" s="261"/>
      <c r="B100" s="275"/>
      <c r="C100" s="276" t="s">
        <v>129</v>
      </c>
      <c r="D100" s="785" t="s">
        <v>1392</v>
      </c>
      <c r="E100" s="615"/>
      <c r="F100" s="615"/>
      <c r="G100" s="616"/>
      <c r="H100" s="267"/>
      <c r="I100" s="251"/>
      <c r="J100" s="245">
        <f t="shared" si="7"/>
        <v>0</v>
      </c>
      <c r="K100" s="255"/>
      <c r="L100" s="255"/>
      <c r="M100" s="255"/>
      <c r="N100" s="237"/>
      <c r="O100" s="237"/>
      <c r="P100" s="237"/>
      <c r="Q100" s="237"/>
      <c r="R100" s="237"/>
      <c r="S100" s="237"/>
      <c r="T100" s="237"/>
      <c r="U100" s="237"/>
      <c r="V100" s="237"/>
      <c r="W100" s="237"/>
      <c r="X100" s="237"/>
      <c r="Y100" s="237"/>
      <c r="Z100" s="237"/>
    </row>
    <row r="101" spans="1:26" ht="19.5" customHeight="1" x14ac:dyDescent="0.25">
      <c r="A101" s="261"/>
      <c r="B101" s="518"/>
      <c r="C101" s="276" t="s">
        <v>131</v>
      </c>
      <c r="D101" s="785" t="s">
        <v>1393</v>
      </c>
      <c r="E101" s="615"/>
      <c r="F101" s="615"/>
      <c r="G101" s="616"/>
      <c r="H101" s="267"/>
      <c r="I101" s="251"/>
      <c r="J101" s="245">
        <f t="shared" si="7"/>
        <v>0</v>
      </c>
      <c r="K101" s="255"/>
      <c r="L101" s="255"/>
      <c r="M101" s="255"/>
      <c r="N101" s="237"/>
      <c r="O101" s="237"/>
      <c r="P101" s="237"/>
      <c r="Q101" s="237"/>
      <c r="R101" s="237"/>
      <c r="S101" s="237"/>
      <c r="T101" s="237"/>
      <c r="U101" s="237"/>
      <c r="V101" s="237"/>
      <c r="W101" s="237"/>
      <c r="X101" s="237"/>
      <c r="Y101" s="237"/>
      <c r="Z101" s="237"/>
    </row>
    <row r="102" spans="1:26" ht="19.5" customHeight="1" x14ac:dyDescent="0.25">
      <c r="A102" s="261"/>
      <c r="B102" s="277"/>
      <c r="C102" s="276" t="s">
        <v>134</v>
      </c>
      <c r="D102" s="785" t="s">
        <v>1394</v>
      </c>
      <c r="E102" s="615"/>
      <c r="F102" s="615"/>
      <c r="G102" s="616"/>
      <c r="H102" s="267"/>
      <c r="I102" s="251"/>
      <c r="J102" s="245">
        <f t="shared" si="7"/>
        <v>0</v>
      </c>
      <c r="K102" s="255"/>
      <c r="L102" s="255"/>
      <c r="M102" s="255"/>
      <c r="N102" s="237"/>
      <c r="O102" s="237"/>
      <c r="P102" s="237"/>
      <c r="Q102" s="237"/>
      <c r="R102" s="237"/>
      <c r="S102" s="237"/>
      <c r="T102" s="237"/>
      <c r="U102" s="237"/>
      <c r="V102" s="237"/>
      <c r="W102" s="237"/>
      <c r="X102" s="237"/>
      <c r="Y102" s="237"/>
      <c r="Z102" s="237"/>
    </row>
    <row r="103" spans="1:26" ht="19.5" customHeight="1" x14ac:dyDescent="0.25">
      <c r="A103" s="539" t="s">
        <v>136</v>
      </c>
      <c r="B103" s="766" t="s">
        <v>137</v>
      </c>
      <c r="C103" s="615"/>
      <c r="D103" s="615"/>
      <c r="E103" s="615"/>
      <c r="F103" s="615"/>
      <c r="G103" s="616"/>
      <c r="H103" s="267"/>
      <c r="I103" s="251"/>
      <c r="J103" s="254"/>
      <c r="K103" s="255"/>
      <c r="L103" s="255"/>
      <c r="M103" s="255"/>
      <c r="N103" s="237"/>
      <c r="O103" s="237"/>
      <c r="P103" s="237"/>
      <c r="Q103" s="237"/>
      <c r="R103" s="237"/>
      <c r="S103" s="237"/>
      <c r="T103" s="237"/>
      <c r="U103" s="237"/>
      <c r="V103" s="237"/>
      <c r="W103" s="237"/>
      <c r="X103" s="237"/>
      <c r="Y103" s="237"/>
      <c r="Z103" s="237"/>
    </row>
    <row r="104" spans="1:26" ht="19.5" customHeight="1" x14ac:dyDescent="0.25">
      <c r="A104" s="261"/>
      <c r="B104" s="514" t="s">
        <v>56</v>
      </c>
      <c r="C104" s="764" t="s">
        <v>1395</v>
      </c>
      <c r="D104" s="615"/>
      <c r="E104" s="615"/>
      <c r="F104" s="615"/>
      <c r="G104" s="616"/>
      <c r="H104" s="519"/>
      <c r="I104" s="251"/>
      <c r="J104" s="254"/>
      <c r="K104" s="255"/>
      <c r="L104" s="255"/>
      <c r="M104" s="255"/>
      <c r="N104" s="237"/>
      <c r="O104" s="237"/>
      <c r="P104" s="237"/>
      <c r="Q104" s="237"/>
      <c r="R104" s="237"/>
      <c r="S104" s="237"/>
      <c r="T104" s="237"/>
      <c r="U104" s="237"/>
      <c r="V104" s="237"/>
      <c r="W104" s="237"/>
      <c r="X104" s="237"/>
      <c r="Y104" s="237"/>
      <c r="Z104" s="237"/>
    </row>
    <row r="105" spans="1:26" ht="21" customHeight="1" x14ac:dyDescent="0.25">
      <c r="A105" s="261"/>
      <c r="B105" s="516"/>
      <c r="C105" s="540">
        <v>1</v>
      </c>
      <c r="D105" s="767" t="s">
        <v>1396</v>
      </c>
      <c r="E105" s="615"/>
      <c r="F105" s="615"/>
      <c r="G105" s="616"/>
      <c r="H105" s="519"/>
      <c r="I105" s="251"/>
      <c r="J105" s="245"/>
      <c r="K105" s="255"/>
      <c r="L105" s="255"/>
      <c r="M105" s="255"/>
      <c r="N105" s="237"/>
      <c r="O105" s="237"/>
      <c r="P105" s="237"/>
      <c r="Q105" s="237"/>
      <c r="R105" s="237"/>
      <c r="S105" s="237"/>
      <c r="T105" s="237"/>
      <c r="U105" s="237"/>
      <c r="V105" s="237"/>
      <c r="W105" s="237"/>
      <c r="X105" s="237"/>
      <c r="Y105" s="237"/>
      <c r="Z105" s="237"/>
    </row>
    <row r="106" spans="1:26" ht="21" customHeight="1" x14ac:dyDescent="0.25">
      <c r="A106" s="261"/>
      <c r="B106" s="516"/>
      <c r="C106" s="534"/>
      <c r="D106" s="514" t="s">
        <v>76</v>
      </c>
      <c r="E106" s="768" t="s">
        <v>1397</v>
      </c>
      <c r="F106" s="615"/>
      <c r="G106" s="616"/>
      <c r="H106" s="502"/>
      <c r="I106" s="251"/>
      <c r="J106" s="254"/>
      <c r="K106" s="255"/>
      <c r="L106" s="255"/>
      <c r="M106" s="255"/>
      <c r="N106" s="237"/>
      <c r="O106" s="237"/>
      <c r="P106" s="237"/>
      <c r="Q106" s="237"/>
      <c r="R106" s="237"/>
      <c r="S106" s="237"/>
      <c r="T106" s="237"/>
      <c r="U106" s="237"/>
      <c r="V106" s="237"/>
      <c r="W106" s="237"/>
      <c r="X106" s="237"/>
      <c r="Y106" s="237"/>
      <c r="Z106" s="237"/>
    </row>
    <row r="107" spans="1:26" ht="21" customHeight="1" x14ac:dyDescent="0.25">
      <c r="A107" s="261"/>
      <c r="B107" s="533"/>
      <c r="C107" s="534"/>
      <c r="D107" s="516"/>
      <c r="E107" s="245" t="s">
        <v>141</v>
      </c>
      <c r="F107" s="764" t="s">
        <v>142</v>
      </c>
      <c r="G107" s="616"/>
      <c r="H107" s="502"/>
      <c r="I107" s="251"/>
      <c r="J107" s="245">
        <f t="shared" ref="J107:J108" si="8">H107+I107</f>
        <v>0</v>
      </c>
      <c r="K107" s="255"/>
      <c r="L107" s="255"/>
      <c r="M107" s="255"/>
      <c r="N107" s="237"/>
      <c r="O107" s="237"/>
      <c r="P107" s="237"/>
      <c r="Q107" s="237"/>
      <c r="R107" s="237"/>
      <c r="S107" s="237"/>
      <c r="T107" s="237"/>
      <c r="U107" s="237"/>
      <c r="V107" s="237"/>
      <c r="W107" s="237"/>
      <c r="X107" s="237"/>
      <c r="Y107" s="237"/>
      <c r="Z107" s="237"/>
    </row>
    <row r="108" spans="1:26" ht="21" customHeight="1" x14ac:dyDescent="0.25">
      <c r="A108" s="261"/>
      <c r="B108" s="533"/>
      <c r="C108" s="534"/>
      <c r="D108" s="541"/>
      <c r="E108" s="245" t="s">
        <v>144</v>
      </c>
      <c r="F108" s="764" t="s">
        <v>1398</v>
      </c>
      <c r="G108" s="616"/>
      <c r="H108" s="502"/>
      <c r="I108" s="251"/>
      <c r="J108" s="245">
        <f t="shared" si="8"/>
        <v>0</v>
      </c>
      <c r="K108" s="255"/>
      <c r="L108" s="255"/>
      <c r="M108" s="255"/>
      <c r="N108" s="237"/>
      <c r="O108" s="237"/>
      <c r="P108" s="237"/>
      <c r="Q108" s="237"/>
      <c r="R108" s="237"/>
      <c r="S108" s="237"/>
      <c r="T108" s="237"/>
      <c r="U108" s="237"/>
      <c r="V108" s="237"/>
      <c r="W108" s="237"/>
      <c r="X108" s="237"/>
      <c r="Y108" s="237"/>
      <c r="Z108" s="237"/>
    </row>
    <row r="109" spans="1:26" ht="21" customHeight="1" x14ac:dyDescent="0.25">
      <c r="A109" s="261"/>
      <c r="B109" s="533"/>
      <c r="C109" s="534"/>
      <c r="D109" s="514" t="s">
        <v>150</v>
      </c>
      <c r="E109" s="764" t="s">
        <v>1399</v>
      </c>
      <c r="F109" s="615"/>
      <c r="G109" s="616"/>
      <c r="H109" s="502"/>
      <c r="I109" s="251"/>
      <c r="J109" s="254"/>
      <c r="K109" s="255"/>
      <c r="L109" s="255"/>
      <c r="M109" s="255"/>
      <c r="N109" s="237"/>
      <c r="O109" s="237"/>
      <c r="P109" s="237"/>
      <c r="Q109" s="237"/>
      <c r="R109" s="237"/>
      <c r="S109" s="237"/>
      <c r="T109" s="237"/>
      <c r="U109" s="237"/>
      <c r="V109" s="237"/>
      <c r="W109" s="237"/>
      <c r="X109" s="237"/>
      <c r="Y109" s="237"/>
      <c r="Z109" s="237"/>
    </row>
    <row r="110" spans="1:26" ht="21" customHeight="1" x14ac:dyDescent="0.25">
      <c r="A110" s="261"/>
      <c r="B110" s="533"/>
      <c r="C110" s="542"/>
      <c r="D110" s="533"/>
      <c r="E110" s="245" t="s">
        <v>141</v>
      </c>
      <c r="F110" s="764" t="s">
        <v>153</v>
      </c>
      <c r="G110" s="616"/>
      <c r="H110" s="502"/>
      <c r="I110" s="251"/>
      <c r="J110" s="245">
        <f t="shared" ref="J110:J112" si="9">H110+I110</f>
        <v>0</v>
      </c>
      <c r="K110" s="255"/>
      <c r="L110" s="255"/>
      <c r="M110" s="255"/>
      <c r="N110" s="237"/>
      <c r="O110" s="237"/>
      <c r="P110" s="237"/>
      <c r="Q110" s="237"/>
      <c r="R110" s="237"/>
      <c r="S110" s="237"/>
      <c r="T110" s="237"/>
      <c r="U110" s="237"/>
      <c r="V110" s="237"/>
      <c r="W110" s="237"/>
      <c r="X110" s="237"/>
      <c r="Y110" s="237"/>
      <c r="Z110" s="237"/>
    </row>
    <row r="111" spans="1:26" ht="21" customHeight="1" x14ac:dyDescent="0.25">
      <c r="A111" s="261"/>
      <c r="B111" s="533"/>
      <c r="C111" s="542"/>
      <c r="D111" s="533"/>
      <c r="E111" s="245" t="s">
        <v>144</v>
      </c>
      <c r="F111" s="764" t="s">
        <v>1400</v>
      </c>
      <c r="G111" s="616"/>
      <c r="H111" s="502"/>
      <c r="I111" s="251"/>
      <c r="J111" s="245">
        <f t="shared" si="9"/>
        <v>0</v>
      </c>
      <c r="K111" s="255"/>
      <c r="L111" s="255"/>
      <c r="M111" s="255"/>
      <c r="N111" s="237"/>
      <c r="O111" s="237"/>
      <c r="P111" s="237"/>
      <c r="Q111" s="237"/>
      <c r="R111" s="237"/>
      <c r="S111" s="237"/>
      <c r="T111" s="237"/>
      <c r="U111" s="237"/>
      <c r="V111" s="237"/>
      <c r="W111" s="237"/>
      <c r="X111" s="237"/>
      <c r="Y111" s="237"/>
      <c r="Z111" s="237"/>
    </row>
    <row r="112" spans="1:26" ht="21" customHeight="1" x14ac:dyDescent="0.25">
      <c r="A112" s="261"/>
      <c r="B112" s="533"/>
      <c r="C112" s="542"/>
      <c r="D112" s="532"/>
      <c r="E112" s="245" t="s">
        <v>147</v>
      </c>
      <c r="F112" s="764" t="s">
        <v>1401</v>
      </c>
      <c r="G112" s="616"/>
      <c r="H112" s="502"/>
      <c r="I112" s="251"/>
      <c r="J112" s="245">
        <f t="shared" si="9"/>
        <v>0</v>
      </c>
      <c r="K112" s="255"/>
      <c r="L112" s="255"/>
      <c r="M112" s="255"/>
      <c r="N112" s="237"/>
      <c r="O112" s="237"/>
      <c r="P112" s="237"/>
      <c r="Q112" s="237"/>
      <c r="R112" s="237"/>
      <c r="S112" s="237"/>
      <c r="T112" s="237"/>
      <c r="U112" s="237"/>
      <c r="V112" s="237"/>
      <c r="W112" s="237"/>
      <c r="X112" s="237"/>
      <c r="Y112" s="237"/>
      <c r="Z112" s="237"/>
    </row>
    <row r="113" spans="1:26" ht="21" customHeight="1" x14ac:dyDescent="0.25">
      <c r="A113" s="262"/>
      <c r="B113" s="533"/>
      <c r="C113" s="542"/>
      <c r="D113" s="514" t="s">
        <v>80</v>
      </c>
      <c r="E113" s="764" t="s">
        <v>158</v>
      </c>
      <c r="F113" s="615"/>
      <c r="G113" s="616"/>
      <c r="H113" s="502"/>
      <c r="I113" s="264"/>
      <c r="J113" s="264"/>
      <c r="K113" s="264"/>
      <c r="L113" s="264"/>
      <c r="M113" s="264"/>
      <c r="N113" s="237"/>
      <c r="O113" s="237"/>
      <c r="P113" s="237"/>
      <c r="Q113" s="237"/>
      <c r="R113" s="237"/>
      <c r="S113" s="237"/>
      <c r="T113" s="237"/>
      <c r="U113" s="237"/>
      <c r="V113" s="237"/>
      <c r="W113" s="237"/>
      <c r="X113" s="237"/>
      <c r="Y113" s="237"/>
      <c r="Z113" s="237"/>
    </row>
    <row r="114" spans="1:26" ht="21" customHeight="1" x14ac:dyDescent="0.25">
      <c r="A114" s="262"/>
      <c r="B114" s="533"/>
      <c r="C114" s="542"/>
      <c r="D114" s="533"/>
      <c r="E114" s="514" t="s">
        <v>141</v>
      </c>
      <c r="F114" s="764" t="s">
        <v>1402</v>
      </c>
      <c r="G114" s="616"/>
      <c r="H114" s="502"/>
      <c r="I114" s="265"/>
      <c r="J114" s="265"/>
      <c r="K114" s="265"/>
      <c r="L114" s="265"/>
      <c r="M114" s="265"/>
      <c r="N114" s="237"/>
      <c r="O114" s="237"/>
      <c r="P114" s="237"/>
      <c r="Q114" s="237"/>
      <c r="R114" s="237"/>
      <c r="S114" s="237"/>
      <c r="T114" s="237"/>
      <c r="U114" s="237"/>
      <c r="V114" s="237"/>
      <c r="W114" s="237"/>
      <c r="X114" s="237"/>
      <c r="Y114" s="237"/>
      <c r="Z114" s="237"/>
    </row>
    <row r="115" spans="1:26" ht="21" customHeight="1" x14ac:dyDescent="0.25">
      <c r="A115" s="262"/>
      <c r="B115" s="533"/>
      <c r="C115" s="542"/>
      <c r="D115" s="533"/>
      <c r="E115" s="533"/>
      <c r="F115" s="265" t="s">
        <v>162</v>
      </c>
      <c r="G115" s="255"/>
      <c r="H115" s="519"/>
      <c r="I115" s="265"/>
      <c r="J115" s="245">
        <f t="shared" ref="J115:J116" si="10">H115+I115</f>
        <v>0</v>
      </c>
      <c r="K115" s="265"/>
      <c r="L115" s="265"/>
      <c r="M115" s="265"/>
      <c r="N115" s="237"/>
      <c r="O115" s="237"/>
      <c r="P115" s="237"/>
      <c r="Q115" s="237"/>
      <c r="R115" s="237"/>
      <c r="S115" s="237"/>
      <c r="T115" s="237"/>
      <c r="U115" s="237"/>
      <c r="V115" s="237"/>
      <c r="W115" s="237"/>
      <c r="X115" s="237"/>
      <c r="Y115" s="237"/>
      <c r="Z115" s="237"/>
    </row>
    <row r="116" spans="1:26" ht="21" customHeight="1" x14ac:dyDescent="0.25">
      <c r="A116" s="262"/>
      <c r="B116" s="533"/>
      <c r="C116" s="542"/>
      <c r="D116" s="533"/>
      <c r="E116" s="532"/>
      <c r="F116" s="265" t="s">
        <v>164</v>
      </c>
      <c r="G116" s="255"/>
      <c r="H116" s="519"/>
      <c r="I116" s="245"/>
      <c r="J116" s="245">
        <f t="shared" si="10"/>
        <v>0</v>
      </c>
      <c r="K116" s="245"/>
      <c r="L116" s="245"/>
      <c r="M116" s="245"/>
      <c r="N116" s="237"/>
      <c r="O116" s="237"/>
      <c r="P116" s="237"/>
      <c r="Q116" s="237"/>
      <c r="R116" s="237"/>
      <c r="S116" s="237"/>
      <c r="T116" s="237"/>
      <c r="U116" s="237"/>
      <c r="V116" s="237"/>
      <c r="W116" s="237"/>
      <c r="X116" s="237"/>
      <c r="Y116" s="237"/>
      <c r="Z116" s="237"/>
    </row>
    <row r="117" spans="1:26" ht="21" customHeight="1" x14ac:dyDescent="0.2">
      <c r="A117" s="516"/>
      <c r="B117" s="533"/>
      <c r="C117" s="542"/>
      <c r="D117" s="533"/>
      <c r="E117" s="514" t="s">
        <v>144</v>
      </c>
      <c r="F117" s="764" t="s">
        <v>1403</v>
      </c>
      <c r="G117" s="616"/>
      <c r="H117" s="502"/>
      <c r="I117" s="245"/>
      <c r="J117" s="245"/>
      <c r="K117" s="245"/>
      <c r="L117" s="245"/>
      <c r="M117" s="245"/>
      <c r="N117" s="238"/>
      <c r="O117" s="238"/>
      <c r="P117" s="238"/>
      <c r="Q117" s="238"/>
      <c r="R117" s="238"/>
      <c r="S117" s="238"/>
      <c r="T117" s="238"/>
      <c r="U117" s="238"/>
      <c r="V117" s="238"/>
      <c r="W117" s="238"/>
      <c r="X117" s="238"/>
      <c r="Y117" s="238"/>
      <c r="Z117" s="238"/>
    </row>
    <row r="118" spans="1:26" ht="21" customHeight="1" x14ac:dyDescent="0.25">
      <c r="A118" s="261"/>
      <c r="B118" s="533"/>
      <c r="C118" s="542"/>
      <c r="D118" s="533"/>
      <c r="E118" s="533"/>
      <c r="F118" s="265" t="s">
        <v>162</v>
      </c>
      <c r="G118" s="255"/>
      <c r="H118" s="519"/>
      <c r="I118" s="251"/>
      <c r="J118" s="245">
        <f t="shared" ref="J118:J119" si="11">H118+I118</f>
        <v>0</v>
      </c>
      <c r="K118" s="255"/>
      <c r="L118" s="255"/>
      <c r="M118" s="255"/>
      <c r="N118" s="237"/>
      <c r="O118" s="237"/>
      <c r="P118" s="237"/>
      <c r="Q118" s="237"/>
      <c r="R118" s="237"/>
      <c r="S118" s="237"/>
      <c r="T118" s="237"/>
      <c r="U118" s="237"/>
      <c r="V118" s="237"/>
      <c r="W118" s="237"/>
      <c r="X118" s="237"/>
      <c r="Y118" s="237"/>
      <c r="Z118" s="237"/>
    </row>
    <row r="119" spans="1:26" ht="21" customHeight="1" x14ac:dyDescent="0.25">
      <c r="A119" s="261"/>
      <c r="B119" s="533"/>
      <c r="C119" s="542"/>
      <c r="D119" s="532"/>
      <c r="E119" s="532"/>
      <c r="F119" s="265" t="s">
        <v>164</v>
      </c>
      <c r="G119" s="255"/>
      <c r="H119" s="519"/>
      <c r="I119" s="251"/>
      <c r="J119" s="245">
        <f t="shared" si="11"/>
        <v>0</v>
      </c>
      <c r="K119" s="255"/>
      <c r="L119" s="255"/>
      <c r="M119" s="255"/>
      <c r="N119" s="237"/>
      <c r="O119" s="237"/>
      <c r="P119" s="237"/>
      <c r="Q119" s="237"/>
      <c r="R119" s="237"/>
      <c r="S119" s="237"/>
      <c r="T119" s="237"/>
      <c r="U119" s="237"/>
      <c r="V119" s="237"/>
      <c r="W119" s="237"/>
      <c r="X119" s="237"/>
      <c r="Y119" s="237"/>
      <c r="Z119" s="237"/>
    </row>
    <row r="120" spans="1:26" ht="21" customHeight="1" x14ac:dyDescent="0.25">
      <c r="A120" s="261"/>
      <c r="B120" s="533"/>
      <c r="C120" s="543"/>
      <c r="D120" s="245" t="s">
        <v>170</v>
      </c>
      <c r="E120" s="764" t="s">
        <v>1404</v>
      </c>
      <c r="F120" s="615"/>
      <c r="G120" s="616"/>
      <c r="H120" s="502"/>
      <c r="I120" s="251"/>
      <c r="J120" s="254"/>
      <c r="K120" s="255"/>
      <c r="L120" s="255"/>
      <c r="M120" s="255"/>
      <c r="N120" s="237"/>
      <c r="O120" s="237"/>
      <c r="P120" s="237"/>
      <c r="Q120" s="237"/>
      <c r="R120" s="237"/>
      <c r="S120" s="237"/>
      <c r="T120" s="237"/>
      <c r="U120" s="237"/>
      <c r="V120" s="237"/>
      <c r="W120" s="237"/>
      <c r="X120" s="237"/>
      <c r="Y120" s="237"/>
      <c r="Z120" s="237"/>
    </row>
    <row r="121" spans="1:26" ht="51.75" customHeight="1" x14ac:dyDescent="0.25">
      <c r="A121" s="261"/>
      <c r="B121" s="532"/>
      <c r="C121" s="278">
        <v>2</v>
      </c>
      <c r="D121" s="767" t="s">
        <v>1405</v>
      </c>
      <c r="E121" s="615"/>
      <c r="F121" s="615"/>
      <c r="G121" s="616"/>
      <c r="H121" s="502"/>
      <c r="I121" s="251"/>
      <c r="J121" s="254"/>
      <c r="K121" s="255"/>
      <c r="L121" s="255"/>
      <c r="M121" s="255"/>
      <c r="N121" s="237"/>
      <c r="O121" s="237"/>
      <c r="P121" s="237"/>
      <c r="Q121" s="237"/>
      <c r="R121" s="237"/>
      <c r="S121" s="237"/>
      <c r="T121" s="237"/>
      <c r="U121" s="237"/>
      <c r="V121" s="237"/>
      <c r="W121" s="237"/>
      <c r="X121" s="237"/>
      <c r="Y121" s="237"/>
      <c r="Z121" s="237"/>
    </row>
    <row r="122" spans="1:26" ht="19.5" customHeight="1" x14ac:dyDescent="0.25">
      <c r="A122" s="261"/>
      <c r="B122" s="513" t="s">
        <v>61</v>
      </c>
      <c r="C122" s="764" t="s">
        <v>1406</v>
      </c>
      <c r="D122" s="615"/>
      <c r="E122" s="615"/>
      <c r="F122" s="615"/>
      <c r="G122" s="616"/>
      <c r="H122" s="519"/>
      <c r="I122" s="251"/>
      <c r="J122" s="254"/>
      <c r="K122" s="255"/>
      <c r="L122" s="255"/>
      <c r="M122" s="255"/>
      <c r="N122" s="237"/>
      <c r="O122" s="237"/>
      <c r="P122" s="237"/>
      <c r="Q122" s="237"/>
      <c r="R122" s="237"/>
      <c r="S122" s="237"/>
      <c r="T122" s="237"/>
      <c r="U122" s="237"/>
      <c r="V122" s="237"/>
      <c r="W122" s="237"/>
      <c r="X122" s="237"/>
      <c r="Y122" s="237"/>
      <c r="Z122" s="237"/>
    </row>
    <row r="123" spans="1:26" ht="19.5" customHeight="1" x14ac:dyDescent="0.25">
      <c r="A123" s="261"/>
      <c r="B123" s="532"/>
      <c r="C123" s="258"/>
      <c r="D123" s="768" t="s">
        <v>1407</v>
      </c>
      <c r="E123" s="615"/>
      <c r="F123" s="615"/>
      <c r="G123" s="616"/>
      <c r="H123" s="519"/>
      <c r="I123" s="251"/>
      <c r="J123" s="245">
        <f>H123+I123</f>
        <v>0</v>
      </c>
      <c r="K123" s="255"/>
      <c r="L123" s="255"/>
      <c r="M123" s="255"/>
      <c r="N123" s="237"/>
      <c r="O123" s="237"/>
      <c r="P123" s="237"/>
      <c r="Q123" s="237"/>
      <c r="R123" s="237"/>
      <c r="S123" s="237"/>
      <c r="T123" s="237"/>
      <c r="U123" s="237"/>
      <c r="V123" s="237"/>
      <c r="W123" s="237"/>
      <c r="X123" s="237"/>
      <c r="Y123" s="237"/>
      <c r="Z123" s="237"/>
    </row>
    <row r="124" spans="1:26" ht="19.5" customHeight="1" x14ac:dyDescent="0.25">
      <c r="A124" s="261"/>
      <c r="B124" s="513" t="s">
        <v>70</v>
      </c>
      <c r="C124" s="764" t="s">
        <v>893</v>
      </c>
      <c r="D124" s="615"/>
      <c r="E124" s="615"/>
      <c r="F124" s="615"/>
      <c r="G124" s="616"/>
      <c r="H124" s="519"/>
      <c r="I124" s="251"/>
      <c r="J124" s="254"/>
      <c r="K124" s="255"/>
      <c r="L124" s="255"/>
      <c r="M124" s="255"/>
      <c r="N124" s="237"/>
      <c r="O124" s="237"/>
      <c r="P124" s="237"/>
      <c r="Q124" s="237"/>
      <c r="R124" s="237"/>
      <c r="S124" s="237"/>
      <c r="T124" s="237"/>
      <c r="U124" s="237"/>
      <c r="V124" s="237"/>
      <c r="W124" s="237"/>
      <c r="X124" s="237"/>
      <c r="Y124" s="237"/>
      <c r="Z124" s="237"/>
    </row>
    <row r="125" spans="1:26" ht="19.5" customHeight="1" x14ac:dyDescent="0.25">
      <c r="A125" s="261"/>
      <c r="B125" s="532"/>
      <c r="C125" s="258"/>
      <c r="D125" s="768" t="s">
        <v>1407</v>
      </c>
      <c r="E125" s="615"/>
      <c r="F125" s="615"/>
      <c r="G125" s="616"/>
      <c r="H125" s="519"/>
      <c r="I125" s="251"/>
      <c r="J125" s="245">
        <f>H125+I125</f>
        <v>0</v>
      </c>
      <c r="K125" s="255"/>
      <c r="L125" s="255"/>
      <c r="M125" s="255"/>
      <c r="N125" s="237"/>
      <c r="O125" s="237"/>
      <c r="P125" s="237"/>
      <c r="Q125" s="237"/>
      <c r="R125" s="237"/>
      <c r="S125" s="237"/>
      <c r="T125" s="237"/>
      <c r="U125" s="237"/>
      <c r="V125" s="237"/>
      <c r="W125" s="237"/>
      <c r="X125" s="237"/>
      <c r="Y125" s="237"/>
      <c r="Z125" s="237"/>
    </row>
    <row r="126" spans="1:26" ht="19.5" customHeight="1" x14ac:dyDescent="0.25">
      <c r="A126" s="261"/>
      <c r="B126" s="523" t="s">
        <v>73</v>
      </c>
      <c r="C126" s="767" t="s">
        <v>1408</v>
      </c>
      <c r="D126" s="615"/>
      <c r="E126" s="615"/>
      <c r="F126" s="615"/>
      <c r="G126" s="616"/>
      <c r="H126" s="502"/>
      <c r="I126" s="251"/>
      <c r="J126" s="254"/>
      <c r="K126" s="255"/>
      <c r="L126" s="255"/>
      <c r="M126" s="255"/>
      <c r="N126" s="237"/>
      <c r="O126" s="237"/>
      <c r="P126" s="237"/>
      <c r="Q126" s="237"/>
      <c r="R126" s="237"/>
      <c r="S126" s="237"/>
      <c r="T126" s="237"/>
      <c r="U126" s="237"/>
      <c r="V126" s="237"/>
      <c r="W126" s="237"/>
      <c r="X126" s="237"/>
      <c r="Y126" s="237"/>
      <c r="Z126" s="237"/>
    </row>
    <row r="127" spans="1:26" ht="21" customHeight="1" x14ac:dyDescent="0.25">
      <c r="A127" s="261"/>
      <c r="B127" s="533"/>
      <c r="C127" s="245">
        <v>1</v>
      </c>
      <c r="D127" s="764" t="s">
        <v>153</v>
      </c>
      <c r="E127" s="615"/>
      <c r="F127" s="615"/>
      <c r="G127" s="616"/>
      <c r="H127" s="502"/>
      <c r="I127" s="251"/>
      <c r="J127" s="245">
        <f t="shared" ref="J127:J128" si="12">H127+I127</f>
        <v>0</v>
      </c>
      <c r="K127" s="255"/>
      <c r="L127" s="255"/>
      <c r="M127" s="255"/>
      <c r="N127" s="237"/>
      <c r="O127" s="237"/>
      <c r="P127" s="237"/>
      <c r="Q127" s="237"/>
      <c r="R127" s="237"/>
      <c r="S127" s="237"/>
      <c r="T127" s="237"/>
      <c r="U127" s="237"/>
      <c r="V127" s="237"/>
      <c r="W127" s="237"/>
      <c r="X127" s="237"/>
      <c r="Y127" s="237"/>
      <c r="Z127" s="237"/>
    </row>
    <row r="128" spans="1:26" ht="21" customHeight="1" x14ac:dyDescent="0.25">
      <c r="A128" s="261"/>
      <c r="B128" s="532"/>
      <c r="C128" s="279">
        <v>2</v>
      </c>
      <c r="D128" s="764" t="s">
        <v>182</v>
      </c>
      <c r="E128" s="615"/>
      <c r="F128" s="615"/>
      <c r="G128" s="616"/>
      <c r="H128" s="519"/>
      <c r="I128" s="251"/>
      <c r="J128" s="245">
        <f t="shared" si="12"/>
        <v>0</v>
      </c>
      <c r="K128" s="255"/>
      <c r="L128" s="255"/>
      <c r="M128" s="255"/>
      <c r="N128" s="237"/>
      <c r="O128" s="237"/>
      <c r="P128" s="237"/>
      <c r="Q128" s="237"/>
      <c r="R128" s="237"/>
      <c r="S128" s="237"/>
      <c r="T128" s="237"/>
      <c r="U128" s="237"/>
      <c r="V128" s="237"/>
      <c r="W128" s="237"/>
      <c r="X128" s="237"/>
      <c r="Y128" s="237"/>
      <c r="Z128" s="237"/>
    </row>
    <row r="129" spans="1:26" ht="36" customHeight="1" x14ac:dyDescent="0.25">
      <c r="A129" s="261"/>
      <c r="B129" s="523" t="s">
        <v>85</v>
      </c>
      <c r="C129" s="767" t="s">
        <v>1409</v>
      </c>
      <c r="D129" s="615"/>
      <c r="E129" s="615"/>
      <c r="F129" s="615"/>
      <c r="G129" s="616"/>
      <c r="H129" s="502"/>
      <c r="I129" s="251"/>
      <c r="J129" s="254"/>
      <c r="K129" s="255"/>
      <c r="L129" s="255"/>
      <c r="M129" s="255"/>
      <c r="N129" s="237"/>
      <c r="O129" s="237"/>
      <c r="P129" s="237"/>
      <c r="Q129" s="237"/>
      <c r="R129" s="237"/>
      <c r="S129" s="237"/>
      <c r="T129" s="237"/>
      <c r="U129" s="237"/>
      <c r="V129" s="237"/>
      <c r="W129" s="237"/>
      <c r="X129" s="237"/>
      <c r="Y129" s="237"/>
      <c r="Z129" s="237"/>
    </row>
    <row r="130" spans="1:26" ht="21" customHeight="1" x14ac:dyDescent="0.25">
      <c r="A130" s="261"/>
      <c r="B130" s="533"/>
      <c r="C130" s="245">
        <v>1</v>
      </c>
      <c r="D130" s="764" t="s">
        <v>1410</v>
      </c>
      <c r="E130" s="615"/>
      <c r="F130" s="615"/>
      <c r="G130" s="616"/>
      <c r="H130" s="502"/>
      <c r="I130" s="251"/>
      <c r="J130" s="245">
        <f t="shared" ref="J130:J132" si="13">H130+I130</f>
        <v>0</v>
      </c>
      <c r="K130" s="255"/>
      <c r="L130" s="255"/>
      <c r="M130" s="255"/>
      <c r="N130" s="237"/>
      <c r="O130" s="237"/>
      <c r="P130" s="237"/>
      <c r="Q130" s="237"/>
      <c r="R130" s="237"/>
      <c r="S130" s="237"/>
      <c r="T130" s="237"/>
      <c r="U130" s="237"/>
      <c r="V130" s="237"/>
      <c r="W130" s="237"/>
      <c r="X130" s="237"/>
      <c r="Y130" s="237"/>
      <c r="Z130" s="237"/>
    </row>
    <row r="131" spans="1:26" ht="21" customHeight="1" x14ac:dyDescent="0.25">
      <c r="A131" s="261"/>
      <c r="B131" s="533"/>
      <c r="C131" s="245">
        <v>2</v>
      </c>
      <c r="D131" s="764" t="s">
        <v>1411</v>
      </c>
      <c r="E131" s="615"/>
      <c r="F131" s="615"/>
      <c r="G131" s="616"/>
      <c r="H131" s="502"/>
      <c r="I131" s="251"/>
      <c r="J131" s="245">
        <f t="shared" si="13"/>
        <v>0</v>
      </c>
      <c r="K131" s="255"/>
      <c r="L131" s="255"/>
      <c r="M131" s="255"/>
      <c r="N131" s="237"/>
      <c r="O131" s="237"/>
      <c r="P131" s="237"/>
      <c r="Q131" s="237"/>
      <c r="R131" s="237"/>
      <c r="S131" s="237"/>
      <c r="T131" s="237"/>
      <c r="U131" s="237"/>
      <c r="V131" s="237"/>
      <c r="W131" s="237"/>
      <c r="X131" s="237"/>
      <c r="Y131" s="237"/>
      <c r="Z131" s="237"/>
    </row>
    <row r="132" spans="1:26" ht="21" customHeight="1" x14ac:dyDescent="0.25">
      <c r="A132" s="261"/>
      <c r="B132" s="532"/>
      <c r="C132" s="245">
        <v>3</v>
      </c>
      <c r="D132" s="775" t="s">
        <v>1412</v>
      </c>
      <c r="E132" s="637"/>
      <c r="F132" s="637"/>
      <c r="G132" s="638"/>
      <c r="H132" s="519"/>
      <c r="I132" s="251"/>
      <c r="J132" s="245">
        <f t="shared" si="13"/>
        <v>0</v>
      </c>
      <c r="K132" s="255"/>
      <c r="L132" s="255"/>
      <c r="M132" s="255"/>
      <c r="N132" s="237"/>
      <c r="O132" s="237"/>
      <c r="P132" s="237"/>
      <c r="Q132" s="237"/>
      <c r="R132" s="237"/>
      <c r="S132" s="237"/>
      <c r="T132" s="237"/>
      <c r="U132" s="237"/>
      <c r="V132" s="237"/>
      <c r="W132" s="237"/>
      <c r="X132" s="237"/>
      <c r="Y132" s="237"/>
      <c r="Z132" s="237"/>
    </row>
    <row r="133" spans="1:26" ht="19.5" customHeight="1" x14ac:dyDescent="0.25">
      <c r="A133" s="539" t="s">
        <v>187</v>
      </c>
      <c r="B133" s="766" t="s">
        <v>188</v>
      </c>
      <c r="C133" s="615"/>
      <c r="D133" s="615"/>
      <c r="E133" s="615"/>
      <c r="F133" s="615"/>
      <c r="G133" s="616"/>
      <c r="H133" s="267"/>
      <c r="I133" s="251"/>
      <c r="J133" s="254"/>
      <c r="K133" s="255"/>
      <c r="L133" s="255"/>
      <c r="M133" s="255"/>
      <c r="N133" s="237"/>
      <c r="O133" s="237"/>
      <c r="P133" s="237"/>
      <c r="Q133" s="237"/>
      <c r="R133" s="237"/>
      <c r="S133" s="237"/>
      <c r="T133" s="237"/>
      <c r="U133" s="237"/>
      <c r="V133" s="237"/>
      <c r="W133" s="237"/>
      <c r="X133" s="237"/>
      <c r="Y133" s="237"/>
      <c r="Z133" s="237"/>
    </row>
    <row r="134" spans="1:26" ht="19.5" customHeight="1" x14ac:dyDescent="0.25">
      <c r="A134" s="261"/>
      <c r="B134" s="513" t="s">
        <v>56</v>
      </c>
      <c r="C134" s="764" t="s">
        <v>1092</v>
      </c>
      <c r="D134" s="615"/>
      <c r="E134" s="615"/>
      <c r="F134" s="615"/>
      <c r="G134" s="616"/>
      <c r="H134" s="267"/>
      <c r="I134" s="251"/>
      <c r="J134" s="254"/>
      <c r="K134" s="255"/>
      <c r="L134" s="255"/>
      <c r="M134" s="255"/>
      <c r="N134" s="237"/>
      <c r="O134" s="237"/>
      <c r="P134" s="237"/>
      <c r="Q134" s="237"/>
      <c r="R134" s="237"/>
      <c r="S134" s="237"/>
      <c r="T134" s="237"/>
      <c r="U134" s="237"/>
      <c r="V134" s="237"/>
      <c r="W134" s="237"/>
      <c r="X134" s="237"/>
      <c r="Y134" s="237"/>
      <c r="Z134" s="237"/>
    </row>
    <row r="135" spans="1:26" ht="51" customHeight="1" x14ac:dyDescent="0.25">
      <c r="A135" s="261"/>
      <c r="B135" s="532"/>
      <c r="C135" s="268"/>
      <c r="D135" s="776" t="s">
        <v>1413</v>
      </c>
      <c r="E135" s="615"/>
      <c r="F135" s="615"/>
      <c r="G135" s="616"/>
      <c r="H135" s="267"/>
      <c r="I135" s="251"/>
      <c r="J135" s="245">
        <f>H135+I135</f>
        <v>0</v>
      </c>
      <c r="K135" s="255"/>
      <c r="L135" s="255"/>
      <c r="M135" s="255"/>
      <c r="N135" s="237"/>
      <c r="O135" s="237"/>
      <c r="P135" s="237"/>
      <c r="Q135" s="237"/>
      <c r="R135" s="237"/>
      <c r="S135" s="237"/>
      <c r="T135" s="237"/>
      <c r="U135" s="237"/>
      <c r="V135" s="237"/>
      <c r="W135" s="237"/>
      <c r="X135" s="237"/>
      <c r="Y135" s="237"/>
      <c r="Z135" s="237"/>
    </row>
    <row r="136" spans="1:26" ht="31.5" customHeight="1" x14ac:dyDescent="0.25">
      <c r="A136" s="261"/>
      <c r="B136" s="523" t="s">
        <v>61</v>
      </c>
      <c r="C136" s="777" t="s">
        <v>1414</v>
      </c>
      <c r="D136" s="645"/>
      <c r="E136" s="645"/>
      <c r="F136" s="645"/>
      <c r="G136" s="646"/>
      <c r="H136" s="280"/>
      <c r="I136" s="513"/>
      <c r="J136" s="517"/>
      <c r="K136" s="536"/>
      <c r="L136" s="536"/>
      <c r="M136" s="536"/>
      <c r="N136" s="237"/>
      <c r="O136" s="237"/>
      <c r="P136" s="237"/>
      <c r="Q136" s="237"/>
      <c r="R136" s="237"/>
      <c r="S136" s="237"/>
      <c r="T136" s="237"/>
      <c r="U136" s="237"/>
      <c r="V136" s="237"/>
      <c r="W136" s="237"/>
      <c r="X136" s="237"/>
      <c r="Y136" s="237"/>
      <c r="Z136" s="237"/>
    </row>
    <row r="137" spans="1:26" ht="33" customHeight="1" x14ac:dyDescent="0.25">
      <c r="A137" s="261"/>
      <c r="B137" s="532"/>
      <c r="C137" s="268"/>
      <c r="D137" s="767" t="s">
        <v>1415</v>
      </c>
      <c r="E137" s="615"/>
      <c r="F137" s="615"/>
      <c r="G137" s="616"/>
      <c r="H137" s="267"/>
      <c r="I137" s="251"/>
      <c r="J137" s="245">
        <f>H137+I137</f>
        <v>0</v>
      </c>
      <c r="K137" s="270"/>
      <c r="L137" s="255"/>
      <c r="M137" s="255"/>
      <c r="N137" s="237"/>
      <c r="O137" s="237"/>
      <c r="P137" s="237"/>
      <c r="Q137" s="237"/>
      <c r="R137" s="237"/>
      <c r="S137" s="237"/>
      <c r="T137" s="237"/>
      <c r="U137" s="237"/>
      <c r="V137" s="237"/>
      <c r="W137" s="237"/>
      <c r="X137" s="237"/>
      <c r="Y137" s="237"/>
      <c r="Z137" s="237"/>
    </row>
    <row r="138" spans="1:26" ht="33.75" customHeight="1" x14ac:dyDescent="0.25">
      <c r="A138" s="261"/>
      <c r="B138" s="523" t="s">
        <v>70</v>
      </c>
      <c r="C138" s="767" t="s">
        <v>1416</v>
      </c>
      <c r="D138" s="615"/>
      <c r="E138" s="615"/>
      <c r="F138" s="615"/>
      <c r="G138" s="616"/>
      <c r="H138" s="267"/>
      <c r="I138" s="251"/>
      <c r="J138" s="254"/>
      <c r="K138" s="255"/>
      <c r="L138" s="255"/>
      <c r="M138" s="255"/>
      <c r="N138" s="237"/>
      <c r="O138" s="237"/>
      <c r="P138" s="237"/>
      <c r="Q138" s="237"/>
      <c r="R138" s="237"/>
      <c r="S138" s="237"/>
      <c r="T138" s="237"/>
      <c r="U138" s="237"/>
      <c r="V138" s="237"/>
      <c r="W138" s="237"/>
      <c r="X138" s="237"/>
      <c r="Y138" s="237"/>
      <c r="Z138" s="237"/>
    </row>
    <row r="139" spans="1:26" ht="19.5" customHeight="1" x14ac:dyDescent="0.25">
      <c r="A139" s="261"/>
      <c r="B139" s="532"/>
      <c r="C139" s="245">
        <v>1</v>
      </c>
      <c r="D139" s="764" t="s">
        <v>1417</v>
      </c>
      <c r="E139" s="615"/>
      <c r="F139" s="615"/>
      <c r="G139" s="616"/>
      <c r="H139" s="267"/>
      <c r="I139" s="251"/>
      <c r="J139" s="245">
        <f>H139+I139</f>
        <v>0</v>
      </c>
      <c r="K139" s="255"/>
      <c r="L139" s="255"/>
      <c r="M139" s="255"/>
      <c r="N139" s="237"/>
      <c r="O139" s="237"/>
      <c r="P139" s="237"/>
      <c r="Q139" s="237"/>
      <c r="R139" s="237"/>
      <c r="S139" s="237"/>
      <c r="T139" s="237"/>
      <c r="U139" s="237"/>
      <c r="V139" s="237"/>
      <c r="W139" s="237"/>
      <c r="X139" s="237"/>
      <c r="Y139" s="237"/>
      <c r="Z139" s="237"/>
    </row>
    <row r="140" spans="1:26" ht="19.5" customHeight="1" x14ac:dyDescent="0.25">
      <c r="A140" s="769" t="s">
        <v>45</v>
      </c>
      <c r="B140" s="770" t="s">
        <v>46</v>
      </c>
      <c r="C140" s="615"/>
      <c r="D140" s="615"/>
      <c r="E140" s="615"/>
      <c r="F140" s="615"/>
      <c r="G140" s="615"/>
      <c r="H140" s="615"/>
      <c r="I140" s="615"/>
      <c r="J140" s="615"/>
      <c r="K140" s="615"/>
      <c r="L140" s="615"/>
      <c r="M140" s="616"/>
      <c r="N140" s="237"/>
      <c r="O140" s="237"/>
      <c r="P140" s="237"/>
      <c r="Q140" s="237"/>
      <c r="R140" s="237"/>
      <c r="S140" s="237"/>
      <c r="T140" s="237"/>
      <c r="U140" s="237"/>
      <c r="V140" s="237"/>
      <c r="W140" s="237"/>
      <c r="X140" s="237"/>
      <c r="Y140" s="237"/>
      <c r="Z140" s="237"/>
    </row>
    <row r="141" spans="1:26" ht="19.5" customHeight="1" x14ac:dyDescent="0.25">
      <c r="A141" s="630"/>
      <c r="B141" s="771" t="s">
        <v>67</v>
      </c>
      <c r="C141" s="613"/>
      <c r="D141" s="613"/>
      <c r="E141" s="613"/>
      <c r="F141" s="613"/>
      <c r="G141" s="634"/>
      <c r="H141" s="772" t="s">
        <v>48</v>
      </c>
      <c r="I141" s="637"/>
      <c r="J141" s="637"/>
      <c r="K141" s="637"/>
      <c r="L141" s="637"/>
      <c r="M141" s="638"/>
      <c r="N141" s="237"/>
      <c r="O141" s="237"/>
      <c r="P141" s="237"/>
      <c r="Q141" s="237"/>
      <c r="R141" s="237"/>
      <c r="S141" s="237"/>
      <c r="T141" s="237"/>
      <c r="U141" s="237"/>
      <c r="V141" s="237"/>
      <c r="W141" s="237"/>
      <c r="X141" s="237"/>
      <c r="Y141" s="237"/>
      <c r="Z141" s="237"/>
    </row>
    <row r="142" spans="1:26" ht="19.5" customHeight="1" x14ac:dyDescent="0.25">
      <c r="A142" s="630"/>
      <c r="B142" s="635"/>
      <c r="C142" s="613"/>
      <c r="D142" s="613"/>
      <c r="E142" s="613"/>
      <c r="F142" s="613"/>
      <c r="G142" s="634"/>
      <c r="H142" s="772" t="s">
        <v>49</v>
      </c>
      <c r="I142" s="637"/>
      <c r="J142" s="638"/>
      <c r="K142" s="772" t="s">
        <v>50</v>
      </c>
      <c r="L142" s="637"/>
      <c r="M142" s="638"/>
      <c r="N142" s="237"/>
      <c r="O142" s="237"/>
      <c r="P142" s="237"/>
      <c r="Q142" s="237"/>
      <c r="R142" s="237"/>
      <c r="S142" s="237"/>
      <c r="T142" s="237"/>
      <c r="U142" s="237"/>
      <c r="V142" s="237"/>
      <c r="W142" s="237"/>
      <c r="X142" s="237"/>
      <c r="Y142" s="237"/>
      <c r="Z142" s="237"/>
    </row>
    <row r="143" spans="1:26" ht="19.5" customHeight="1" x14ac:dyDescent="0.25">
      <c r="A143" s="631"/>
      <c r="B143" s="636"/>
      <c r="C143" s="637"/>
      <c r="D143" s="637"/>
      <c r="E143" s="637"/>
      <c r="F143" s="637"/>
      <c r="G143" s="638"/>
      <c r="H143" s="245" t="s">
        <v>51</v>
      </c>
      <c r="I143" s="245" t="s">
        <v>52</v>
      </c>
      <c r="J143" s="245" t="s">
        <v>53</v>
      </c>
      <c r="K143" s="245" t="s">
        <v>51</v>
      </c>
      <c r="L143" s="245" t="s">
        <v>52</v>
      </c>
      <c r="M143" s="245" t="s">
        <v>53</v>
      </c>
      <c r="N143" s="237"/>
      <c r="O143" s="237"/>
      <c r="P143" s="237"/>
      <c r="Q143" s="237"/>
      <c r="R143" s="237"/>
      <c r="S143" s="237"/>
      <c r="T143" s="237"/>
      <c r="U143" s="237"/>
      <c r="V143" s="237"/>
      <c r="W143" s="237"/>
      <c r="X143" s="237"/>
      <c r="Y143" s="237"/>
      <c r="Z143" s="237"/>
    </row>
    <row r="144" spans="1:26" ht="19.5" customHeight="1" x14ac:dyDescent="0.25">
      <c r="A144" s="514">
        <v>1</v>
      </c>
      <c r="B144" s="770">
        <v>2</v>
      </c>
      <c r="C144" s="615"/>
      <c r="D144" s="615"/>
      <c r="E144" s="615"/>
      <c r="F144" s="615"/>
      <c r="G144" s="616"/>
      <c r="H144" s="245">
        <v>3</v>
      </c>
      <c r="I144" s="245">
        <v>4</v>
      </c>
      <c r="J144" s="245">
        <v>5</v>
      </c>
      <c r="K144" s="245">
        <v>6</v>
      </c>
      <c r="L144" s="245">
        <v>7</v>
      </c>
      <c r="M144" s="245">
        <v>8</v>
      </c>
      <c r="N144" s="237"/>
      <c r="O144" s="237"/>
      <c r="P144" s="237"/>
      <c r="Q144" s="237"/>
      <c r="R144" s="237"/>
      <c r="S144" s="237"/>
      <c r="T144" s="237"/>
      <c r="U144" s="237"/>
      <c r="V144" s="237"/>
      <c r="W144" s="237"/>
      <c r="X144" s="237"/>
      <c r="Y144" s="237"/>
      <c r="Z144" s="237"/>
    </row>
    <row r="145" spans="1:26" ht="19.5" customHeight="1" x14ac:dyDescent="0.25">
      <c r="A145" s="261"/>
      <c r="B145" s="533"/>
      <c r="C145" s="534"/>
      <c r="D145" s="513" t="s">
        <v>76</v>
      </c>
      <c r="E145" s="768" t="s">
        <v>1418</v>
      </c>
      <c r="F145" s="615"/>
      <c r="G145" s="616"/>
      <c r="H145" s="267"/>
      <c r="I145" s="251"/>
      <c r="J145" s="254"/>
      <c r="K145" s="255"/>
      <c r="L145" s="255"/>
      <c r="M145" s="255"/>
      <c r="N145" s="237"/>
      <c r="O145" s="237"/>
      <c r="P145" s="237"/>
      <c r="Q145" s="237"/>
      <c r="R145" s="237"/>
      <c r="S145" s="237"/>
      <c r="T145" s="237"/>
      <c r="U145" s="237"/>
      <c r="V145" s="237"/>
      <c r="W145" s="237"/>
      <c r="X145" s="237"/>
      <c r="Y145" s="237"/>
      <c r="Z145" s="237"/>
    </row>
    <row r="146" spans="1:26" ht="19.5" customHeight="1" x14ac:dyDescent="0.25">
      <c r="A146" s="261"/>
      <c r="B146" s="533"/>
      <c r="C146" s="534"/>
      <c r="D146" s="533"/>
      <c r="E146" s="245" t="s">
        <v>141</v>
      </c>
      <c r="F146" s="265" t="s">
        <v>1410</v>
      </c>
      <c r="G146" s="255"/>
      <c r="H146" s="267"/>
      <c r="I146" s="251"/>
      <c r="J146" s="245">
        <f t="shared" ref="J146:J148" si="14">H146+I146</f>
        <v>0</v>
      </c>
      <c r="K146" s="255"/>
      <c r="L146" s="255"/>
      <c r="M146" s="255"/>
      <c r="N146" s="237"/>
      <c r="O146" s="237"/>
      <c r="P146" s="237"/>
      <c r="Q146" s="237"/>
      <c r="R146" s="237"/>
      <c r="S146" s="237"/>
      <c r="T146" s="237"/>
      <c r="U146" s="237"/>
      <c r="V146" s="237"/>
      <c r="W146" s="237"/>
      <c r="X146" s="237"/>
      <c r="Y146" s="237"/>
      <c r="Z146" s="237"/>
    </row>
    <row r="147" spans="1:26" ht="19.5" customHeight="1" x14ac:dyDescent="0.25">
      <c r="A147" s="261"/>
      <c r="B147" s="533"/>
      <c r="C147" s="534"/>
      <c r="D147" s="533"/>
      <c r="E147" s="245" t="s">
        <v>144</v>
      </c>
      <c r="F147" s="265" t="s">
        <v>1411</v>
      </c>
      <c r="G147" s="255"/>
      <c r="H147" s="267"/>
      <c r="I147" s="251"/>
      <c r="J147" s="245">
        <f t="shared" si="14"/>
        <v>0</v>
      </c>
      <c r="K147" s="255"/>
      <c r="L147" s="255"/>
      <c r="M147" s="255"/>
      <c r="N147" s="237"/>
      <c r="O147" s="237"/>
      <c r="P147" s="237"/>
      <c r="Q147" s="237"/>
      <c r="R147" s="237"/>
      <c r="S147" s="237"/>
      <c r="T147" s="237"/>
      <c r="U147" s="237"/>
      <c r="V147" s="237"/>
      <c r="W147" s="237"/>
      <c r="X147" s="237"/>
      <c r="Y147" s="237"/>
      <c r="Z147" s="237"/>
    </row>
    <row r="148" spans="1:26" ht="19.5" customHeight="1" x14ac:dyDescent="0.25">
      <c r="A148" s="261"/>
      <c r="B148" s="533"/>
      <c r="C148" s="542"/>
      <c r="D148" s="532"/>
      <c r="E148" s="245" t="s">
        <v>147</v>
      </c>
      <c r="F148" s="265" t="s">
        <v>1412</v>
      </c>
      <c r="G148" s="255"/>
      <c r="H148" s="267"/>
      <c r="I148" s="251"/>
      <c r="J148" s="245">
        <f t="shared" si="14"/>
        <v>0</v>
      </c>
      <c r="K148" s="255"/>
      <c r="L148" s="255"/>
      <c r="M148" s="255"/>
      <c r="N148" s="237"/>
      <c r="O148" s="237"/>
      <c r="P148" s="237"/>
      <c r="Q148" s="237"/>
      <c r="R148" s="237"/>
      <c r="S148" s="237"/>
      <c r="T148" s="237"/>
      <c r="U148" s="237"/>
      <c r="V148" s="237"/>
      <c r="W148" s="237"/>
      <c r="X148" s="237"/>
      <c r="Y148" s="237"/>
      <c r="Z148" s="237"/>
    </row>
    <row r="149" spans="1:26" ht="33" customHeight="1" x14ac:dyDescent="0.25">
      <c r="A149" s="261"/>
      <c r="B149" s="533"/>
      <c r="C149" s="542"/>
      <c r="D149" s="523" t="s">
        <v>150</v>
      </c>
      <c r="E149" s="767" t="s">
        <v>1419</v>
      </c>
      <c r="F149" s="615"/>
      <c r="G149" s="616"/>
      <c r="H149" s="267"/>
      <c r="I149" s="251"/>
      <c r="J149" s="254"/>
      <c r="K149" s="255"/>
      <c r="L149" s="255"/>
      <c r="M149" s="255"/>
      <c r="N149" s="237"/>
      <c r="O149" s="237"/>
      <c r="P149" s="237"/>
      <c r="Q149" s="237"/>
      <c r="R149" s="237"/>
      <c r="S149" s="237"/>
      <c r="T149" s="237"/>
      <c r="U149" s="237"/>
      <c r="V149" s="237"/>
      <c r="W149" s="237"/>
      <c r="X149" s="237"/>
      <c r="Y149" s="237"/>
      <c r="Z149" s="237"/>
    </row>
    <row r="150" spans="1:26" ht="19.5" customHeight="1" x14ac:dyDescent="0.25">
      <c r="A150" s="261"/>
      <c r="B150" s="533"/>
      <c r="C150" s="542"/>
      <c r="D150" s="533"/>
      <c r="E150" s="245" t="s">
        <v>141</v>
      </c>
      <c r="F150" s="265" t="s">
        <v>1410</v>
      </c>
      <c r="G150" s="255"/>
      <c r="H150" s="267"/>
      <c r="I150" s="251"/>
      <c r="J150" s="245">
        <f t="shared" ref="J150:J152" si="15">H150+I150</f>
        <v>0</v>
      </c>
      <c r="K150" s="255"/>
      <c r="L150" s="255"/>
      <c r="M150" s="255"/>
      <c r="N150" s="237"/>
      <c r="O150" s="237"/>
      <c r="P150" s="237"/>
      <c r="Q150" s="237"/>
      <c r="R150" s="237"/>
      <c r="S150" s="237"/>
      <c r="T150" s="237"/>
      <c r="U150" s="237"/>
      <c r="V150" s="237"/>
      <c r="W150" s="237"/>
      <c r="X150" s="237"/>
      <c r="Y150" s="237"/>
      <c r="Z150" s="237"/>
    </row>
    <row r="151" spans="1:26" ht="19.5" customHeight="1" x14ac:dyDescent="0.25">
      <c r="A151" s="261"/>
      <c r="B151" s="533"/>
      <c r="C151" s="542"/>
      <c r="D151" s="533"/>
      <c r="E151" s="245" t="s">
        <v>144</v>
      </c>
      <c r="F151" s="265" t="s">
        <v>1411</v>
      </c>
      <c r="G151" s="255"/>
      <c r="H151" s="267"/>
      <c r="I151" s="251"/>
      <c r="J151" s="245">
        <f t="shared" si="15"/>
        <v>0</v>
      </c>
      <c r="K151" s="255"/>
      <c r="L151" s="255"/>
      <c r="M151" s="255"/>
      <c r="N151" s="237"/>
      <c r="O151" s="237"/>
      <c r="P151" s="237"/>
      <c r="Q151" s="237"/>
      <c r="R151" s="237"/>
      <c r="S151" s="237"/>
      <c r="T151" s="237"/>
      <c r="U151" s="237"/>
      <c r="V151" s="237"/>
      <c r="W151" s="237"/>
      <c r="X151" s="237"/>
      <c r="Y151" s="237"/>
      <c r="Z151" s="237"/>
    </row>
    <row r="152" spans="1:26" ht="19.5" customHeight="1" x14ac:dyDescent="0.25">
      <c r="A152" s="261"/>
      <c r="B152" s="533"/>
      <c r="C152" s="543"/>
      <c r="D152" s="532"/>
      <c r="E152" s="245" t="s">
        <v>147</v>
      </c>
      <c r="F152" s="265" t="s">
        <v>1412</v>
      </c>
      <c r="G152" s="255"/>
      <c r="H152" s="267"/>
      <c r="I152" s="251"/>
      <c r="J152" s="245">
        <f t="shared" si="15"/>
        <v>0</v>
      </c>
      <c r="K152" s="255"/>
      <c r="L152" s="255"/>
      <c r="M152" s="255"/>
      <c r="N152" s="237"/>
      <c r="O152" s="237"/>
      <c r="P152" s="237"/>
      <c r="Q152" s="237"/>
      <c r="R152" s="237"/>
      <c r="S152" s="237"/>
      <c r="T152" s="237"/>
      <c r="U152" s="237"/>
      <c r="V152" s="237"/>
      <c r="W152" s="237"/>
      <c r="X152" s="237"/>
      <c r="Y152" s="237"/>
      <c r="Z152" s="237"/>
    </row>
    <row r="153" spans="1:26" ht="19.5" customHeight="1" x14ac:dyDescent="0.25">
      <c r="A153" s="261"/>
      <c r="B153" s="532"/>
      <c r="C153" s="245">
        <v>2</v>
      </c>
      <c r="D153" s="764" t="s">
        <v>197</v>
      </c>
      <c r="E153" s="615"/>
      <c r="F153" s="615"/>
      <c r="G153" s="616"/>
      <c r="H153" s="267"/>
      <c r="I153" s="251"/>
      <c r="J153" s="254"/>
      <c r="K153" s="255"/>
      <c r="L153" s="255"/>
      <c r="M153" s="255"/>
      <c r="N153" s="237"/>
      <c r="O153" s="237"/>
      <c r="P153" s="237"/>
      <c r="Q153" s="237"/>
      <c r="R153" s="237"/>
      <c r="S153" s="237"/>
      <c r="T153" s="237"/>
      <c r="U153" s="237"/>
      <c r="V153" s="237"/>
      <c r="W153" s="237"/>
      <c r="X153" s="237"/>
      <c r="Y153" s="237"/>
      <c r="Z153" s="237"/>
    </row>
    <row r="154" spans="1:26" ht="49.5" customHeight="1" x14ac:dyDescent="0.25">
      <c r="A154" s="261"/>
      <c r="B154" s="523" t="s">
        <v>73</v>
      </c>
      <c r="C154" s="773" t="s">
        <v>1420</v>
      </c>
      <c r="D154" s="637"/>
      <c r="E154" s="637"/>
      <c r="F154" s="637"/>
      <c r="G154" s="638"/>
      <c r="H154" s="267"/>
      <c r="I154" s="251"/>
      <c r="J154" s="254"/>
      <c r="K154" s="255"/>
      <c r="L154" s="255"/>
      <c r="M154" s="255"/>
      <c r="N154" s="237"/>
      <c r="O154" s="237"/>
      <c r="P154" s="237"/>
      <c r="Q154" s="237"/>
      <c r="R154" s="237"/>
      <c r="S154" s="237"/>
      <c r="T154" s="237"/>
      <c r="U154" s="237"/>
      <c r="V154" s="237"/>
      <c r="W154" s="237"/>
      <c r="X154" s="237"/>
      <c r="Y154" s="237"/>
      <c r="Z154" s="237"/>
    </row>
    <row r="155" spans="1:26" ht="19.5" customHeight="1" x14ac:dyDescent="0.25">
      <c r="A155" s="261"/>
      <c r="B155" s="533"/>
      <c r="C155" s="245">
        <v>1</v>
      </c>
      <c r="D155" s="764" t="s">
        <v>1421</v>
      </c>
      <c r="E155" s="615"/>
      <c r="F155" s="615"/>
      <c r="G155" s="616"/>
      <c r="H155" s="267"/>
      <c r="I155" s="251"/>
      <c r="J155" s="245">
        <f t="shared" ref="J155:J157" si="16">H155+I155</f>
        <v>0</v>
      </c>
      <c r="K155" s="255"/>
      <c r="L155" s="255"/>
      <c r="M155" s="255"/>
      <c r="N155" s="237"/>
      <c r="O155" s="237"/>
      <c r="P155" s="237"/>
      <c r="Q155" s="237"/>
      <c r="R155" s="237"/>
      <c r="S155" s="237"/>
      <c r="T155" s="237"/>
      <c r="U155" s="237"/>
      <c r="V155" s="237"/>
      <c r="W155" s="237"/>
      <c r="X155" s="237"/>
      <c r="Y155" s="237"/>
      <c r="Z155" s="237"/>
    </row>
    <row r="156" spans="1:26" ht="19.5" customHeight="1" x14ac:dyDescent="0.25">
      <c r="A156" s="261"/>
      <c r="B156" s="533"/>
      <c r="C156" s="245">
        <v>2</v>
      </c>
      <c r="D156" s="764" t="s">
        <v>1422</v>
      </c>
      <c r="E156" s="615"/>
      <c r="F156" s="615"/>
      <c r="G156" s="616"/>
      <c r="H156" s="267"/>
      <c r="I156" s="251"/>
      <c r="J156" s="245">
        <f t="shared" si="16"/>
        <v>0</v>
      </c>
      <c r="K156" s="255"/>
      <c r="L156" s="255"/>
      <c r="M156" s="255"/>
      <c r="N156" s="237"/>
      <c r="O156" s="237"/>
      <c r="P156" s="237"/>
      <c r="Q156" s="237"/>
      <c r="R156" s="237"/>
      <c r="S156" s="237"/>
      <c r="T156" s="237"/>
      <c r="U156" s="237"/>
      <c r="V156" s="237"/>
      <c r="W156" s="237"/>
      <c r="X156" s="237"/>
      <c r="Y156" s="237"/>
      <c r="Z156" s="237"/>
    </row>
    <row r="157" spans="1:26" ht="19.5" customHeight="1" x14ac:dyDescent="0.25">
      <c r="A157" s="261"/>
      <c r="B157" s="541"/>
      <c r="C157" s="245">
        <v>3</v>
      </c>
      <c r="D157" s="774" t="s">
        <v>1423</v>
      </c>
      <c r="E157" s="637"/>
      <c r="F157" s="637"/>
      <c r="G157" s="638"/>
      <c r="H157" s="267"/>
      <c r="I157" s="251"/>
      <c r="J157" s="245">
        <f t="shared" si="16"/>
        <v>0</v>
      </c>
      <c r="K157" s="255"/>
      <c r="L157" s="255"/>
      <c r="M157" s="255"/>
      <c r="N157" s="237"/>
      <c r="O157" s="237"/>
      <c r="P157" s="237"/>
      <c r="Q157" s="237"/>
      <c r="R157" s="237"/>
      <c r="S157" s="237"/>
      <c r="T157" s="237"/>
      <c r="U157" s="237"/>
      <c r="V157" s="237"/>
      <c r="W157" s="237"/>
      <c r="X157" s="237"/>
      <c r="Y157" s="237"/>
      <c r="Z157" s="237"/>
    </row>
    <row r="158" spans="1:26" ht="19.5" customHeight="1" x14ac:dyDescent="0.25">
      <c r="A158" s="261"/>
      <c r="B158" s="514" t="s">
        <v>85</v>
      </c>
      <c r="C158" s="764" t="s">
        <v>1424</v>
      </c>
      <c r="D158" s="615"/>
      <c r="E158" s="615"/>
      <c r="F158" s="615"/>
      <c r="G158" s="616"/>
      <c r="H158" s="272"/>
      <c r="I158" s="251"/>
      <c r="J158" s="254"/>
      <c r="K158" s="255"/>
      <c r="L158" s="255"/>
      <c r="M158" s="255"/>
      <c r="N158" s="237"/>
      <c r="O158" s="237"/>
      <c r="P158" s="237"/>
      <c r="Q158" s="237"/>
      <c r="R158" s="237"/>
      <c r="S158" s="237"/>
      <c r="T158" s="237"/>
      <c r="U158" s="237"/>
      <c r="V158" s="237"/>
      <c r="W158" s="237"/>
      <c r="X158" s="237"/>
      <c r="Y158" s="237"/>
      <c r="Z158" s="237"/>
    </row>
    <row r="159" spans="1:26" ht="36" customHeight="1" x14ac:dyDescent="0.25">
      <c r="A159" s="261"/>
      <c r="B159" s="541"/>
      <c r="C159" s="512"/>
      <c r="D159" s="764" t="s">
        <v>1425</v>
      </c>
      <c r="E159" s="615"/>
      <c r="F159" s="615"/>
      <c r="G159" s="616"/>
      <c r="H159" s="272"/>
      <c r="I159" s="251"/>
      <c r="J159" s="245">
        <f>H159+I159</f>
        <v>0</v>
      </c>
      <c r="K159" s="255"/>
      <c r="L159" s="255"/>
      <c r="M159" s="255"/>
      <c r="N159" s="237"/>
      <c r="O159" s="237"/>
      <c r="P159" s="237"/>
      <c r="Q159" s="237"/>
      <c r="R159" s="237"/>
      <c r="S159" s="237"/>
      <c r="T159" s="237"/>
      <c r="U159" s="237"/>
      <c r="V159" s="237"/>
      <c r="W159" s="237"/>
      <c r="X159" s="237"/>
      <c r="Y159" s="237"/>
      <c r="Z159" s="237"/>
    </row>
    <row r="160" spans="1:26" ht="24.75" customHeight="1" x14ac:dyDescent="0.25">
      <c r="A160" s="281"/>
      <c r="B160" s="765" t="s">
        <v>204</v>
      </c>
      <c r="C160" s="615"/>
      <c r="D160" s="615"/>
      <c r="E160" s="615"/>
      <c r="F160" s="615"/>
      <c r="G160" s="616"/>
      <c r="H160" s="272"/>
      <c r="I160" s="251"/>
      <c r="J160" s="254"/>
      <c r="K160" s="255"/>
      <c r="L160" s="255"/>
      <c r="M160" s="255"/>
      <c r="N160" s="237"/>
      <c r="O160" s="237"/>
      <c r="P160" s="237"/>
      <c r="Q160" s="237"/>
      <c r="R160" s="237"/>
      <c r="S160" s="237"/>
      <c r="T160" s="237"/>
      <c r="U160" s="237"/>
      <c r="V160" s="237"/>
      <c r="W160" s="237"/>
      <c r="X160" s="237"/>
      <c r="Y160" s="237"/>
      <c r="Z160" s="237"/>
    </row>
    <row r="161" spans="1:26" ht="19.5" customHeight="1" x14ac:dyDescent="0.25">
      <c r="A161" s="544" t="s">
        <v>268</v>
      </c>
      <c r="B161" s="766" t="s">
        <v>206</v>
      </c>
      <c r="C161" s="615"/>
      <c r="D161" s="615"/>
      <c r="E161" s="615"/>
      <c r="F161" s="615"/>
      <c r="G161" s="616"/>
      <c r="H161" s="267"/>
      <c r="I161" s="251"/>
      <c r="J161" s="254"/>
      <c r="K161" s="255"/>
      <c r="L161" s="255"/>
      <c r="M161" s="255"/>
      <c r="N161" s="237"/>
      <c r="O161" s="237"/>
      <c r="P161" s="237"/>
      <c r="Q161" s="237"/>
      <c r="R161" s="237"/>
      <c r="S161" s="237"/>
      <c r="T161" s="237"/>
      <c r="U161" s="237"/>
      <c r="V161" s="237"/>
      <c r="W161" s="237"/>
      <c r="X161" s="237"/>
      <c r="Y161" s="237"/>
      <c r="Z161" s="237"/>
    </row>
    <row r="162" spans="1:26" ht="33.75" customHeight="1" x14ac:dyDescent="0.25">
      <c r="A162" s="261"/>
      <c r="B162" s="540" t="s">
        <v>56</v>
      </c>
      <c r="C162" s="767" t="s">
        <v>1426</v>
      </c>
      <c r="D162" s="615"/>
      <c r="E162" s="615"/>
      <c r="F162" s="615"/>
      <c r="G162" s="616"/>
      <c r="H162" s="267"/>
      <c r="I162" s="251"/>
      <c r="J162" s="254"/>
      <c r="K162" s="255"/>
      <c r="L162" s="255"/>
      <c r="M162" s="255"/>
      <c r="N162" s="237"/>
      <c r="O162" s="237"/>
      <c r="P162" s="237"/>
      <c r="Q162" s="237"/>
      <c r="R162" s="237"/>
      <c r="S162" s="237"/>
      <c r="T162" s="237"/>
      <c r="U162" s="237"/>
      <c r="V162" s="237"/>
      <c r="W162" s="237"/>
      <c r="X162" s="237"/>
      <c r="Y162" s="237"/>
      <c r="Z162" s="237"/>
    </row>
    <row r="163" spans="1:26" ht="19.5" customHeight="1" x14ac:dyDescent="0.25">
      <c r="A163" s="261"/>
      <c r="B163" s="516"/>
      <c r="C163" s="245">
        <v>1</v>
      </c>
      <c r="D163" s="768" t="s">
        <v>1427</v>
      </c>
      <c r="E163" s="615"/>
      <c r="F163" s="615"/>
      <c r="G163" s="616"/>
      <c r="H163" s="267"/>
      <c r="I163" s="251"/>
      <c r="J163" s="245">
        <f t="shared" ref="J163:J164" si="17">H163+I163</f>
        <v>0</v>
      </c>
      <c r="K163" s="255"/>
      <c r="L163" s="255"/>
      <c r="M163" s="255"/>
      <c r="N163" s="237"/>
      <c r="O163" s="237"/>
      <c r="P163" s="237"/>
      <c r="Q163" s="237"/>
      <c r="R163" s="237"/>
      <c r="S163" s="237"/>
      <c r="T163" s="237"/>
      <c r="U163" s="237"/>
      <c r="V163" s="237"/>
      <c r="W163" s="237"/>
      <c r="X163" s="237"/>
      <c r="Y163" s="237"/>
      <c r="Z163" s="237"/>
    </row>
    <row r="164" spans="1:26" ht="19.5" customHeight="1" x14ac:dyDescent="0.25">
      <c r="A164" s="261"/>
      <c r="B164" s="541"/>
      <c r="C164" s="245">
        <v>2</v>
      </c>
      <c r="D164" s="764" t="s">
        <v>1428</v>
      </c>
      <c r="E164" s="615"/>
      <c r="F164" s="615"/>
      <c r="G164" s="616"/>
      <c r="H164" s="267"/>
      <c r="I164" s="251"/>
      <c r="J164" s="245">
        <f t="shared" si="17"/>
        <v>0</v>
      </c>
      <c r="K164" s="255"/>
      <c r="L164" s="255"/>
      <c r="M164" s="255"/>
      <c r="N164" s="237"/>
      <c r="O164" s="237"/>
      <c r="P164" s="237"/>
      <c r="Q164" s="237"/>
      <c r="R164" s="237"/>
      <c r="S164" s="237"/>
      <c r="T164" s="237"/>
      <c r="U164" s="237"/>
      <c r="V164" s="237"/>
      <c r="W164" s="237"/>
      <c r="X164" s="237"/>
      <c r="Y164" s="237"/>
      <c r="Z164" s="237"/>
    </row>
    <row r="165" spans="1:26" ht="33" customHeight="1" x14ac:dyDescent="0.25">
      <c r="A165" s="261"/>
      <c r="B165" s="540" t="s">
        <v>61</v>
      </c>
      <c r="C165" s="767" t="s">
        <v>1429</v>
      </c>
      <c r="D165" s="615"/>
      <c r="E165" s="615"/>
      <c r="F165" s="615"/>
      <c r="G165" s="616"/>
      <c r="H165" s="267"/>
      <c r="I165" s="251"/>
      <c r="J165" s="254"/>
      <c r="K165" s="255"/>
      <c r="L165" s="255"/>
      <c r="M165" s="255"/>
      <c r="N165" s="237"/>
      <c r="O165" s="237"/>
      <c r="P165" s="237"/>
      <c r="Q165" s="237"/>
      <c r="R165" s="237"/>
      <c r="S165" s="237"/>
      <c r="T165" s="237"/>
      <c r="U165" s="237"/>
      <c r="V165" s="237"/>
      <c r="W165" s="237"/>
      <c r="X165" s="237"/>
      <c r="Y165" s="237"/>
      <c r="Z165" s="237"/>
    </row>
    <row r="166" spans="1:26" ht="19.5" customHeight="1" x14ac:dyDescent="0.25">
      <c r="A166" s="261"/>
      <c r="B166" s="516"/>
      <c r="C166" s="514">
        <v>1</v>
      </c>
      <c r="D166" s="764" t="s">
        <v>1430</v>
      </c>
      <c r="E166" s="615"/>
      <c r="F166" s="615"/>
      <c r="G166" s="616"/>
      <c r="H166" s="267"/>
      <c r="I166" s="251"/>
      <c r="J166" s="254"/>
      <c r="K166" s="255"/>
      <c r="L166" s="255"/>
      <c r="M166" s="255"/>
      <c r="N166" s="237"/>
      <c r="O166" s="237"/>
      <c r="P166" s="237"/>
      <c r="Q166" s="237"/>
      <c r="R166" s="237"/>
      <c r="S166" s="237"/>
      <c r="T166" s="237"/>
      <c r="U166" s="237"/>
      <c r="V166" s="237"/>
      <c r="W166" s="237"/>
      <c r="X166" s="237"/>
      <c r="Y166" s="237"/>
      <c r="Z166" s="237"/>
    </row>
    <row r="167" spans="1:26" ht="19.5" customHeight="1" x14ac:dyDescent="0.25">
      <c r="A167" s="262"/>
      <c r="B167" s="516"/>
      <c r="C167" s="533"/>
      <c r="D167" s="251" t="s">
        <v>76</v>
      </c>
      <c r="E167" s="764" t="s">
        <v>212</v>
      </c>
      <c r="F167" s="615"/>
      <c r="G167" s="616"/>
      <c r="H167" s="263"/>
      <c r="I167" s="264"/>
      <c r="J167" s="245">
        <f t="shared" ref="J167:J168" si="18">H167+I167</f>
        <v>0</v>
      </c>
      <c r="K167" s="264"/>
      <c r="L167" s="264"/>
      <c r="M167" s="264"/>
      <c r="N167" s="237"/>
      <c r="O167" s="237"/>
      <c r="P167" s="237"/>
      <c r="Q167" s="237"/>
      <c r="R167" s="237"/>
      <c r="S167" s="237"/>
      <c r="T167" s="237"/>
      <c r="U167" s="237"/>
      <c r="V167" s="237"/>
      <c r="W167" s="237"/>
      <c r="X167" s="237"/>
      <c r="Y167" s="237"/>
      <c r="Z167" s="237"/>
    </row>
    <row r="168" spans="1:26" ht="19.5" customHeight="1" x14ac:dyDescent="0.25">
      <c r="A168" s="262"/>
      <c r="B168" s="516"/>
      <c r="C168" s="541"/>
      <c r="D168" s="251" t="s">
        <v>78</v>
      </c>
      <c r="E168" s="768" t="s">
        <v>213</v>
      </c>
      <c r="F168" s="615"/>
      <c r="G168" s="616"/>
      <c r="H168" s="519"/>
      <c r="I168" s="265"/>
      <c r="J168" s="245">
        <f t="shared" si="18"/>
        <v>0</v>
      </c>
      <c r="K168" s="265"/>
      <c r="L168" s="265"/>
      <c r="M168" s="265"/>
      <c r="N168" s="237"/>
      <c r="O168" s="237"/>
      <c r="P168" s="237"/>
      <c r="Q168" s="237"/>
      <c r="R168" s="237"/>
      <c r="S168" s="237"/>
      <c r="T168" s="237"/>
      <c r="U168" s="237"/>
      <c r="V168" s="237"/>
      <c r="W168" s="237"/>
      <c r="X168" s="237"/>
      <c r="Y168" s="237"/>
      <c r="Z168" s="237"/>
    </row>
    <row r="169" spans="1:26" ht="19.5" customHeight="1" x14ac:dyDescent="0.25">
      <c r="A169" s="262"/>
      <c r="B169" s="516"/>
      <c r="C169" s="514">
        <v>2</v>
      </c>
      <c r="D169" s="764" t="s">
        <v>1431</v>
      </c>
      <c r="E169" s="615"/>
      <c r="F169" s="615"/>
      <c r="G169" s="616"/>
      <c r="H169" s="519"/>
      <c r="I169" s="265"/>
      <c r="J169" s="265"/>
      <c r="K169" s="265"/>
      <c r="L169" s="265"/>
      <c r="M169" s="265"/>
      <c r="N169" s="237"/>
      <c r="O169" s="237"/>
      <c r="P169" s="237"/>
      <c r="Q169" s="237"/>
      <c r="R169" s="237"/>
      <c r="S169" s="237"/>
      <c r="T169" s="237"/>
      <c r="U169" s="237"/>
      <c r="V169" s="237"/>
      <c r="W169" s="237"/>
      <c r="X169" s="237"/>
      <c r="Y169" s="237"/>
      <c r="Z169" s="237"/>
    </row>
    <row r="170" spans="1:26" ht="19.5" customHeight="1" x14ac:dyDescent="0.25">
      <c r="A170" s="262"/>
      <c r="B170" s="533"/>
      <c r="C170" s="516"/>
      <c r="D170" s="251" t="s">
        <v>76</v>
      </c>
      <c r="E170" s="764" t="s">
        <v>212</v>
      </c>
      <c r="F170" s="615"/>
      <c r="G170" s="616"/>
      <c r="H170" s="500"/>
      <c r="I170" s="245"/>
      <c r="J170" s="245">
        <f t="shared" ref="J170:J171" si="19">H170+I170</f>
        <v>0</v>
      </c>
      <c r="K170" s="245"/>
      <c r="L170" s="245"/>
      <c r="M170" s="245"/>
      <c r="N170" s="237"/>
      <c r="O170" s="237"/>
      <c r="P170" s="237"/>
      <c r="Q170" s="237"/>
      <c r="R170" s="237"/>
      <c r="S170" s="237"/>
      <c r="T170" s="237"/>
      <c r="U170" s="237"/>
      <c r="V170" s="237"/>
      <c r="W170" s="237"/>
      <c r="X170" s="237"/>
      <c r="Y170" s="237"/>
      <c r="Z170" s="237"/>
    </row>
    <row r="171" spans="1:26" ht="19.5" customHeight="1" x14ac:dyDescent="0.2">
      <c r="A171" s="516"/>
      <c r="B171" s="532"/>
      <c r="C171" s="541"/>
      <c r="D171" s="251" t="s">
        <v>78</v>
      </c>
      <c r="E171" s="768" t="s">
        <v>213</v>
      </c>
      <c r="F171" s="615"/>
      <c r="G171" s="616"/>
      <c r="H171" s="500"/>
      <c r="I171" s="245"/>
      <c r="J171" s="245">
        <f t="shared" si="19"/>
        <v>0</v>
      </c>
      <c r="K171" s="245"/>
      <c r="L171" s="245"/>
      <c r="M171" s="245"/>
      <c r="N171" s="238"/>
      <c r="O171" s="238"/>
      <c r="P171" s="238"/>
      <c r="Q171" s="238"/>
      <c r="R171" s="238"/>
      <c r="S171" s="238"/>
      <c r="T171" s="238"/>
      <c r="U171" s="238"/>
      <c r="V171" s="238"/>
      <c r="W171" s="238"/>
      <c r="X171" s="238"/>
      <c r="Y171" s="238"/>
      <c r="Z171" s="238"/>
    </row>
    <row r="172" spans="1:26" ht="19.5" customHeight="1" x14ac:dyDescent="0.25">
      <c r="A172" s="261"/>
      <c r="B172" s="513" t="s">
        <v>70</v>
      </c>
      <c r="C172" s="764" t="s">
        <v>1432</v>
      </c>
      <c r="D172" s="615"/>
      <c r="E172" s="615"/>
      <c r="F172" s="615"/>
      <c r="G172" s="616"/>
      <c r="H172" s="267"/>
      <c r="I172" s="251"/>
      <c r="J172" s="254"/>
      <c r="K172" s="255"/>
      <c r="L172" s="255"/>
      <c r="M172" s="255"/>
      <c r="N172" s="237"/>
      <c r="O172" s="237"/>
      <c r="P172" s="237"/>
      <c r="Q172" s="237"/>
      <c r="R172" s="237"/>
      <c r="S172" s="237"/>
      <c r="T172" s="237"/>
      <c r="U172" s="237"/>
      <c r="V172" s="237"/>
      <c r="W172" s="237"/>
      <c r="X172" s="237"/>
      <c r="Y172" s="237"/>
      <c r="Z172" s="237"/>
    </row>
    <row r="173" spans="1:26" ht="19.5" customHeight="1" x14ac:dyDescent="0.25">
      <c r="A173" s="261"/>
      <c r="B173" s="533"/>
      <c r="C173" s="514">
        <v>1</v>
      </c>
      <c r="D173" s="764" t="s">
        <v>1410</v>
      </c>
      <c r="E173" s="615"/>
      <c r="F173" s="615"/>
      <c r="G173" s="616"/>
      <c r="H173" s="267"/>
      <c r="I173" s="251"/>
      <c r="J173" s="254"/>
      <c r="K173" s="255"/>
      <c r="L173" s="255"/>
      <c r="M173" s="255"/>
      <c r="N173" s="237"/>
      <c r="O173" s="237"/>
      <c r="P173" s="237"/>
      <c r="Q173" s="237"/>
      <c r="R173" s="237"/>
      <c r="S173" s="237"/>
      <c r="T173" s="237"/>
      <c r="U173" s="237"/>
      <c r="V173" s="237"/>
      <c r="W173" s="237"/>
      <c r="X173" s="237"/>
      <c r="Y173" s="237"/>
      <c r="Z173" s="237"/>
    </row>
    <row r="174" spans="1:26" ht="19.5" customHeight="1" x14ac:dyDescent="0.25">
      <c r="A174" s="261"/>
      <c r="B174" s="533"/>
      <c r="C174" s="516"/>
      <c r="D174" s="251" t="s">
        <v>216</v>
      </c>
      <c r="E174" s="768" t="s">
        <v>217</v>
      </c>
      <c r="F174" s="615"/>
      <c r="G174" s="616"/>
      <c r="H174" s="267"/>
      <c r="I174" s="251"/>
      <c r="J174" s="245">
        <f t="shared" ref="J174:J176" si="20">H174+I174</f>
        <v>0</v>
      </c>
      <c r="K174" s="255"/>
      <c r="L174" s="255"/>
      <c r="M174" s="255"/>
      <c r="N174" s="237"/>
      <c r="O174" s="237"/>
      <c r="P174" s="237"/>
      <c r="Q174" s="237"/>
      <c r="R174" s="237"/>
      <c r="S174" s="237"/>
      <c r="T174" s="237"/>
      <c r="U174" s="237"/>
      <c r="V174" s="237"/>
      <c r="W174" s="237"/>
      <c r="X174" s="237"/>
      <c r="Y174" s="237"/>
      <c r="Z174" s="237"/>
    </row>
    <row r="175" spans="1:26" ht="19.5" customHeight="1" x14ac:dyDescent="0.25">
      <c r="A175" s="261"/>
      <c r="B175" s="533"/>
      <c r="C175" s="516"/>
      <c r="D175" s="251" t="s">
        <v>150</v>
      </c>
      <c r="E175" s="768" t="s">
        <v>1433</v>
      </c>
      <c r="F175" s="615"/>
      <c r="G175" s="616"/>
      <c r="H175" s="267"/>
      <c r="I175" s="251"/>
      <c r="J175" s="245">
        <f t="shared" si="20"/>
        <v>0</v>
      </c>
      <c r="K175" s="255"/>
      <c r="L175" s="255"/>
      <c r="M175" s="255"/>
      <c r="N175" s="237"/>
      <c r="O175" s="237"/>
      <c r="P175" s="237"/>
      <c r="Q175" s="237"/>
      <c r="R175" s="237"/>
      <c r="S175" s="237"/>
      <c r="T175" s="237"/>
      <c r="U175" s="237"/>
      <c r="V175" s="237"/>
      <c r="W175" s="237"/>
      <c r="X175" s="237"/>
      <c r="Y175" s="237"/>
      <c r="Z175" s="237"/>
    </row>
    <row r="176" spans="1:26" ht="19.5" customHeight="1" x14ac:dyDescent="0.25">
      <c r="A176" s="261"/>
      <c r="B176" s="533"/>
      <c r="C176" s="541"/>
      <c r="D176" s="251" t="s">
        <v>219</v>
      </c>
      <c r="E176" s="768" t="s">
        <v>213</v>
      </c>
      <c r="F176" s="615"/>
      <c r="G176" s="616"/>
      <c r="H176" s="267"/>
      <c r="I176" s="251"/>
      <c r="J176" s="245">
        <f t="shared" si="20"/>
        <v>0</v>
      </c>
      <c r="K176" s="255"/>
      <c r="L176" s="255"/>
      <c r="M176" s="255"/>
      <c r="N176" s="237"/>
      <c r="O176" s="237"/>
      <c r="P176" s="237"/>
      <c r="Q176" s="237"/>
      <c r="R176" s="237"/>
      <c r="S176" s="237"/>
      <c r="T176" s="237"/>
      <c r="U176" s="237"/>
      <c r="V176" s="237"/>
      <c r="W176" s="237"/>
      <c r="X176" s="237"/>
      <c r="Y176" s="237"/>
      <c r="Z176" s="237"/>
    </row>
    <row r="177" spans="1:26" ht="19.5" customHeight="1" x14ac:dyDescent="0.25">
      <c r="A177" s="261"/>
      <c r="B177" s="533"/>
      <c r="C177" s="514">
        <v>2</v>
      </c>
      <c r="D177" s="764" t="s">
        <v>1411</v>
      </c>
      <c r="E177" s="615"/>
      <c r="F177" s="615"/>
      <c r="G177" s="616"/>
      <c r="H177" s="267"/>
      <c r="I177" s="251"/>
      <c r="J177" s="254"/>
      <c r="K177" s="255"/>
      <c r="L177" s="255"/>
      <c r="M177" s="255"/>
      <c r="N177" s="237"/>
      <c r="O177" s="237"/>
      <c r="P177" s="237"/>
      <c r="Q177" s="237"/>
      <c r="R177" s="237"/>
      <c r="S177" s="237"/>
      <c r="T177" s="237"/>
      <c r="U177" s="237"/>
      <c r="V177" s="237"/>
      <c r="W177" s="237"/>
      <c r="X177" s="237"/>
      <c r="Y177" s="237"/>
      <c r="Z177" s="237"/>
    </row>
    <row r="178" spans="1:26" ht="19.5" customHeight="1" x14ac:dyDescent="0.25">
      <c r="A178" s="261"/>
      <c r="B178" s="533"/>
      <c r="C178" s="516"/>
      <c r="D178" s="251" t="s">
        <v>216</v>
      </c>
      <c r="E178" s="768" t="s">
        <v>217</v>
      </c>
      <c r="F178" s="615"/>
      <c r="G178" s="616"/>
      <c r="H178" s="267"/>
      <c r="I178" s="251"/>
      <c r="J178" s="245">
        <f t="shared" ref="J178:J180" si="21">H178+I178</f>
        <v>0</v>
      </c>
      <c r="K178" s="255"/>
      <c r="L178" s="255"/>
      <c r="M178" s="255"/>
      <c r="N178" s="237"/>
      <c r="O178" s="237"/>
      <c r="P178" s="237"/>
      <c r="Q178" s="237"/>
      <c r="R178" s="237"/>
      <c r="S178" s="237"/>
      <c r="T178" s="237"/>
      <c r="U178" s="237"/>
      <c r="V178" s="237"/>
      <c r="W178" s="237"/>
      <c r="X178" s="237"/>
      <c r="Y178" s="237"/>
      <c r="Z178" s="237"/>
    </row>
    <row r="179" spans="1:26" ht="19.5" customHeight="1" x14ac:dyDescent="0.25">
      <c r="A179" s="261"/>
      <c r="B179" s="533"/>
      <c r="C179" s="516"/>
      <c r="D179" s="251" t="s">
        <v>150</v>
      </c>
      <c r="E179" s="768" t="s">
        <v>1433</v>
      </c>
      <c r="F179" s="615"/>
      <c r="G179" s="616"/>
      <c r="H179" s="267"/>
      <c r="I179" s="251"/>
      <c r="J179" s="245">
        <f t="shared" si="21"/>
        <v>0</v>
      </c>
      <c r="K179" s="255"/>
      <c r="L179" s="255"/>
      <c r="M179" s="255"/>
      <c r="N179" s="237"/>
      <c r="O179" s="237"/>
      <c r="P179" s="237"/>
      <c r="Q179" s="237"/>
      <c r="R179" s="237"/>
      <c r="S179" s="237"/>
      <c r="T179" s="237"/>
      <c r="U179" s="237"/>
      <c r="V179" s="237"/>
      <c r="W179" s="237"/>
      <c r="X179" s="237"/>
      <c r="Y179" s="237"/>
      <c r="Z179" s="237"/>
    </row>
    <row r="180" spans="1:26" ht="19.5" customHeight="1" x14ac:dyDescent="0.25">
      <c r="A180" s="261"/>
      <c r="B180" s="532"/>
      <c r="C180" s="541"/>
      <c r="D180" s="251" t="s">
        <v>219</v>
      </c>
      <c r="E180" s="768" t="s">
        <v>213</v>
      </c>
      <c r="F180" s="615"/>
      <c r="G180" s="616"/>
      <c r="H180" s="267"/>
      <c r="I180" s="251"/>
      <c r="J180" s="245">
        <f t="shared" si="21"/>
        <v>0</v>
      </c>
      <c r="K180" s="255"/>
      <c r="L180" s="255"/>
      <c r="M180" s="255"/>
      <c r="N180" s="237"/>
      <c r="O180" s="237"/>
      <c r="P180" s="237"/>
      <c r="Q180" s="237"/>
      <c r="R180" s="237"/>
      <c r="S180" s="237"/>
      <c r="T180" s="237"/>
      <c r="U180" s="237"/>
      <c r="V180" s="237"/>
      <c r="W180" s="237"/>
      <c r="X180" s="237"/>
      <c r="Y180" s="237"/>
      <c r="Z180" s="237"/>
    </row>
    <row r="181" spans="1:26" ht="19.5" customHeight="1" x14ac:dyDescent="0.25">
      <c r="A181" s="261"/>
      <c r="B181" s="513" t="s">
        <v>73</v>
      </c>
      <c r="C181" s="764" t="s">
        <v>1434</v>
      </c>
      <c r="D181" s="615"/>
      <c r="E181" s="615"/>
      <c r="F181" s="615"/>
      <c r="G181" s="616"/>
      <c r="H181" s="267"/>
      <c r="I181" s="282"/>
      <c r="J181" s="254"/>
      <c r="K181" s="255"/>
      <c r="L181" s="255"/>
      <c r="M181" s="255"/>
      <c r="N181" s="237"/>
      <c r="O181" s="237"/>
      <c r="P181" s="237"/>
      <c r="Q181" s="237"/>
      <c r="R181" s="237"/>
      <c r="S181" s="237"/>
      <c r="T181" s="237"/>
      <c r="U181" s="237"/>
      <c r="V181" s="237"/>
      <c r="W181" s="237"/>
      <c r="X181" s="237"/>
      <c r="Y181" s="237"/>
      <c r="Z181" s="237"/>
    </row>
    <row r="182" spans="1:26" ht="33.75" customHeight="1" x14ac:dyDescent="0.25">
      <c r="A182" s="261"/>
      <c r="B182" s="532"/>
      <c r="C182" s="258"/>
      <c r="D182" s="764" t="s">
        <v>1435</v>
      </c>
      <c r="E182" s="615"/>
      <c r="F182" s="615"/>
      <c r="G182" s="616"/>
      <c r="H182" s="267"/>
      <c r="I182" s="282"/>
      <c r="J182" s="283">
        <f>H182+I182</f>
        <v>0</v>
      </c>
      <c r="K182" s="255"/>
      <c r="L182" s="255"/>
      <c r="M182" s="255"/>
      <c r="N182" s="237"/>
      <c r="O182" s="237"/>
      <c r="P182" s="237"/>
      <c r="Q182" s="237"/>
      <c r="R182" s="237"/>
      <c r="S182" s="237"/>
      <c r="T182" s="237"/>
      <c r="U182" s="237"/>
      <c r="V182" s="237"/>
      <c r="W182" s="237"/>
      <c r="X182" s="237"/>
      <c r="Y182" s="237"/>
      <c r="Z182" s="237"/>
    </row>
    <row r="183" spans="1:26" ht="31.5" customHeight="1" x14ac:dyDescent="0.25">
      <c r="A183" s="261"/>
      <c r="B183" s="523" t="s">
        <v>85</v>
      </c>
      <c r="C183" s="767" t="s">
        <v>1436</v>
      </c>
      <c r="D183" s="615"/>
      <c r="E183" s="615"/>
      <c r="F183" s="615"/>
      <c r="G183" s="616"/>
      <c r="H183" s="267"/>
      <c r="I183" s="282"/>
      <c r="J183" s="254"/>
      <c r="K183" s="255"/>
      <c r="L183" s="255"/>
      <c r="M183" s="255"/>
      <c r="N183" s="237"/>
      <c r="O183" s="237"/>
      <c r="P183" s="237"/>
      <c r="Q183" s="237"/>
      <c r="R183" s="237"/>
      <c r="S183" s="237"/>
      <c r="T183" s="237"/>
      <c r="U183" s="237"/>
      <c r="V183" s="237"/>
      <c r="W183" s="237"/>
      <c r="X183" s="237"/>
      <c r="Y183" s="237"/>
      <c r="Z183" s="237"/>
    </row>
    <row r="184" spans="1:26" ht="19.5" customHeight="1" x14ac:dyDescent="0.25">
      <c r="A184" s="261"/>
      <c r="B184" s="533"/>
      <c r="C184" s="514">
        <v>1</v>
      </c>
      <c r="D184" s="784" t="s">
        <v>1437</v>
      </c>
      <c r="E184" s="645"/>
      <c r="F184" s="645"/>
      <c r="G184" s="646"/>
      <c r="H184" s="280"/>
      <c r="I184" s="545"/>
      <c r="J184" s="283">
        <f t="shared" ref="J184:J185" si="22">H184+I184</f>
        <v>0</v>
      </c>
      <c r="K184" s="536"/>
      <c r="L184" s="536"/>
      <c r="M184" s="536"/>
      <c r="N184" s="237"/>
      <c r="O184" s="237"/>
      <c r="P184" s="237"/>
      <c r="Q184" s="237"/>
      <c r="R184" s="237"/>
      <c r="S184" s="237"/>
      <c r="T184" s="237"/>
      <c r="U184" s="237"/>
      <c r="V184" s="237"/>
      <c r="W184" s="237"/>
      <c r="X184" s="237"/>
      <c r="Y184" s="237"/>
      <c r="Z184" s="237"/>
    </row>
    <row r="185" spans="1:26" ht="19.5" customHeight="1" x14ac:dyDescent="0.25">
      <c r="A185" s="261"/>
      <c r="B185" s="532"/>
      <c r="C185" s="245">
        <v>2</v>
      </c>
      <c r="D185" s="764" t="s">
        <v>1438</v>
      </c>
      <c r="E185" s="615"/>
      <c r="F185" s="615"/>
      <c r="G185" s="616"/>
      <c r="H185" s="267"/>
      <c r="I185" s="284"/>
      <c r="J185" s="283">
        <f t="shared" si="22"/>
        <v>0</v>
      </c>
      <c r="K185" s="255"/>
      <c r="L185" s="255"/>
      <c r="M185" s="255"/>
      <c r="N185" s="237"/>
      <c r="O185" s="237"/>
      <c r="P185" s="237"/>
      <c r="Q185" s="237"/>
      <c r="R185" s="237"/>
      <c r="S185" s="237"/>
      <c r="T185" s="237"/>
      <c r="U185" s="237"/>
      <c r="V185" s="237"/>
      <c r="W185" s="237"/>
      <c r="X185" s="237"/>
      <c r="Y185" s="237"/>
      <c r="Z185" s="237"/>
    </row>
    <row r="186" spans="1:26" ht="19.5" customHeight="1" x14ac:dyDescent="0.25">
      <c r="A186" s="261"/>
      <c r="B186" s="513" t="s">
        <v>89</v>
      </c>
      <c r="C186" s="764" t="s">
        <v>1160</v>
      </c>
      <c r="D186" s="615"/>
      <c r="E186" s="615"/>
      <c r="F186" s="615"/>
      <c r="G186" s="616"/>
      <c r="H186" s="267"/>
      <c r="I186" s="282"/>
      <c r="J186" s="254"/>
      <c r="K186" s="255"/>
      <c r="L186" s="255"/>
      <c r="M186" s="255"/>
      <c r="N186" s="237"/>
      <c r="O186" s="237"/>
      <c r="P186" s="237"/>
      <c r="Q186" s="237"/>
      <c r="R186" s="237"/>
      <c r="S186" s="237"/>
      <c r="T186" s="237"/>
      <c r="U186" s="237"/>
      <c r="V186" s="237"/>
      <c r="W186" s="237"/>
      <c r="X186" s="237"/>
      <c r="Y186" s="237"/>
      <c r="Z186" s="237"/>
    </row>
    <row r="187" spans="1:26" ht="19.5" customHeight="1" x14ac:dyDescent="0.25">
      <c r="A187" s="261"/>
      <c r="B187" s="533"/>
      <c r="C187" s="514">
        <v>1</v>
      </c>
      <c r="D187" s="764" t="s">
        <v>1439</v>
      </c>
      <c r="E187" s="615"/>
      <c r="F187" s="615"/>
      <c r="G187" s="616"/>
      <c r="H187" s="267"/>
      <c r="I187" s="282"/>
      <c r="J187" s="254"/>
      <c r="K187" s="255"/>
      <c r="L187" s="255"/>
      <c r="M187" s="255"/>
      <c r="N187" s="237"/>
      <c r="O187" s="237"/>
      <c r="P187" s="237"/>
      <c r="Q187" s="237"/>
      <c r="R187" s="237"/>
      <c r="S187" s="237"/>
      <c r="T187" s="237"/>
      <c r="U187" s="237"/>
      <c r="V187" s="237"/>
      <c r="W187" s="237"/>
      <c r="X187" s="237"/>
      <c r="Y187" s="237"/>
      <c r="Z187" s="237"/>
    </row>
    <row r="188" spans="1:26" ht="19.5" customHeight="1" x14ac:dyDescent="0.25">
      <c r="A188" s="261"/>
      <c r="B188" s="533"/>
      <c r="C188" s="516"/>
      <c r="D188" s="251" t="s">
        <v>76</v>
      </c>
      <c r="E188" s="768" t="s">
        <v>230</v>
      </c>
      <c r="F188" s="615"/>
      <c r="G188" s="616"/>
      <c r="H188" s="267"/>
      <c r="I188" s="282"/>
      <c r="J188" s="283">
        <f t="shared" ref="J188:J189" si="23">H188+I188</f>
        <v>0</v>
      </c>
      <c r="K188" s="255"/>
      <c r="L188" s="255"/>
      <c r="M188" s="255"/>
      <c r="N188" s="237"/>
      <c r="O188" s="237"/>
      <c r="P188" s="237"/>
      <c r="Q188" s="237"/>
      <c r="R188" s="237"/>
      <c r="S188" s="237"/>
      <c r="T188" s="237"/>
      <c r="U188" s="237"/>
      <c r="V188" s="237"/>
      <c r="W188" s="237"/>
      <c r="X188" s="237"/>
      <c r="Y188" s="237"/>
      <c r="Z188" s="237"/>
    </row>
    <row r="189" spans="1:26" ht="19.5" customHeight="1" x14ac:dyDescent="0.25">
      <c r="A189" s="261"/>
      <c r="B189" s="533"/>
      <c r="C189" s="541"/>
      <c r="D189" s="251" t="s">
        <v>78</v>
      </c>
      <c r="E189" s="768" t="s">
        <v>213</v>
      </c>
      <c r="F189" s="615"/>
      <c r="G189" s="616"/>
      <c r="H189" s="267"/>
      <c r="I189" s="282"/>
      <c r="J189" s="283">
        <f t="shared" si="23"/>
        <v>0</v>
      </c>
      <c r="K189" s="255"/>
      <c r="L189" s="255"/>
      <c r="M189" s="255"/>
      <c r="N189" s="237"/>
      <c r="O189" s="237"/>
      <c r="P189" s="237"/>
      <c r="Q189" s="237"/>
      <c r="R189" s="237"/>
      <c r="S189" s="237"/>
      <c r="T189" s="237"/>
      <c r="U189" s="237"/>
      <c r="V189" s="237"/>
      <c r="W189" s="237"/>
      <c r="X189" s="237"/>
      <c r="Y189" s="237"/>
      <c r="Z189" s="237"/>
    </row>
    <row r="190" spans="1:26" ht="19.5" customHeight="1" x14ac:dyDescent="0.25">
      <c r="A190" s="266"/>
      <c r="B190" s="533"/>
      <c r="C190" s="514">
        <v>2</v>
      </c>
      <c r="D190" s="764" t="s">
        <v>1440</v>
      </c>
      <c r="E190" s="615"/>
      <c r="F190" s="615"/>
      <c r="G190" s="616"/>
      <c r="H190" s="267"/>
      <c r="I190" s="251"/>
      <c r="J190" s="254"/>
      <c r="K190" s="255"/>
      <c r="L190" s="255"/>
      <c r="M190" s="255"/>
      <c r="N190" s="237"/>
      <c r="O190" s="237"/>
      <c r="P190" s="237"/>
      <c r="Q190" s="237"/>
      <c r="R190" s="237"/>
      <c r="S190" s="237"/>
      <c r="T190" s="237"/>
      <c r="U190" s="237"/>
      <c r="V190" s="237"/>
      <c r="W190" s="237"/>
      <c r="X190" s="237"/>
      <c r="Y190" s="237"/>
      <c r="Z190" s="237"/>
    </row>
    <row r="191" spans="1:26" ht="19.5" customHeight="1" x14ac:dyDescent="0.25">
      <c r="A191" s="266"/>
      <c r="B191" s="533"/>
      <c r="C191" s="516"/>
      <c r="D191" s="251" t="s">
        <v>76</v>
      </c>
      <c r="E191" s="768" t="s">
        <v>230</v>
      </c>
      <c r="F191" s="615"/>
      <c r="G191" s="616"/>
      <c r="H191" s="267"/>
      <c r="I191" s="282"/>
      <c r="J191" s="283">
        <f t="shared" ref="J191:J192" si="24">H191+I191</f>
        <v>0</v>
      </c>
      <c r="K191" s="255"/>
      <c r="L191" s="255"/>
      <c r="M191" s="255"/>
      <c r="N191" s="237"/>
      <c r="O191" s="237"/>
      <c r="P191" s="237"/>
      <c r="Q191" s="237"/>
      <c r="R191" s="237"/>
      <c r="S191" s="237"/>
      <c r="T191" s="237"/>
      <c r="U191" s="237"/>
      <c r="V191" s="237"/>
      <c r="W191" s="237"/>
      <c r="X191" s="237"/>
      <c r="Y191" s="237"/>
      <c r="Z191" s="237"/>
    </row>
    <row r="192" spans="1:26" ht="19.5" customHeight="1" x14ac:dyDescent="0.25">
      <c r="A192" s="266"/>
      <c r="B192" s="533"/>
      <c r="C192" s="541"/>
      <c r="D192" s="251" t="s">
        <v>78</v>
      </c>
      <c r="E192" s="285" t="s">
        <v>213</v>
      </c>
      <c r="F192" s="285"/>
      <c r="G192" s="255"/>
      <c r="H192" s="267"/>
      <c r="I192" s="282"/>
      <c r="J192" s="283">
        <f t="shared" si="24"/>
        <v>0</v>
      </c>
      <c r="K192" s="255"/>
      <c r="L192" s="255"/>
      <c r="M192" s="255"/>
      <c r="N192" s="237"/>
      <c r="O192" s="237"/>
      <c r="P192" s="237"/>
      <c r="Q192" s="237"/>
      <c r="R192" s="237"/>
      <c r="S192" s="237"/>
      <c r="T192" s="237"/>
      <c r="U192" s="237"/>
      <c r="V192" s="237"/>
      <c r="W192" s="237"/>
      <c r="X192" s="237"/>
      <c r="Y192" s="237"/>
      <c r="Z192" s="237"/>
    </row>
    <row r="193" spans="1:26" ht="19.5" customHeight="1" x14ac:dyDescent="0.25">
      <c r="A193" s="769" t="s">
        <v>45</v>
      </c>
      <c r="B193" s="770" t="s">
        <v>46</v>
      </c>
      <c r="C193" s="615"/>
      <c r="D193" s="615"/>
      <c r="E193" s="615"/>
      <c r="F193" s="615"/>
      <c r="G193" s="615"/>
      <c r="H193" s="615"/>
      <c r="I193" s="615"/>
      <c r="J193" s="615"/>
      <c r="K193" s="615"/>
      <c r="L193" s="615"/>
      <c r="M193" s="616"/>
      <c r="N193" s="237"/>
      <c r="O193" s="237"/>
      <c r="P193" s="237"/>
      <c r="Q193" s="237"/>
      <c r="R193" s="237"/>
      <c r="S193" s="237"/>
      <c r="T193" s="237"/>
      <c r="U193" s="237"/>
      <c r="V193" s="237"/>
      <c r="W193" s="237"/>
      <c r="X193" s="237"/>
      <c r="Y193" s="237"/>
      <c r="Z193" s="237"/>
    </row>
    <row r="194" spans="1:26" ht="19.5" customHeight="1" x14ac:dyDescent="0.25">
      <c r="A194" s="630"/>
      <c r="B194" s="771" t="s">
        <v>67</v>
      </c>
      <c r="C194" s="613"/>
      <c r="D194" s="613"/>
      <c r="E194" s="613"/>
      <c r="F194" s="613"/>
      <c r="G194" s="634"/>
      <c r="H194" s="772" t="s">
        <v>48</v>
      </c>
      <c r="I194" s="637"/>
      <c r="J194" s="637"/>
      <c r="K194" s="637"/>
      <c r="L194" s="637"/>
      <c r="M194" s="638"/>
      <c r="N194" s="237"/>
      <c r="O194" s="237"/>
      <c r="P194" s="237"/>
      <c r="Q194" s="237"/>
      <c r="R194" s="237"/>
      <c r="S194" s="237"/>
      <c r="T194" s="237"/>
      <c r="U194" s="237"/>
      <c r="V194" s="237"/>
      <c r="W194" s="237"/>
      <c r="X194" s="237"/>
      <c r="Y194" s="237"/>
      <c r="Z194" s="237"/>
    </row>
    <row r="195" spans="1:26" ht="19.5" customHeight="1" x14ac:dyDescent="0.25">
      <c r="A195" s="630"/>
      <c r="B195" s="635"/>
      <c r="C195" s="613"/>
      <c r="D195" s="613"/>
      <c r="E195" s="613"/>
      <c r="F195" s="613"/>
      <c r="G195" s="634"/>
      <c r="H195" s="772" t="s">
        <v>49</v>
      </c>
      <c r="I195" s="637"/>
      <c r="J195" s="638"/>
      <c r="K195" s="772" t="s">
        <v>50</v>
      </c>
      <c r="L195" s="637"/>
      <c r="M195" s="638"/>
      <c r="N195" s="237"/>
      <c r="O195" s="237"/>
      <c r="P195" s="237"/>
      <c r="Q195" s="237"/>
      <c r="R195" s="237"/>
      <c r="S195" s="237"/>
      <c r="T195" s="237"/>
      <c r="U195" s="237"/>
      <c r="V195" s="237"/>
      <c r="W195" s="237"/>
      <c r="X195" s="237"/>
      <c r="Y195" s="237"/>
      <c r="Z195" s="237"/>
    </row>
    <row r="196" spans="1:26" ht="19.5" customHeight="1" x14ac:dyDescent="0.25">
      <c r="A196" s="631"/>
      <c r="B196" s="636"/>
      <c r="C196" s="637"/>
      <c r="D196" s="637"/>
      <c r="E196" s="637"/>
      <c r="F196" s="637"/>
      <c r="G196" s="638"/>
      <c r="H196" s="245" t="s">
        <v>51</v>
      </c>
      <c r="I196" s="245" t="s">
        <v>52</v>
      </c>
      <c r="J196" s="245" t="s">
        <v>53</v>
      </c>
      <c r="K196" s="245" t="s">
        <v>51</v>
      </c>
      <c r="L196" s="245" t="s">
        <v>52</v>
      </c>
      <c r="M196" s="245" t="s">
        <v>53</v>
      </c>
      <c r="N196" s="237"/>
      <c r="O196" s="237"/>
      <c r="P196" s="237"/>
      <c r="Q196" s="237"/>
      <c r="R196" s="237"/>
      <c r="S196" s="237"/>
      <c r="T196" s="237"/>
      <c r="U196" s="237"/>
      <c r="V196" s="237"/>
      <c r="W196" s="237"/>
      <c r="X196" s="237"/>
      <c r="Y196" s="237"/>
      <c r="Z196" s="237"/>
    </row>
    <row r="197" spans="1:26" ht="19.5" customHeight="1" x14ac:dyDescent="0.25">
      <c r="A197" s="514">
        <v>1</v>
      </c>
      <c r="B197" s="770">
        <v>2</v>
      </c>
      <c r="C197" s="615"/>
      <c r="D197" s="615"/>
      <c r="E197" s="615"/>
      <c r="F197" s="615"/>
      <c r="G197" s="616"/>
      <c r="H197" s="245">
        <v>3</v>
      </c>
      <c r="I197" s="245">
        <v>4</v>
      </c>
      <c r="J197" s="245">
        <v>5</v>
      </c>
      <c r="K197" s="245">
        <v>6</v>
      </c>
      <c r="L197" s="245">
        <v>7</v>
      </c>
      <c r="M197" s="245">
        <v>8</v>
      </c>
      <c r="N197" s="237"/>
      <c r="O197" s="237"/>
      <c r="P197" s="237"/>
      <c r="Q197" s="237"/>
      <c r="R197" s="237"/>
      <c r="S197" s="237"/>
      <c r="T197" s="237"/>
      <c r="U197" s="237"/>
      <c r="V197" s="237"/>
      <c r="W197" s="237"/>
      <c r="X197" s="237"/>
      <c r="Y197" s="237"/>
      <c r="Z197" s="237"/>
    </row>
    <row r="198" spans="1:26" ht="19.5" customHeight="1" x14ac:dyDescent="0.25">
      <c r="A198" s="261"/>
      <c r="B198" s="516" t="s">
        <v>92</v>
      </c>
      <c r="C198" s="764" t="s">
        <v>1441</v>
      </c>
      <c r="D198" s="615"/>
      <c r="E198" s="615"/>
      <c r="F198" s="615"/>
      <c r="G198" s="616"/>
      <c r="H198" s="267"/>
      <c r="I198" s="251"/>
      <c r="J198" s="254"/>
      <c r="K198" s="255"/>
      <c r="L198" s="255"/>
      <c r="M198" s="255"/>
      <c r="N198" s="237"/>
      <c r="O198" s="237"/>
      <c r="P198" s="237"/>
      <c r="Q198" s="237"/>
      <c r="R198" s="237"/>
      <c r="S198" s="237"/>
      <c r="T198" s="237"/>
      <c r="U198" s="237"/>
      <c r="V198" s="237"/>
      <c r="W198" s="237"/>
      <c r="X198" s="237"/>
      <c r="Y198" s="237"/>
      <c r="Z198" s="237"/>
    </row>
    <row r="199" spans="1:26" ht="19.5" customHeight="1" x14ac:dyDescent="0.25">
      <c r="A199" s="261"/>
      <c r="B199" s="516"/>
      <c r="C199" s="540">
        <v>1</v>
      </c>
      <c r="D199" s="767" t="s">
        <v>1442</v>
      </c>
      <c r="E199" s="615"/>
      <c r="F199" s="615"/>
      <c r="G199" s="616"/>
      <c r="H199" s="267"/>
      <c r="I199" s="251"/>
      <c r="J199" s="254"/>
      <c r="K199" s="255"/>
      <c r="L199" s="255"/>
      <c r="M199" s="255"/>
      <c r="N199" s="237"/>
      <c r="O199" s="237"/>
      <c r="P199" s="237"/>
      <c r="Q199" s="237"/>
      <c r="R199" s="237"/>
      <c r="S199" s="237"/>
      <c r="T199" s="237"/>
      <c r="U199" s="237"/>
      <c r="V199" s="237"/>
      <c r="W199" s="237"/>
      <c r="X199" s="237"/>
      <c r="Y199" s="237"/>
      <c r="Z199" s="237"/>
    </row>
    <row r="200" spans="1:26" ht="19.5" customHeight="1" x14ac:dyDescent="0.25">
      <c r="A200" s="261"/>
      <c r="B200" s="533"/>
      <c r="C200" s="516"/>
      <c r="D200" s="251" t="s">
        <v>216</v>
      </c>
      <c r="E200" s="764" t="s">
        <v>1443</v>
      </c>
      <c r="F200" s="615"/>
      <c r="G200" s="616"/>
      <c r="H200" s="267"/>
      <c r="I200" s="282"/>
      <c r="J200" s="283">
        <f t="shared" ref="J200:J202" si="25">H200+I200</f>
        <v>0</v>
      </c>
      <c r="K200" s="255"/>
      <c r="L200" s="255"/>
      <c r="M200" s="255"/>
      <c r="N200" s="237"/>
      <c r="O200" s="237"/>
      <c r="P200" s="237"/>
      <c r="Q200" s="237"/>
      <c r="R200" s="237"/>
      <c r="S200" s="237"/>
      <c r="T200" s="237"/>
      <c r="U200" s="237"/>
      <c r="V200" s="237"/>
      <c r="W200" s="237"/>
      <c r="X200" s="237"/>
      <c r="Y200" s="237"/>
      <c r="Z200" s="237"/>
    </row>
    <row r="201" spans="1:26" ht="19.5" customHeight="1" x14ac:dyDescent="0.25">
      <c r="A201" s="261"/>
      <c r="B201" s="516"/>
      <c r="C201" s="516"/>
      <c r="D201" s="251" t="s">
        <v>150</v>
      </c>
      <c r="E201" s="764" t="s">
        <v>1444</v>
      </c>
      <c r="F201" s="615"/>
      <c r="G201" s="616"/>
      <c r="H201" s="267"/>
      <c r="I201" s="282"/>
      <c r="J201" s="283">
        <f t="shared" si="25"/>
        <v>0</v>
      </c>
      <c r="K201" s="255"/>
      <c r="L201" s="255"/>
      <c r="M201" s="255"/>
      <c r="N201" s="237"/>
      <c r="O201" s="237"/>
      <c r="P201" s="237"/>
      <c r="Q201" s="237"/>
      <c r="R201" s="237"/>
      <c r="S201" s="237"/>
      <c r="T201" s="237"/>
      <c r="U201" s="237"/>
      <c r="V201" s="237"/>
      <c r="W201" s="237"/>
      <c r="X201" s="237"/>
      <c r="Y201" s="237"/>
      <c r="Z201" s="237"/>
    </row>
    <row r="202" spans="1:26" ht="19.5" customHeight="1" x14ac:dyDescent="0.25">
      <c r="A202" s="261"/>
      <c r="B202" s="516"/>
      <c r="C202" s="541"/>
      <c r="D202" s="251" t="s">
        <v>219</v>
      </c>
      <c r="E202" s="764" t="s">
        <v>1445</v>
      </c>
      <c r="F202" s="615"/>
      <c r="G202" s="616"/>
      <c r="H202" s="267"/>
      <c r="I202" s="251"/>
      <c r="J202" s="245">
        <f t="shared" si="25"/>
        <v>0</v>
      </c>
      <c r="K202" s="255"/>
      <c r="L202" s="255"/>
      <c r="M202" s="255"/>
      <c r="N202" s="237"/>
      <c r="O202" s="237"/>
      <c r="P202" s="237"/>
      <c r="Q202" s="237"/>
      <c r="R202" s="237"/>
      <c r="S202" s="237"/>
      <c r="T202" s="237"/>
      <c r="U202" s="237"/>
      <c r="V202" s="237"/>
      <c r="W202" s="237"/>
      <c r="X202" s="237"/>
      <c r="Y202" s="237"/>
      <c r="Z202" s="237"/>
    </row>
    <row r="203" spans="1:26" ht="19.5" customHeight="1" x14ac:dyDescent="0.25">
      <c r="A203" s="261"/>
      <c r="B203" s="516"/>
      <c r="C203" s="514">
        <v>2</v>
      </c>
      <c r="D203" s="764" t="s">
        <v>1446</v>
      </c>
      <c r="E203" s="615"/>
      <c r="F203" s="615"/>
      <c r="G203" s="616"/>
      <c r="H203" s="267"/>
      <c r="I203" s="283"/>
      <c r="J203" s="254"/>
      <c r="K203" s="255"/>
      <c r="L203" s="255"/>
      <c r="M203" s="255"/>
      <c r="N203" s="237"/>
      <c r="O203" s="237"/>
      <c r="P203" s="237"/>
      <c r="Q203" s="237"/>
      <c r="R203" s="237"/>
      <c r="S203" s="237"/>
      <c r="T203" s="237"/>
      <c r="U203" s="237"/>
      <c r="V203" s="237"/>
      <c r="W203" s="237"/>
      <c r="X203" s="237"/>
      <c r="Y203" s="237"/>
      <c r="Z203" s="237"/>
    </row>
    <row r="204" spans="1:26" ht="19.5" customHeight="1" x14ac:dyDescent="0.25">
      <c r="A204" s="261"/>
      <c r="B204" s="516"/>
      <c r="C204" s="516"/>
      <c r="D204" s="245" t="s">
        <v>76</v>
      </c>
      <c r="E204" s="768" t="s">
        <v>1410</v>
      </c>
      <c r="F204" s="615"/>
      <c r="G204" s="616"/>
      <c r="H204" s="267"/>
      <c r="I204" s="283"/>
      <c r="J204" s="283">
        <f t="shared" ref="J204:J206" si="26">H204+I204</f>
        <v>0</v>
      </c>
      <c r="K204" s="255"/>
      <c r="L204" s="255"/>
      <c r="M204" s="255"/>
      <c r="N204" s="237"/>
      <c r="O204" s="237"/>
      <c r="P204" s="237"/>
      <c r="Q204" s="237"/>
      <c r="R204" s="237"/>
      <c r="S204" s="237"/>
      <c r="T204" s="237"/>
      <c r="U204" s="237"/>
      <c r="V204" s="237"/>
      <c r="W204" s="237"/>
      <c r="X204" s="237"/>
      <c r="Y204" s="237"/>
      <c r="Z204" s="237"/>
    </row>
    <row r="205" spans="1:26" ht="19.5" customHeight="1" x14ac:dyDescent="0.25">
      <c r="A205" s="261"/>
      <c r="B205" s="516"/>
      <c r="C205" s="516"/>
      <c r="D205" s="245" t="s">
        <v>150</v>
      </c>
      <c r="E205" s="768" t="s">
        <v>1411</v>
      </c>
      <c r="F205" s="615"/>
      <c r="G205" s="616"/>
      <c r="H205" s="267"/>
      <c r="I205" s="283"/>
      <c r="J205" s="283">
        <f t="shared" si="26"/>
        <v>0</v>
      </c>
      <c r="K205" s="255"/>
      <c r="L205" s="255"/>
      <c r="M205" s="255"/>
      <c r="N205" s="237"/>
      <c r="O205" s="237"/>
      <c r="P205" s="237"/>
      <c r="Q205" s="237"/>
      <c r="R205" s="237"/>
      <c r="S205" s="237"/>
      <c r="T205" s="237"/>
      <c r="U205" s="237"/>
      <c r="V205" s="237"/>
      <c r="W205" s="237"/>
      <c r="X205" s="237"/>
      <c r="Y205" s="237"/>
      <c r="Z205" s="237"/>
    </row>
    <row r="206" spans="1:26" ht="19.5" customHeight="1" x14ac:dyDescent="0.25">
      <c r="A206" s="261"/>
      <c r="B206" s="541"/>
      <c r="C206" s="541"/>
      <c r="D206" s="245" t="s">
        <v>219</v>
      </c>
      <c r="E206" s="768" t="s">
        <v>1447</v>
      </c>
      <c r="F206" s="615"/>
      <c r="G206" s="616"/>
      <c r="H206" s="267"/>
      <c r="I206" s="283"/>
      <c r="J206" s="283">
        <f t="shared" si="26"/>
        <v>0</v>
      </c>
      <c r="K206" s="255"/>
      <c r="L206" s="255"/>
      <c r="M206" s="255"/>
      <c r="N206" s="237"/>
      <c r="O206" s="237"/>
      <c r="P206" s="237"/>
      <c r="Q206" s="237"/>
      <c r="R206" s="237"/>
      <c r="S206" s="237"/>
      <c r="T206" s="237"/>
      <c r="U206" s="237"/>
      <c r="V206" s="237"/>
      <c r="W206" s="237"/>
      <c r="X206" s="237"/>
      <c r="Y206" s="237"/>
      <c r="Z206" s="237"/>
    </row>
    <row r="207" spans="1:26" ht="35.25" customHeight="1" x14ac:dyDescent="0.25">
      <c r="A207" s="261"/>
      <c r="B207" s="523" t="s">
        <v>95</v>
      </c>
      <c r="C207" s="767" t="s">
        <v>1448</v>
      </c>
      <c r="D207" s="615"/>
      <c r="E207" s="615"/>
      <c r="F207" s="615"/>
      <c r="G207" s="616"/>
      <c r="H207" s="546"/>
      <c r="I207" s="251"/>
      <c r="J207" s="254"/>
      <c r="K207" s="255"/>
      <c r="L207" s="255"/>
      <c r="M207" s="255"/>
      <c r="N207" s="237"/>
      <c r="O207" s="237"/>
      <c r="P207" s="237"/>
      <c r="Q207" s="237"/>
      <c r="R207" s="237"/>
      <c r="S207" s="237"/>
      <c r="T207" s="237"/>
      <c r="U207" s="237"/>
      <c r="V207" s="237"/>
      <c r="W207" s="237"/>
      <c r="X207" s="237"/>
      <c r="Y207" s="237"/>
      <c r="Z207" s="237"/>
    </row>
    <row r="208" spans="1:26" ht="19.5" customHeight="1" x14ac:dyDescent="0.25">
      <c r="A208" s="261"/>
      <c r="B208" s="533"/>
      <c r="C208" s="245">
        <v>1</v>
      </c>
      <c r="D208" s="764" t="s">
        <v>1449</v>
      </c>
      <c r="E208" s="615"/>
      <c r="F208" s="615"/>
      <c r="G208" s="616"/>
      <c r="H208" s="546"/>
      <c r="I208" s="251"/>
      <c r="J208" s="245">
        <f t="shared" ref="J208:J210" si="27">H208+I208</f>
        <v>0</v>
      </c>
      <c r="K208" s="255"/>
      <c r="L208" s="255"/>
      <c r="M208" s="255"/>
      <c r="N208" s="237"/>
      <c r="O208" s="237"/>
      <c r="P208" s="237"/>
      <c r="Q208" s="237"/>
      <c r="R208" s="237"/>
      <c r="S208" s="237"/>
      <c r="T208" s="237"/>
      <c r="U208" s="237"/>
      <c r="V208" s="237"/>
      <c r="W208" s="237"/>
      <c r="X208" s="237"/>
      <c r="Y208" s="237"/>
      <c r="Z208" s="237"/>
    </row>
    <row r="209" spans="1:26" ht="19.5" customHeight="1" x14ac:dyDescent="0.25">
      <c r="A209" s="261"/>
      <c r="B209" s="533"/>
      <c r="C209" s="245">
        <v>2</v>
      </c>
      <c r="D209" s="764" t="s">
        <v>1450</v>
      </c>
      <c r="E209" s="615"/>
      <c r="F209" s="615"/>
      <c r="G209" s="616"/>
      <c r="H209" s="267"/>
      <c r="I209" s="283"/>
      <c r="J209" s="283">
        <f t="shared" si="27"/>
        <v>0</v>
      </c>
      <c r="K209" s="255"/>
      <c r="L209" s="255"/>
      <c r="M209" s="255"/>
      <c r="N209" s="237"/>
      <c r="O209" s="237"/>
      <c r="P209" s="237"/>
      <c r="Q209" s="237"/>
      <c r="R209" s="237"/>
      <c r="S209" s="237"/>
      <c r="T209" s="237"/>
      <c r="U209" s="237"/>
      <c r="V209" s="237"/>
      <c r="W209" s="237"/>
      <c r="X209" s="237"/>
      <c r="Y209" s="237"/>
      <c r="Z209" s="237"/>
    </row>
    <row r="210" spans="1:26" ht="19.5" customHeight="1" x14ac:dyDescent="0.25">
      <c r="A210" s="261"/>
      <c r="B210" s="541"/>
      <c r="C210" s="245">
        <v>3</v>
      </c>
      <c r="D210" s="764" t="s">
        <v>1451</v>
      </c>
      <c r="E210" s="615"/>
      <c r="F210" s="615"/>
      <c r="G210" s="616"/>
      <c r="H210" s="267"/>
      <c r="I210" s="283"/>
      <c r="J210" s="283">
        <f t="shared" si="27"/>
        <v>0</v>
      </c>
      <c r="K210" s="255"/>
      <c r="L210" s="255"/>
      <c r="M210" s="255"/>
      <c r="N210" s="237"/>
      <c r="O210" s="237"/>
      <c r="P210" s="237"/>
      <c r="Q210" s="237"/>
      <c r="R210" s="237"/>
      <c r="S210" s="237"/>
      <c r="T210" s="237"/>
      <c r="U210" s="237"/>
      <c r="V210" s="237"/>
      <c r="W210" s="237"/>
      <c r="X210" s="237"/>
      <c r="Y210" s="237"/>
      <c r="Z210" s="237"/>
    </row>
    <row r="211" spans="1:26" ht="19.5" customHeight="1" x14ac:dyDescent="0.25">
      <c r="A211" s="261"/>
      <c r="B211" s="514" t="s">
        <v>54</v>
      </c>
      <c r="C211" s="764" t="s">
        <v>1452</v>
      </c>
      <c r="D211" s="615"/>
      <c r="E211" s="615"/>
      <c r="F211" s="615"/>
      <c r="G211" s="616"/>
      <c r="H211" s="267"/>
      <c r="I211" s="283"/>
      <c r="J211" s="254"/>
      <c r="K211" s="255"/>
      <c r="L211" s="255"/>
      <c r="M211" s="255"/>
      <c r="N211" s="237"/>
      <c r="O211" s="237"/>
      <c r="P211" s="237"/>
      <c r="Q211" s="237"/>
      <c r="R211" s="237"/>
      <c r="S211" s="237"/>
      <c r="T211" s="237"/>
      <c r="U211" s="237"/>
      <c r="V211" s="237"/>
      <c r="W211" s="237"/>
      <c r="X211" s="237"/>
      <c r="Y211" s="237"/>
      <c r="Z211" s="237"/>
    </row>
    <row r="212" spans="1:26" ht="19.5" customHeight="1" x14ac:dyDescent="0.25">
      <c r="A212" s="261"/>
      <c r="B212" s="516"/>
      <c r="C212" s="245">
        <v>1</v>
      </c>
      <c r="D212" s="265" t="s">
        <v>1410</v>
      </c>
      <c r="E212" s="265"/>
      <c r="F212" s="265"/>
      <c r="G212" s="265"/>
      <c r="H212" s="267"/>
      <c r="I212" s="283"/>
      <c r="J212" s="283">
        <f t="shared" ref="J212:J214" si="28">H212+I212</f>
        <v>0</v>
      </c>
      <c r="K212" s="255"/>
      <c r="L212" s="255"/>
      <c r="M212" s="255"/>
      <c r="N212" s="237"/>
      <c r="O212" s="237"/>
      <c r="P212" s="237"/>
      <c r="Q212" s="237"/>
      <c r="R212" s="237"/>
      <c r="S212" s="237"/>
      <c r="T212" s="237"/>
      <c r="U212" s="237"/>
      <c r="V212" s="237"/>
      <c r="W212" s="237"/>
      <c r="X212" s="237"/>
      <c r="Y212" s="237"/>
      <c r="Z212" s="237"/>
    </row>
    <row r="213" spans="1:26" ht="19.5" customHeight="1" x14ac:dyDescent="0.25">
      <c r="A213" s="261"/>
      <c r="B213" s="516"/>
      <c r="C213" s="245">
        <v>2</v>
      </c>
      <c r="D213" s="265" t="s">
        <v>1411</v>
      </c>
      <c r="E213" s="265"/>
      <c r="F213" s="265"/>
      <c r="G213" s="255"/>
      <c r="H213" s="267"/>
      <c r="I213" s="283"/>
      <c r="J213" s="283">
        <f t="shared" si="28"/>
        <v>0</v>
      </c>
      <c r="K213" s="255"/>
      <c r="L213" s="255"/>
      <c r="M213" s="255"/>
      <c r="N213" s="237"/>
      <c r="O213" s="237"/>
      <c r="P213" s="237"/>
      <c r="Q213" s="237"/>
      <c r="R213" s="237"/>
      <c r="S213" s="237"/>
      <c r="T213" s="237"/>
      <c r="U213" s="237"/>
      <c r="V213" s="237"/>
      <c r="W213" s="237"/>
      <c r="X213" s="237"/>
      <c r="Y213" s="237"/>
      <c r="Z213" s="237"/>
    </row>
    <row r="214" spans="1:26" ht="19.5" customHeight="1" x14ac:dyDescent="0.25">
      <c r="A214" s="261"/>
      <c r="B214" s="541"/>
      <c r="C214" s="245">
        <v>3</v>
      </c>
      <c r="D214" s="265" t="s">
        <v>1453</v>
      </c>
      <c r="E214" s="265"/>
      <c r="F214" s="265"/>
      <c r="G214" s="255"/>
      <c r="H214" s="267"/>
      <c r="I214" s="283"/>
      <c r="J214" s="283">
        <f t="shared" si="28"/>
        <v>0</v>
      </c>
      <c r="K214" s="255"/>
      <c r="L214" s="255"/>
      <c r="M214" s="255"/>
      <c r="N214" s="237"/>
      <c r="O214" s="237"/>
      <c r="P214" s="237"/>
      <c r="Q214" s="237"/>
      <c r="R214" s="237"/>
      <c r="S214" s="237"/>
      <c r="T214" s="237"/>
      <c r="U214" s="237"/>
      <c r="V214" s="237"/>
      <c r="W214" s="237"/>
      <c r="X214" s="237"/>
      <c r="Y214" s="237"/>
      <c r="Z214" s="237"/>
    </row>
    <row r="215" spans="1:26" ht="19.5" customHeight="1" x14ac:dyDescent="0.25">
      <c r="A215" s="262"/>
      <c r="B215" s="514" t="s">
        <v>101</v>
      </c>
      <c r="C215" s="764" t="s">
        <v>1454</v>
      </c>
      <c r="D215" s="615"/>
      <c r="E215" s="615"/>
      <c r="F215" s="615"/>
      <c r="G215" s="616"/>
      <c r="H215" s="500"/>
      <c r="I215" s="245"/>
      <c r="J215" s="245"/>
      <c r="K215" s="245"/>
      <c r="L215" s="245"/>
      <c r="M215" s="245"/>
      <c r="N215" s="237"/>
      <c r="O215" s="237"/>
      <c r="P215" s="237"/>
      <c r="Q215" s="237"/>
      <c r="R215" s="237"/>
      <c r="S215" s="237"/>
      <c r="T215" s="237"/>
      <c r="U215" s="237"/>
      <c r="V215" s="237"/>
      <c r="W215" s="237"/>
      <c r="X215" s="237"/>
      <c r="Y215" s="237"/>
      <c r="Z215" s="237"/>
    </row>
    <row r="216" spans="1:26" ht="32.25" customHeight="1" x14ac:dyDescent="0.25">
      <c r="A216" s="262"/>
      <c r="B216" s="541"/>
      <c r="C216" s="547"/>
      <c r="D216" s="764" t="s">
        <v>1455</v>
      </c>
      <c r="E216" s="615"/>
      <c r="F216" s="615"/>
      <c r="G216" s="616"/>
      <c r="H216" s="501"/>
      <c r="I216" s="245"/>
      <c r="J216" s="245">
        <f>H216+I216</f>
        <v>0</v>
      </c>
      <c r="K216" s="245"/>
      <c r="L216" s="245"/>
      <c r="M216" s="245"/>
      <c r="N216" s="237"/>
      <c r="O216" s="237"/>
      <c r="P216" s="237"/>
      <c r="Q216" s="237"/>
      <c r="R216" s="237"/>
      <c r="S216" s="237"/>
      <c r="T216" s="237"/>
      <c r="U216" s="237"/>
      <c r="V216" s="237"/>
      <c r="W216" s="237"/>
      <c r="X216" s="237"/>
      <c r="Y216" s="237"/>
      <c r="Z216" s="237"/>
    </row>
    <row r="217" spans="1:26" ht="24.75" customHeight="1" x14ac:dyDescent="0.2">
      <c r="A217" s="541"/>
      <c r="B217" s="765" t="s">
        <v>247</v>
      </c>
      <c r="C217" s="615"/>
      <c r="D217" s="615"/>
      <c r="E217" s="615"/>
      <c r="F217" s="615"/>
      <c r="G217" s="616"/>
      <c r="H217" s="501"/>
      <c r="I217" s="245"/>
      <c r="J217" s="245"/>
      <c r="K217" s="245"/>
      <c r="L217" s="245"/>
      <c r="M217" s="245"/>
      <c r="N217" s="238"/>
      <c r="O217" s="238"/>
      <c r="P217" s="238"/>
      <c r="Q217" s="238"/>
      <c r="R217" s="238"/>
      <c r="S217" s="238"/>
      <c r="T217" s="238"/>
      <c r="U217" s="238"/>
      <c r="V217" s="238"/>
      <c r="W217" s="238"/>
      <c r="X217" s="238"/>
      <c r="Y217" s="238"/>
      <c r="Z217" s="238"/>
    </row>
    <row r="218" spans="1:26" ht="24.75" customHeight="1" x14ac:dyDescent="0.2">
      <c r="A218" s="241"/>
      <c r="B218" s="286"/>
      <c r="C218" s="286"/>
      <c r="D218" s="286"/>
      <c r="E218" s="286"/>
      <c r="F218" s="286"/>
      <c r="G218" s="286"/>
      <c r="H218" s="241"/>
      <c r="I218" s="241"/>
      <c r="J218" s="241"/>
      <c r="K218" s="241"/>
      <c r="L218" s="241"/>
      <c r="M218" s="241"/>
      <c r="N218" s="238"/>
      <c r="O218" s="238"/>
      <c r="P218" s="238"/>
      <c r="Q218" s="238"/>
      <c r="R218" s="238"/>
      <c r="S218" s="238"/>
      <c r="T218" s="238"/>
      <c r="U218" s="238"/>
      <c r="V218" s="238"/>
      <c r="W218" s="238"/>
      <c r="X218" s="238"/>
      <c r="Y218" s="238"/>
      <c r="Z218" s="238"/>
    </row>
    <row r="219" spans="1:26" ht="24.75" customHeight="1" x14ac:dyDescent="0.2">
      <c r="A219" s="241"/>
      <c r="B219" s="286"/>
      <c r="C219" s="286"/>
      <c r="D219" s="286"/>
      <c r="E219" s="286"/>
      <c r="F219" s="286"/>
      <c r="G219" s="286"/>
      <c r="H219" s="241"/>
      <c r="I219" s="241"/>
      <c r="J219" s="241"/>
      <c r="K219" s="241"/>
      <c r="L219" s="241"/>
      <c r="M219" s="241"/>
      <c r="N219" s="238"/>
      <c r="O219" s="238"/>
      <c r="P219" s="238"/>
      <c r="Q219" s="238"/>
      <c r="R219" s="238"/>
      <c r="S219" s="238"/>
      <c r="T219" s="238"/>
      <c r="U219" s="238"/>
      <c r="V219" s="238"/>
      <c r="W219" s="238"/>
      <c r="X219" s="238"/>
      <c r="Y219" s="238"/>
      <c r="Z219" s="238"/>
    </row>
    <row r="220" spans="1:26" ht="15.75" customHeight="1" x14ac:dyDescent="0.25">
      <c r="A220" s="236"/>
      <c r="B220" s="242"/>
      <c r="C220" s="287"/>
      <c r="D220" s="287"/>
      <c r="E220" s="287"/>
      <c r="F220" s="287"/>
      <c r="G220" s="287"/>
      <c r="H220" s="241"/>
      <c r="I220" s="244"/>
      <c r="J220" s="288"/>
      <c r="K220" s="237"/>
      <c r="L220" s="237"/>
      <c r="M220" s="237"/>
      <c r="N220" s="237"/>
      <c r="O220" s="237"/>
      <c r="P220" s="237"/>
      <c r="Q220" s="237"/>
      <c r="R220" s="237"/>
      <c r="S220" s="237"/>
      <c r="T220" s="237"/>
      <c r="U220" s="237"/>
      <c r="V220" s="237"/>
      <c r="W220" s="237"/>
      <c r="X220" s="237"/>
      <c r="Y220" s="237"/>
      <c r="Z220" s="237"/>
    </row>
    <row r="221" spans="1:26" ht="30" customHeight="1" x14ac:dyDescent="0.25">
      <c r="A221" s="289" t="s">
        <v>136</v>
      </c>
      <c r="B221" s="548" t="s">
        <v>249</v>
      </c>
      <c r="C221" s="549"/>
      <c r="D221" s="550"/>
      <c r="E221" s="550"/>
      <c r="F221" s="550"/>
      <c r="G221" s="551"/>
      <c r="H221" s="551"/>
      <c r="I221" s="504"/>
      <c r="J221" s="511"/>
      <c r="K221" s="504"/>
      <c r="L221" s="504"/>
      <c r="M221" s="505"/>
      <c r="N221" s="238"/>
      <c r="O221" s="238"/>
      <c r="P221" s="237"/>
      <c r="Q221" s="237"/>
      <c r="R221" s="237"/>
      <c r="S221" s="237"/>
      <c r="T221" s="237"/>
      <c r="U221" s="237"/>
      <c r="V221" s="237"/>
      <c r="W221" s="237"/>
      <c r="X221" s="237"/>
      <c r="Y221" s="237"/>
      <c r="Z221" s="237"/>
    </row>
    <row r="222" spans="1:26" ht="33" customHeight="1" x14ac:dyDescent="0.25">
      <c r="A222" s="552"/>
      <c r="B222" s="553" t="s">
        <v>121</v>
      </c>
      <c r="C222" s="778" t="s">
        <v>1456</v>
      </c>
      <c r="D222" s="613"/>
      <c r="E222" s="613"/>
      <c r="F222" s="613"/>
      <c r="G222" s="634"/>
      <c r="H222" s="554"/>
      <c r="I222" s="240"/>
      <c r="J222" s="290"/>
      <c r="K222" s="290"/>
      <c r="L222" s="290"/>
      <c r="M222" s="291"/>
      <c r="N222" s="290"/>
      <c r="O222" s="239"/>
      <c r="P222" s="237"/>
      <c r="Q222" s="237"/>
      <c r="R222" s="237"/>
      <c r="S222" s="237"/>
      <c r="T222" s="237"/>
      <c r="U222" s="237"/>
      <c r="V222" s="237"/>
      <c r="W222" s="237"/>
      <c r="X222" s="237"/>
      <c r="Y222" s="237"/>
      <c r="Z222" s="237"/>
    </row>
    <row r="223" spans="1:26" ht="21" customHeight="1" x14ac:dyDescent="0.25">
      <c r="A223" s="552"/>
      <c r="B223" s="555" t="s">
        <v>123</v>
      </c>
      <c r="C223" s="779" t="s">
        <v>1457</v>
      </c>
      <c r="D223" s="613"/>
      <c r="E223" s="613"/>
      <c r="F223" s="613"/>
      <c r="G223" s="634"/>
      <c r="H223" s="292"/>
      <c r="I223" s="292"/>
      <c r="J223" s="236"/>
      <c r="K223" s="239"/>
      <c r="L223" s="239"/>
      <c r="M223" s="293"/>
      <c r="N223" s="239"/>
      <c r="O223" s="239"/>
      <c r="P223" s="237"/>
      <c r="Q223" s="237"/>
      <c r="R223" s="237"/>
      <c r="S223" s="237"/>
      <c r="T223" s="237"/>
      <c r="U223" s="237"/>
      <c r="V223" s="237"/>
      <c r="W223" s="237"/>
      <c r="X223" s="237"/>
      <c r="Y223" s="237"/>
      <c r="Z223" s="237"/>
    </row>
    <row r="224" spans="1:26" ht="34.5" customHeight="1" x14ac:dyDescent="0.25">
      <c r="A224" s="552"/>
      <c r="B224" s="553" t="s">
        <v>125</v>
      </c>
      <c r="C224" s="778" t="s">
        <v>1458</v>
      </c>
      <c r="D224" s="613"/>
      <c r="E224" s="613"/>
      <c r="F224" s="613"/>
      <c r="G224" s="634"/>
      <c r="H224" s="292"/>
      <c r="I224" s="292"/>
      <c r="J224" s="236"/>
      <c r="K224" s="239"/>
      <c r="L224" s="239"/>
      <c r="M224" s="293"/>
      <c r="N224" s="239"/>
      <c r="O224" s="239"/>
      <c r="P224" s="237"/>
      <c r="Q224" s="237"/>
      <c r="R224" s="237"/>
      <c r="S224" s="237"/>
      <c r="T224" s="237"/>
      <c r="U224" s="237"/>
      <c r="V224" s="237"/>
      <c r="W224" s="237"/>
      <c r="X224" s="237"/>
      <c r="Y224" s="237"/>
      <c r="Z224" s="237"/>
    </row>
    <row r="225" spans="1:26" ht="21" customHeight="1" x14ac:dyDescent="0.25">
      <c r="A225" s="552"/>
      <c r="B225" s="555" t="s">
        <v>127</v>
      </c>
      <c r="C225" s="238" t="s">
        <v>1459</v>
      </c>
      <c r="D225" s="294"/>
      <c r="E225" s="294"/>
      <c r="F225" s="294"/>
      <c r="G225" s="295"/>
      <c r="H225" s="556"/>
      <c r="I225" s="238"/>
      <c r="J225" s="236"/>
      <c r="K225" s="239"/>
      <c r="L225" s="239"/>
      <c r="M225" s="293"/>
      <c r="N225" s="239"/>
      <c r="O225" s="239"/>
      <c r="P225" s="237"/>
      <c r="Q225" s="237"/>
      <c r="R225" s="237"/>
      <c r="S225" s="237"/>
      <c r="T225" s="237"/>
      <c r="U225" s="237"/>
      <c r="V225" s="237"/>
      <c r="W225" s="237"/>
      <c r="X225" s="237"/>
      <c r="Y225" s="237"/>
      <c r="Z225" s="237"/>
    </row>
    <row r="226" spans="1:26" ht="19.5" customHeight="1" x14ac:dyDescent="0.25">
      <c r="A226" s="552"/>
      <c r="B226" s="553"/>
      <c r="C226" s="237"/>
      <c r="D226" s="296"/>
      <c r="E226" s="296"/>
      <c r="F226" s="296"/>
      <c r="G226" s="292"/>
      <c r="H226" s="557"/>
      <c r="I226" s="782" t="s">
        <v>1460</v>
      </c>
      <c r="J226" s="613"/>
      <c r="K226" s="613"/>
      <c r="L226" s="613"/>
      <c r="M226" s="297"/>
      <c r="N226" s="237"/>
      <c r="O226" s="239"/>
      <c r="P226" s="237"/>
      <c r="Q226" s="237"/>
      <c r="R226" s="237"/>
      <c r="S226" s="237"/>
      <c r="T226" s="237"/>
      <c r="U226" s="237"/>
      <c r="V226" s="237"/>
      <c r="W226" s="237"/>
      <c r="X226" s="237"/>
      <c r="Y226" s="237"/>
      <c r="Z226" s="237"/>
    </row>
    <row r="227" spans="1:26" ht="19.5" customHeight="1" x14ac:dyDescent="0.25">
      <c r="A227" s="552"/>
      <c r="B227" s="553"/>
      <c r="C227" s="237"/>
      <c r="D227" s="296"/>
      <c r="E227" s="296"/>
      <c r="F227" s="296"/>
      <c r="G227" s="292"/>
      <c r="H227" s="557"/>
      <c r="I227" s="239"/>
      <c r="J227" s="236"/>
      <c r="K227" s="239"/>
      <c r="L227" s="237"/>
      <c r="M227" s="293"/>
      <c r="N227" s="239"/>
      <c r="O227" s="239"/>
      <c r="P227" s="237"/>
      <c r="Q227" s="237"/>
      <c r="R227" s="237"/>
      <c r="S227" s="237"/>
      <c r="T227" s="237"/>
      <c r="U227" s="237"/>
      <c r="V227" s="237"/>
      <c r="W227" s="237"/>
      <c r="X227" s="237"/>
      <c r="Y227" s="237"/>
      <c r="Z227" s="237"/>
    </row>
    <row r="228" spans="1:26" ht="19.5" customHeight="1" x14ac:dyDescent="0.25">
      <c r="A228" s="552"/>
      <c r="B228" s="553"/>
      <c r="C228" s="237"/>
      <c r="D228" s="296"/>
      <c r="E228" s="296"/>
      <c r="F228" s="296"/>
      <c r="G228" s="292"/>
      <c r="H228" s="557"/>
      <c r="I228" s="239"/>
      <c r="J228" s="236"/>
      <c r="K228" s="239"/>
      <c r="L228" s="237"/>
      <c r="M228" s="293"/>
      <c r="N228" s="239"/>
      <c r="O228" s="239"/>
      <c r="P228" s="237"/>
      <c r="Q228" s="237"/>
      <c r="R228" s="237"/>
      <c r="S228" s="237"/>
      <c r="T228" s="237"/>
      <c r="U228" s="237"/>
      <c r="V228" s="237"/>
      <c r="W228" s="237"/>
      <c r="X228" s="237"/>
      <c r="Y228" s="237"/>
      <c r="Z228" s="237"/>
    </row>
    <row r="229" spans="1:26" ht="19.5" customHeight="1" x14ac:dyDescent="0.25">
      <c r="A229" s="552"/>
      <c r="B229" s="557"/>
      <c r="C229" s="292"/>
      <c r="D229" s="296"/>
      <c r="E229" s="296"/>
      <c r="F229" s="296"/>
      <c r="G229" s="292"/>
      <c r="H229" s="557"/>
      <c r="I229" s="239"/>
      <c r="J229" s="236"/>
      <c r="K229" s="239"/>
      <c r="L229" s="237"/>
      <c r="M229" s="293"/>
      <c r="N229" s="239"/>
      <c r="O229" s="239"/>
      <c r="P229" s="237"/>
      <c r="Q229" s="237"/>
      <c r="R229" s="237"/>
      <c r="S229" s="237"/>
      <c r="T229" s="237"/>
      <c r="U229" s="237"/>
      <c r="V229" s="237"/>
      <c r="W229" s="237"/>
      <c r="X229" s="237"/>
      <c r="Y229" s="237"/>
      <c r="Z229" s="237"/>
    </row>
    <row r="230" spans="1:26" ht="19.5" customHeight="1" x14ac:dyDescent="0.25">
      <c r="A230" s="552"/>
      <c r="B230" s="557"/>
      <c r="C230" s="292"/>
      <c r="D230" s="296"/>
      <c r="E230" s="296"/>
      <c r="F230" s="296"/>
      <c r="G230" s="292"/>
      <c r="H230" s="557"/>
      <c r="I230" s="298"/>
      <c r="J230" s="299"/>
      <c r="K230" s="298"/>
      <c r="L230" s="300"/>
      <c r="M230" s="293"/>
      <c r="N230" s="239"/>
      <c r="O230" s="239"/>
      <c r="P230" s="237"/>
      <c r="Q230" s="237"/>
      <c r="R230" s="237"/>
      <c r="S230" s="237"/>
      <c r="T230" s="237"/>
      <c r="U230" s="237"/>
      <c r="V230" s="237"/>
      <c r="W230" s="237"/>
      <c r="X230" s="237"/>
      <c r="Y230" s="237"/>
      <c r="Z230" s="237"/>
    </row>
    <row r="231" spans="1:26" ht="19.5" customHeight="1" x14ac:dyDescent="0.25">
      <c r="A231" s="552"/>
      <c r="B231" s="557"/>
      <c r="C231" s="292"/>
      <c r="D231" s="296"/>
      <c r="E231" s="296"/>
      <c r="F231" s="296"/>
      <c r="G231" s="292"/>
      <c r="H231" s="557"/>
      <c r="I231" s="239" t="s">
        <v>1461</v>
      </c>
      <c r="J231" s="236"/>
      <c r="K231" s="239"/>
      <c r="L231" s="237"/>
      <c r="M231" s="293"/>
      <c r="N231" s="239"/>
      <c r="O231" s="239"/>
      <c r="P231" s="237"/>
      <c r="Q231" s="237"/>
      <c r="R231" s="237"/>
      <c r="S231" s="237"/>
      <c r="T231" s="237"/>
      <c r="U231" s="237"/>
      <c r="V231" s="237"/>
      <c r="W231" s="237"/>
      <c r="X231" s="237"/>
      <c r="Y231" s="237"/>
      <c r="Z231" s="237"/>
    </row>
    <row r="232" spans="1:26" ht="19.5" customHeight="1" x14ac:dyDescent="0.25">
      <c r="A232" s="558"/>
      <c r="B232" s="559"/>
      <c r="C232" s="301"/>
      <c r="D232" s="302"/>
      <c r="E232" s="302"/>
      <c r="F232" s="302"/>
      <c r="G232" s="301"/>
      <c r="H232" s="559"/>
      <c r="I232" s="298"/>
      <c r="J232" s="299"/>
      <c r="K232" s="298"/>
      <c r="L232" s="298"/>
      <c r="M232" s="303"/>
      <c r="N232" s="239"/>
      <c r="O232" s="239"/>
      <c r="P232" s="237"/>
      <c r="Q232" s="237"/>
      <c r="R232" s="237"/>
      <c r="S232" s="237"/>
      <c r="T232" s="237"/>
      <c r="U232" s="237"/>
      <c r="V232" s="237"/>
      <c r="W232" s="237"/>
      <c r="X232" s="237"/>
      <c r="Y232" s="237"/>
      <c r="Z232" s="237"/>
    </row>
    <row r="233" spans="1:26" ht="30" customHeight="1" x14ac:dyDescent="0.25">
      <c r="A233" s="560" t="s">
        <v>187</v>
      </c>
      <c r="B233" s="561" t="s">
        <v>257</v>
      </c>
      <c r="C233" s="562"/>
      <c r="D233" s="304"/>
      <c r="E233" s="304"/>
      <c r="F233" s="304"/>
      <c r="G233" s="305"/>
      <c r="H233" s="305"/>
      <c r="I233" s="306"/>
      <c r="J233" s="307"/>
      <c r="K233" s="306"/>
      <c r="L233" s="306"/>
      <c r="M233" s="308"/>
      <c r="N233" s="309"/>
      <c r="O233" s="309"/>
      <c r="P233" s="310"/>
      <c r="Q233" s="311"/>
      <c r="R233" s="311"/>
      <c r="S233" s="311"/>
      <c r="T233" s="311"/>
      <c r="U233" s="311"/>
      <c r="V233" s="311"/>
      <c r="W233" s="311"/>
      <c r="X233" s="311"/>
      <c r="Y233" s="311"/>
      <c r="Z233" s="311"/>
    </row>
    <row r="234" spans="1:26" ht="19.5" customHeight="1" x14ac:dyDescent="0.25">
      <c r="A234" s="552"/>
      <c r="B234" s="555" t="s">
        <v>121</v>
      </c>
      <c r="C234" s="312" t="s">
        <v>1462</v>
      </c>
      <c r="D234" s="296"/>
      <c r="E234" s="296"/>
      <c r="F234" s="296"/>
      <c r="G234" s="292"/>
      <c r="H234" s="557"/>
      <c r="I234" s="239"/>
      <c r="J234" s="236"/>
      <c r="K234" s="239"/>
      <c r="L234" s="239"/>
      <c r="M234" s="293"/>
      <c r="N234" s="239"/>
      <c r="O234" s="239"/>
      <c r="P234" s="237"/>
      <c r="Q234" s="237"/>
      <c r="R234" s="237"/>
      <c r="S234" s="237"/>
      <c r="T234" s="237"/>
      <c r="U234" s="237"/>
      <c r="V234" s="237"/>
      <c r="W234" s="237"/>
      <c r="X234" s="237"/>
      <c r="Y234" s="237"/>
      <c r="Z234" s="237"/>
    </row>
    <row r="235" spans="1:26" ht="19.5" customHeight="1" x14ac:dyDescent="0.25">
      <c r="A235" s="552"/>
      <c r="B235" s="555" t="s">
        <v>123</v>
      </c>
      <c r="C235" s="312" t="s">
        <v>1462</v>
      </c>
      <c r="D235" s="296"/>
      <c r="E235" s="296"/>
      <c r="F235" s="296"/>
      <c r="G235" s="292"/>
      <c r="H235" s="557"/>
      <c r="I235" s="239"/>
      <c r="J235" s="236"/>
      <c r="K235" s="239"/>
      <c r="L235" s="239"/>
      <c r="M235" s="293"/>
      <c r="N235" s="239"/>
      <c r="O235" s="239"/>
      <c r="P235" s="237"/>
      <c r="Q235" s="237"/>
      <c r="R235" s="237"/>
      <c r="S235" s="237"/>
      <c r="T235" s="237"/>
      <c r="U235" s="237"/>
      <c r="V235" s="237"/>
      <c r="W235" s="237"/>
      <c r="X235" s="237"/>
      <c r="Y235" s="237"/>
      <c r="Z235" s="237"/>
    </row>
    <row r="236" spans="1:26" ht="19.5" customHeight="1" x14ac:dyDescent="0.2">
      <c r="A236" s="552"/>
      <c r="B236" s="555" t="s">
        <v>125</v>
      </c>
      <c r="C236" s="312" t="s">
        <v>1462</v>
      </c>
      <c r="D236" s="296"/>
      <c r="E236" s="296"/>
      <c r="F236" s="296"/>
      <c r="G236" s="292"/>
      <c r="H236" s="557"/>
      <c r="I236" s="239"/>
      <c r="J236" s="236"/>
      <c r="K236" s="239"/>
      <c r="L236" s="239"/>
      <c r="M236" s="293"/>
      <c r="N236" s="239"/>
      <c r="O236" s="239"/>
      <c r="P236" s="238"/>
      <c r="Q236" s="238"/>
      <c r="R236" s="238"/>
      <c r="S236" s="238"/>
      <c r="T236" s="238"/>
      <c r="U236" s="238"/>
      <c r="V236" s="238"/>
      <c r="W236" s="238"/>
      <c r="X236" s="238"/>
      <c r="Y236" s="238"/>
      <c r="Z236" s="238"/>
    </row>
    <row r="237" spans="1:26" ht="19.5" customHeight="1" x14ac:dyDescent="0.25">
      <c r="A237" s="552"/>
      <c r="B237" s="555" t="s">
        <v>127</v>
      </c>
      <c r="C237" s="294" t="s">
        <v>1463</v>
      </c>
      <c r="D237" s="296"/>
      <c r="E237" s="296"/>
      <c r="F237" s="296"/>
      <c r="G237" s="292"/>
      <c r="H237" s="557"/>
      <c r="I237" s="239"/>
      <c r="J237" s="236"/>
      <c r="K237" s="239"/>
      <c r="L237" s="239"/>
      <c r="M237" s="293"/>
      <c r="N237" s="239"/>
      <c r="O237" s="239"/>
      <c r="P237" s="237"/>
      <c r="Q237" s="237"/>
      <c r="R237" s="237"/>
      <c r="S237" s="237"/>
      <c r="T237" s="237"/>
      <c r="U237" s="237"/>
      <c r="V237" s="237"/>
      <c r="W237" s="237"/>
      <c r="X237" s="237"/>
      <c r="Y237" s="237"/>
      <c r="Z237" s="237"/>
    </row>
    <row r="238" spans="1:26" ht="19.5" customHeight="1" x14ac:dyDescent="0.25">
      <c r="A238" s="552"/>
      <c r="B238" s="557"/>
      <c r="C238" s="292"/>
      <c r="D238" s="296"/>
      <c r="E238" s="296"/>
      <c r="F238" s="296"/>
      <c r="G238" s="292"/>
      <c r="H238" s="557"/>
      <c r="I238" s="239"/>
      <c r="J238" s="236"/>
      <c r="K238" s="239"/>
      <c r="L238" s="239"/>
      <c r="M238" s="293"/>
      <c r="N238" s="239"/>
      <c r="O238" s="239"/>
      <c r="P238" s="237"/>
      <c r="Q238" s="237"/>
      <c r="R238" s="237"/>
      <c r="S238" s="237"/>
      <c r="T238" s="237"/>
      <c r="U238" s="237"/>
      <c r="V238" s="237"/>
      <c r="W238" s="237"/>
      <c r="X238" s="237"/>
      <c r="Y238" s="237"/>
      <c r="Z238" s="237"/>
    </row>
    <row r="239" spans="1:26" ht="19.5" customHeight="1" x14ac:dyDescent="0.25">
      <c r="A239" s="552"/>
      <c r="B239" s="557"/>
      <c r="C239" s="292"/>
      <c r="D239" s="296"/>
      <c r="E239" s="296"/>
      <c r="F239" s="296"/>
      <c r="G239" s="292"/>
      <c r="H239" s="557"/>
      <c r="I239" s="783" t="s">
        <v>1464</v>
      </c>
      <c r="J239" s="613"/>
      <c r="K239" s="613"/>
      <c r="L239" s="613"/>
      <c r="M239" s="293"/>
      <c r="N239" s="239"/>
      <c r="O239" s="239"/>
      <c r="P239" s="237"/>
      <c r="Q239" s="237"/>
      <c r="R239" s="237"/>
      <c r="S239" s="237"/>
      <c r="T239" s="237"/>
      <c r="U239" s="237"/>
      <c r="V239" s="237"/>
      <c r="W239" s="237"/>
      <c r="X239" s="237"/>
      <c r="Y239" s="237"/>
      <c r="Z239" s="237"/>
    </row>
    <row r="240" spans="1:26" ht="19.5" customHeight="1" x14ac:dyDescent="0.25">
      <c r="A240" s="552"/>
      <c r="B240" s="557"/>
      <c r="C240" s="292"/>
      <c r="D240" s="296"/>
      <c r="E240" s="296"/>
      <c r="F240" s="296"/>
      <c r="G240" s="292"/>
      <c r="H240" s="557"/>
      <c r="I240" s="236"/>
      <c r="J240" s="236"/>
      <c r="K240" s="236"/>
      <c r="L240" s="236"/>
      <c r="M240" s="293"/>
      <c r="N240" s="239"/>
      <c r="O240" s="239"/>
      <c r="P240" s="237"/>
      <c r="Q240" s="237"/>
      <c r="R240" s="237"/>
      <c r="S240" s="237"/>
      <c r="T240" s="237"/>
      <c r="U240" s="237"/>
      <c r="V240" s="237"/>
      <c r="W240" s="237"/>
      <c r="X240" s="237"/>
      <c r="Y240" s="237"/>
      <c r="Z240" s="237"/>
    </row>
    <row r="241" spans="1:26" ht="19.5" customHeight="1" x14ac:dyDescent="0.25">
      <c r="A241" s="552"/>
      <c r="B241" s="557"/>
      <c r="C241" s="292"/>
      <c r="D241" s="296"/>
      <c r="E241" s="296"/>
      <c r="F241" s="296"/>
      <c r="G241" s="292"/>
      <c r="H241" s="557"/>
      <c r="I241" s="236"/>
      <c r="J241" s="236"/>
      <c r="K241" s="236"/>
      <c r="L241" s="236"/>
      <c r="M241" s="293"/>
      <c r="N241" s="239"/>
      <c r="O241" s="239"/>
      <c r="P241" s="237"/>
      <c r="Q241" s="237"/>
      <c r="R241" s="237"/>
      <c r="S241" s="237"/>
      <c r="T241" s="237"/>
      <c r="U241" s="237"/>
      <c r="V241" s="237"/>
      <c r="W241" s="237"/>
      <c r="X241" s="237"/>
      <c r="Y241" s="237"/>
      <c r="Z241" s="237"/>
    </row>
    <row r="242" spans="1:26" ht="19.5" customHeight="1" x14ac:dyDescent="0.25">
      <c r="A242" s="552"/>
      <c r="B242" s="557"/>
      <c r="C242" s="292"/>
      <c r="D242" s="296"/>
      <c r="E242" s="296"/>
      <c r="F242" s="296"/>
      <c r="G242" s="292"/>
      <c r="H242" s="557"/>
      <c r="I242" s="239"/>
      <c r="J242" s="236"/>
      <c r="K242" s="239"/>
      <c r="L242" s="237"/>
      <c r="M242" s="293"/>
      <c r="N242" s="239"/>
      <c r="O242" s="239"/>
      <c r="P242" s="237"/>
      <c r="Q242" s="237"/>
      <c r="R242" s="237"/>
      <c r="S242" s="237"/>
      <c r="T242" s="237"/>
      <c r="U242" s="237"/>
      <c r="V242" s="237"/>
      <c r="W242" s="237"/>
      <c r="X242" s="237"/>
      <c r="Y242" s="237"/>
      <c r="Z242" s="237"/>
    </row>
    <row r="243" spans="1:26" ht="19.5" customHeight="1" x14ac:dyDescent="0.25">
      <c r="A243" s="552"/>
      <c r="B243" s="557"/>
      <c r="C243" s="292"/>
      <c r="D243" s="296"/>
      <c r="E243" s="296"/>
      <c r="F243" s="296"/>
      <c r="G243" s="292"/>
      <c r="H243" s="557"/>
      <c r="I243" s="781" t="s">
        <v>1465</v>
      </c>
      <c r="J243" s="637"/>
      <c r="K243" s="637"/>
      <c r="L243" s="637"/>
      <c r="M243" s="293"/>
      <c r="N243" s="239"/>
      <c r="O243" s="239"/>
      <c r="P243" s="237"/>
      <c r="Q243" s="237"/>
      <c r="R243" s="237"/>
      <c r="S243" s="237"/>
      <c r="T243" s="237"/>
      <c r="U243" s="237"/>
      <c r="V243" s="237"/>
      <c r="W243" s="237"/>
      <c r="X243" s="237"/>
      <c r="Y243" s="237"/>
      <c r="Z243" s="237"/>
    </row>
    <row r="244" spans="1:26" ht="19.5" customHeight="1" x14ac:dyDescent="0.25">
      <c r="A244" s="552"/>
      <c r="B244" s="557"/>
      <c r="C244" s="292"/>
      <c r="D244" s="296"/>
      <c r="E244" s="296"/>
      <c r="F244" s="296"/>
      <c r="G244" s="292"/>
      <c r="H244" s="557"/>
      <c r="I244" s="239" t="s">
        <v>1466</v>
      </c>
      <c r="J244" s="236"/>
      <c r="K244" s="237"/>
      <c r="L244" s="237"/>
      <c r="M244" s="293"/>
      <c r="N244" s="239"/>
      <c r="O244" s="239"/>
      <c r="P244" s="237"/>
      <c r="Q244" s="237"/>
      <c r="R244" s="237"/>
      <c r="S244" s="237"/>
      <c r="T244" s="237"/>
      <c r="U244" s="237"/>
      <c r="V244" s="237"/>
      <c r="W244" s="237"/>
      <c r="X244" s="237"/>
      <c r="Y244" s="237"/>
      <c r="Z244" s="237"/>
    </row>
    <row r="245" spans="1:26" ht="19.5" customHeight="1" x14ac:dyDescent="0.25">
      <c r="A245" s="558"/>
      <c r="B245" s="559"/>
      <c r="C245" s="301"/>
      <c r="D245" s="302"/>
      <c r="E245" s="302"/>
      <c r="F245" s="302"/>
      <c r="G245" s="301"/>
      <c r="H245" s="559"/>
      <c r="I245" s="298"/>
      <c r="J245" s="299"/>
      <c r="K245" s="300"/>
      <c r="L245" s="298"/>
      <c r="M245" s="303"/>
      <c r="N245" s="239"/>
      <c r="O245" s="239"/>
      <c r="P245" s="237"/>
      <c r="Q245" s="237"/>
      <c r="R245" s="237"/>
      <c r="S245" s="237"/>
      <c r="T245" s="237"/>
      <c r="U245" s="237"/>
      <c r="V245" s="237"/>
      <c r="W245" s="237"/>
      <c r="X245" s="237"/>
      <c r="Y245" s="237"/>
      <c r="Z245" s="237"/>
    </row>
    <row r="246" spans="1:26" ht="30" customHeight="1" x14ac:dyDescent="0.25">
      <c r="A246" s="289" t="s">
        <v>205</v>
      </c>
      <c r="B246" s="548" t="s">
        <v>264</v>
      </c>
      <c r="C246" s="563"/>
      <c r="D246" s="564"/>
      <c r="E246" s="564"/>
      <c r="F246" s="564"/>
      <c r="G246" s="565"/>
      <c r="H246" s="565"/>
      <c r="I246" s="566"/>
      <c r="J246" s="567"/>
      <c r="K246" s="566"/>
      <c r="L246" s="566"/>
      <c r="M246" s="568"/>
      <c r="N246" s="309"/>
      <c r="O246" s="309"/>
      <c r="P246" s="310"/>
      <c r="Q246" s="311"/>
      <c r="R246" s="311"/>
      <c r="S246" s="311"/>
      <c r="T246" s="311"/>
      <c r="U246" s="311"/>
      <c r="V246" s="311"/>
      <c r="W246" s="311"/>
      <c r="X246" s="311"/>
      <c r="Y246" s="311"/>
      <c r="Z246" s="311"/>
    </row>
    <row r="247" spans="1:26" ht="19.5" customHeight="1" x14ac:dyDescent="0.25">
      <c r="A247" s="552"/>
      <c r="B247" s="555" t="s">
        <v>121</v>
      </c>
      <c r="C247" s="312" t="s">
        <v>1462</v>
      </c>
      <c r="D247" s="296"/>
      <c r="E247" s="296"/>
      <c r="F247" s="296"/>
      <c r="G247" s="292"/>
      <c r="H247" s="557"/>
      <c r="I247" s="239"/>
      <c r="J247" s="236"/>
      <c r="K247" s="239"/>
      <c r="L247" s="239"/>
      <c r="M247" s="293"/>
      <c r="N247" s="239"/>
      <c r="O247" s="239"/>
      <c r="P247" s="237"/>
      <c r="Q247" s="237"/>
      <c r="R247" s="237"/>
      <c r="S247" s="237"/>
      <c r="T247" s="237"/>
      <c r="U247" s="237"/>
      <c r="V247" s="237"/>
      <c r="W247" s="237"/>
      <c r="X247" s="237"/>
      <c r="Y247" s="237"/>
      <c r="Z247" s="237"/>
    </row>
    <row r="248" spans="1:26" ht="19.5" customHeight="1" x14ac:dyDescent="0.25">
      <c r="A248" s="552"/>
      <c r="B248" s="555" t="s">
        <v>123</v>
      </c>
      <c r="C248" s="312" t="s">
        <v>1462</v>
      </c>
      <c r="D248" s="296"/>
      <c r="E248" s="296"/>
      <c r="F248" s="296"/>
      <c r="G248" s="292"/>
      <c r="H248" s="557"/>
      <c r="I248" s="239"/>
      <c r="J248" s="236"/>
      <c r="K248" s="239"/>
      <c r="L248" s="239"/>
      <c r="M248" s="293"/>
      <c r="N248" s="239"/>
      <c r="O248" s="239"/>
      <c r="P248" s="237"/>
      <c r="Q248" s="237"/>
      <c r="R248" s="237"/>
      <c r="S248" s="237"/>
      <c r="T248" s="237"/>
      <c r="U248" s="237"/>
      <c r="V248" s="237"/>
      <c r="W248" s="237"/>
      <c r="X248" s="237"/>
      <c r="Y248" s="237"/>
      <c r="Z248" s="237"/>
    </row>
    <row r="249" spans="1:26" ht="19.5" customHeight="1" x14ac:dyDescent="0.25">
      <c r="A249" s="552"/>
      <c r="B249" s="555" t="s">
        <v>125</v>
      </c>
      <c r="C249" s="312" t="s">
        <v>1462</v>
      </c>
      <c r="D249" s="296"/>
      <c r="E249" s="296"/>
      <c r="F249" s="296"/>
      <c r="G249" s="292"/>
      <c r="H249" s="557"/>
      <c r="I249" s="239"/>
      <c r="J249" s="236"/>
      <c r="K249" s="239"/>
      <c r="L249" s="239"/>
      <c r="M249" s="293"/>
      <c r="N249" s="239"/>
      <c r="O249" s="239"/>
      <c r="P249" s="237"/>
      <c r="Q249" s="237"/>
      <c r="R249" s="237"/>
      <c r="S249" s="237"/>
      <c r="T249" s="237"/>
      <c r="U249" s="237"/>
      <c r="V249" s="237"/>
      <c r="W249" s="237"/>
      <c r="X249" s="237"/>
      <c r="Y249" s="237"/>
      <c r="Z249" s="237"/>
    </row>
    <row r="250" spans="1:26" ht="19.5" customHeight="1" x14ac:dyDescent="0.25">
      <c r="A250" s="552"/>
      <c r="B250" s="555" t="s">
        <v>127</v>
      </c>
      <c r="C250" s="294" t="s">
        <v>1463</v>
      </c>
      <c r="D250" s="239"/>
      <c r="E250" s="239"/>
      <c r="F250" s="239"/>
      <c r="G250" s="239"/>
      <c r="H250" s="569"/>
      <c r="I250" s="782" t="s">
        <v>1460</v>
      </c>
      <c r="J250" s="613"/>
      <c r="K250" s="613"/>
      <c r="L250" s="613"/>
      <c r="M250" s="293"/>
      <c r="N250" s="239"/>
      <c r="O250" s="239"/>
      <c r="P250" s="237"/>
      <c r="Q250" s="237"/>
      <c r="R250" s="237"/>
      <c r="S250" s="237"/>
      <c r="T250" s="237"/>
      <c r="U250" s="237"/>
      <c r="V250" s="237"/>
      <c r="W250" s="237"/>
      <c r="X250" s="237"/>
      <c r="Y250" s="237"/>
      <c r="Z250" s="237"/>
    </row>
    <row r="251" spans="1:26" ht="19.5" customHeight="1" x14ac:dyDescent="0.25">
      <c r="A251" s="552"/>
      <c r="B251" s="239"/>
      <c r="C251" s="239"/>
      <c r="D251" s="239"/>
      <c r="E251" s="239"/>
      <c r="F251" s="239"/>
      <c r="G251" s="239"/>
      <c r="H251" s="569"/>
      <c r="I251" s="239"/>
      <c r="J251" s="236"/>
      <c r="K251" s="239"/>
      <c r="L251" s="237"/>
      <c r="M251" s="293"/>
      <c r="N251" s="239"/>
      <c r="O251" s="239"/>
      <c r="P251" s="237"/>
      <c r="Q251" s="237"/>
      <c r="R251" s="237"/>
      <c r="S251" s="237"/>
      <c r="T251" s="237"/>
      <c r="U251" s="237"/>
      <c r="V251" s="237"/>
      <c r="W251" s="237"/>
      <c r="X251" s="237"/>
      <c r="Y251" s="237"/>
      <c r="Z251" s="237"/>
    </row>
    <row r="252" spans="1:26" ht="19.5" customHeight="1" x14ac:dyDescent="0.25">
      <c r="A252" s="552"/>
      <c r="B252" s="557"/>
      <c r="C252" s="292"/>
      <c r="D252" s="296"/>
      <c r="E252" s="296"/>
      <c r="F252" s="296"/>
      <c r="G252" s="292"/>
      <c r="H252" s="557"/>
      <c r="I252" s="239"/>
      <c r="J252" s="236"/>
      <c r="K252" s="239"/>
      <c r="L252" s="237"/>
      <c r="M252" s="293"/>
      <c r="N252" s="239"/>
      <c r="O252" s="239"/>
      <c r="P252" s="237"/>
      <c r="Q252" s="237"/>
      <c r="R252" s="237"/>
      <c r="S252" s="237"/>
      <c r="T252" s="237"/>
      <c r="U252" s="237"/>
      <c r="V252" s="237"/>
      <c r="W252" s="237"/>
      <c r="X252" s="237"/>
      <c r="Y252" s="237"/>
      <c r="Z252" s="237"/>
    </row>
    <row r="253" spans="1:26" ht="19.5" customHeight="1" x14ac:dyDescent="0.25">
      <c r="A253" s="552"/>
      <c r="B253" s="557"/>
      <c r="C253" s="292"/>
      <c r="D253" s="296"/>
      <c r="E253" s="296"/>
      <c r="F253" s="296"/>
      <c r="G253" s="292"/>
      <c r="H253" s="557"/>
      <c r="I253" s="781" t="s">
        <v>1467</v>
      </c>
      <c r="J253" s="637"/>
      <c r="K253" s="637"/>
      <c r="L253" s="637"/>
      <c r="M253" s="293"/>
      <c r="N253" s="239"/>
      <c r="O253" s="239"/>
      <c r="P253" s="237"/>
      <c r="Q253" s="237"/>
      <c r="R253" s="237"/>
      <c r="S253" s="237"/>
      <c r="T253" s="237"/>
      <c r="U253" s="237"/>
      <c r="V253" s="237"/>
      <c r="W253" s="237"/>
      <c r="X253" s="237"/>
      <c r="Y253" s="237"/>
      <c r="Z253" s="237"/>
    </row>
    <row r="254" spans="1:26" ht="19.5" customHeight="1" x14ac:dyDescent="0.25">
      <c r="A254" s="552"/>
      <c r="B254" s="557"/>
      <c r="C254" s="292"/>
      <c r="D254" s="296"/>
      <c r="E254" s="296"/>
      <c r="F254" s="296"/>
      <c r="G254" s="292"/>
      <c r="H254" s="557"/>
      <c r="I254" s="239" t="s">
        <v>1461</v>
      </c>
      <c r="J254" s="236"/>
      <c r="K254" s="237"/>
      <c r="L254" s="237"/>
      <c r="M254" s="293"/>
      <c r="N254" s="239"/>
      <c r="O254" s="239"/>
      <c r="P254" s="237"/>
      <c r="Q254" s="237"/>
      <c r="R254" s="237"/>
      <c r="S254" s="237"/>
      <c r="T254" s="237"/>
      <c r="U254" s="237"/>
      <c r="V254" s="237"/>
      <c r="W254" s="237"/>
      <c r="X254" s="237"/>
      <c r="Y254" s="237"/>
      <c r="Z254" s="237"/>
    </row>
    <row r="255" spans="1:26" ht="19.5" customHeight="1" x14ac:dyDescent="0.25">
      <c r="A255" s="552"/>
      <c r="B255" s="557"/>
      <c r="C255" s="292"/>
      <c r="D255" s="296"/>
      <c r="E255" s="296"/>
      <c r="F255" s="296"/>
      <c r="G255" s="292"/>
      <c r="H255" s="557"/>
      <c r="I255" s="782" t="s">
        <v>1460</v>
      </c>
      <c r="J255" s="613"/>
      <c r="K255" s="613"/>
      <c r="L255" s="613"/>
      <c r="M255" s="293"/>
      <c r="N255" s="239"/>
      <c r="O255" s="239"/>
      <c r="P255" s="237"/>
      <c r="Q255" s="237"/>
      <c r="R255" s="237"/>
      <c r="S255" s="237"/>
      <c r="T255" s="237"/>
      <c r="U255" s="237"/>
      <c r="V255" s="237"/>
      <c r="W255" s="237"/>
      <c r="X255" s="237"/>
      <c r="Y255" s="237"/>
      <c r="Z255" s="237"/>
    </row>
    <row r="256" spans="1:26" ht="19.5" customHeight="1" x14ac:dyDescent="0.25">
      <c r="A256" s="552"/>
      <c r="B256" s="557"/>
      <c r="C256" s="292"/>
      <c r="D256" s="296"/>
      <c r="E256" s="296"/>
      <c r="F256" s="296"/>
      <c r="G256" s="292"/>
      <c r="H256" s="557"/>
      <c r="I256" s="239"/>
      <c r="J256" s="236"/>
      <c r="K256" s="239"/>
      <c r="L256" s="237"/>
      <c r="M256" s="293"/>
      <c r="N256" s="239"/>
      <c r="O256" s="239"/>
      <c r="P256" s="237"/>
      <c r="Q256" s="237"/>
      <c r="R256" s="237"/>
      <c r="S256" s="237"/>
      <c r="T256" s="237"/>
      <c r="U256" s="237"/>
      <c r="V256" s="237"/>
      <c r="W256" s="237"/>
      <c r="X256" s="237"/>
      <c r="Y256" s="237"/>
      <c r="Z256" s="237"/>
    </row>
    <row r="257" spans="1:26" ht="13.5" customHeight="1" x14ac:dyDescent="0.25">
      <c r="A257" s="552"/>
      <c r="B257" s="557"/>
      <c r="C257" s="292"/>
      <c r="D257" s="296"/>
      <c r="E257" s="296"/>
      <c r="F257" s="296"/>
      <c r="G257" s="292"/>
      <c r="H257" s="557"/>
      <c r="I257" s="239"/>
      <c r="J257" s="236"/>
      <c r="K257" s="239"/>
      <c r="L257" s="237"/>
      <c r="M257" s="293"/>
      <c r="N257" s="239"/>
      <c r="O257" s="239"/>
      <c r="P257" s="237"/>
      <c r="Q257" s="237"/>
      <c r="R257" s="237"/>
      <c r="S257" s="237"/>
      <c r="T257" s="237"/>
      <c r="U257" s="237"/>
      <c r="V257" s="237"/>
      <c r="W257" s="237"/>
      <c r="X257" s="237"/>
      <c r="Y257" s="237"/>
      <c r="Z257" s="237"/>
    </row>
    <row r="258" spans="1:26" ht="19.5" customHeight="1" x14ac:dyDescent="0.25">
      <c r="A258" s="552"/>
      <c r="B258" s="557"/>
      <c r="C258" s="292"/>
      <c r="D258" s="296"/>
      <c r="E258" s="296"/>
      <c r="F258" s="296"/>
      <c r="G258" s="292"/>
      <c r="H258" s="557"/>
      <c r="I258" s="239"/>
      <c r="J258" s="236"/>
      <c r="K258" s="239"/>
      <c r="L258" s="237"/>
      <c r="M258" s="293"/>
      <c r="N258" s="239"/>
      <c r="O258" s="239"/>
      <c r="P258" s="237"/>
      <c r="Q258" s="237"/>
      <c r="R258" s="237"/>
      <c r="S258" s="237"/>
      <c r="T258" s="237"/>
      <c r="U258" s="237"/>
      <c r="V258" s="237"/>
      <c r="W258" s="237"/>
      <c r="X258" s="237"/>
      <c r="Y258" s="237"/>
      <c r="Z258" s="237"/>
    </row>
    <row r="259" spans="1:26" ht="19.5" customHeight="1" x14ac:dyDescent="0.25">
      <c r="A259" s="552"/>
      <c r="B259" s="557"/>
      <c r="C259" s="292"/>
      <c r="D259" s="296"/>
      <c r="E259" s="296"/>
      <c r="F259" s="296"/>
      <c r="G259" s="292"/>
      <c r="H259" s="557"/>
      <c r="I259" s="781" t="s">
        <v>1468</v>
      </c>
      <c r="J259" s="637"/>
      <c r="K259" s="637"/>
      <c r="L259" s="637"/>
      <c r="M259" s="293"/>
      <c r="N259" s="239"/>
      <c r="O259" s="239"/>
      <c r="P259" s="237"/>
      <c r="Q259" s="237"/>
      <c r="R259" s="237"/>
      <c r="S259" s="237"/>
      <c r="T259" s="237"/>
      <c r="U259" s="237"/>
      <c r="V259" s="237"/>
      <c r="W259" s="237"/>
      <c r="X259" s="237"/>
      <c r="Y259" s="237"/>
      <c r="Z259" s="237"/>
    </row>
    <row r="260" spans="1:26" ht="19.5" customHeight="1" x14ac:dyDescent="0.25">
      <c r="A260" s="558"/>
      <c r="B260" s="559"/>
      <c r="C260" s="301"/>
      <c r="D260" s="302"/>
      <c r="E260" s="302"/>
      <c r="F260" s="302"/>
      <c r="G260" s="301"/>
      <c r="H260" s="559"/>
      <c r="I260" s="298" t="s">
        <v>1466</v>
      </c>
      <c r="J260" s="299"/>
      <c r="K260" s="300"/>
      <c r="L260" s="300"/>
      <c r="M260" s="303"/>
      <c r="N260" s="239"/>
      <c r="O260" s="239"/>
      <c r="P260" s="237"/>
      <c r="Q260" s="237"/>
      <c r="R260" s="237"/>
      <c r="S260" s="237"/>
      <c r="T260" s="237"/>
      <c r="U260" s="237"/>
      <c r="V260" s="237"/>
      <c r="W260" s="237"/>
      <c r="X260" s="237"/>
      <c r="Y260" s="237"/>
      <c r="Z260" s="237"/>
    </row>
    <row r="261" spans="1:26" ht="30" customHeight="1" x14ac:dyDescent="0.25">
      <c r="A261" s="560" t="s">
        <v>268</v>
      </c>
      <c r="B261" s="561" t="s">
        <v>269</v>
      </c>
      <c r="C261" s="562"/>
      <c r="D261" s="304"/>
      <c r="E261" s="304"/>
      <c r="F261" s="304"/>
      <c r="G261" s="305"/>
      <c r="H261" s="305"/>
      <c r="I261" s="306"/>
      <c r="J261" s="307"/>
      <c r="K261" s="306"/>
      <c r="L261" s="306"/>
      <c r="M261" s="308"/>
      <c r="N261" s="309"/>
      <c r="O261" s="309"/>
      <c r="P261" s="310"/>
      <c r="Q261" s="311"/>
      <c r="R261" s="311"/>
      <c r="S261" s="311"/>
      <c r="T261" s="311"/>
      <c r="U261" s="311"/>
      <c r="V261" s="311"/>
      <c r="W261" s="311"/>
      <c r="X261" s="311"/>
      <c r="Y261" s="311"/>
      <c r="Z261" s="311"/>
    </row>
    <row r="262" spans="1:26" ht="18" customHeight="1" x14ac:dyDescent="0.25">
      <c r="A262" s="552"/>
      <c r="B262" s="555" t="s">
        <v>121</v>
      </c>
      <c r="C262" s="312" t="s">
        <v>1462</v>
      </c>
      <c r="D262" s="296"/>
      <c r="E262" s="296"/>
      <c r="F262" s="296"/>
      <c r="G262" s="292"/>
      <c r="H262" s="557"/>
      <c r="I262" s="239"/>
      <c r="J262" s="236"/>
      <c r="K262" s="239"/>
      <c r="L262" s="239"/>
      <c r="M262" s="293"/>
      <c r="N262" s="239"/>
      <c r="O262" s="239"/>
      <c r="P262" s="237"/>
      <c r="Q262" s="237"/>
      <c r="R262" s="237"/>
      <c r="S262" s="237"/>
      <c r="T262" s="237"/>
      <c r="U262" s="237"/>
      <c r="V262" s="237"/>
      <c r="W262" s="237"/>
      <c r="X262" s="237"/>
      <c r="Y262" s="237"/>
      <c r="Z262" s="237"/>
    </row>
    <row r="263" spans="1:26" ht="18" customHeight="1" x14ac:dyDescent="0.25">
      <c r="A263" s="552"/>
      <c r="B263" s="555" t="s">
        <v>123</v>
      </c>
      <c r="C263" s="312" t="s">
        <v>1462</v>
      </c>
      <c r="D263" s="296"/>
      <c r="E263" s="296"/>
      <c r="F263" s="296"/>
      <c r="G263" s="292"/>
      <c r="H263" s="557"/>
      <c r="I263" s="239"/>
      <c r="J263" s="236"/>
      <c r="K263" s="239"/>
      <c r="L263" s="239"/>
      <c r="M263" s="293"/>
      <c r="N263" s="239"/>
      <c r="O263" s="239"/>
      <c r="P263" s="237"/>
      <c r="Q263" s="237"/>
      <c r="R263" s="237"/>
      <c r="S263" s="237"/>
      <c r="T263" s="237"/>
      <c r="U263" s="237"/>
      <c r="V263" s="237"/>
      <c r="W263" s="237"/>
      <c r="X263" s="237"/>
      <c r="Y263" s="237"/>
      <c r="Z263" s="237"/>
    </row>
    <row r="264" spans="1:26" ht="18" customHeight="1" x14ac:dyDescent="0.25">
      <c r="A264" s="552"/>
      <c r="B264" s="555" t="s">
        <v>125</v>
      </c>
      <c r="C264" s="312" t="s">
        <v>1462</v>
      </c>
      <c r="D264" s="296"/>
      <c r="E264" s="296"/>
      <c r="F264" s="296"/>
      <c r="G264" s="292"/>
      <c r="H264" s="557"/>
      <c r="I264" s="239"/>
      <c r="J264" s="236"/>
      <c r="K264" s="239"/>
      <c r="L264" s="239"/>
      <c r="M264" s="293"/>
      <c r="N264" s="239"/>
      <c r="O264" s="239"/>
      <c r="P264" s="237"/>
      <c r="Q264" s="237"/>
      <c r="R264" s="237"/>
      <c r="S264" s="237"/>
      <c r="T264" s="237"/>
      <c r="U264" s="237"/>
      <c r="V264" s="237"/>
      <c r="W264" s="237"/>
      <c r="X264" s="237"/>
      <c r="Y264" s="237"/>
      <c r="Z264" s="237"/>
    </row>
    <row r="265" spans="1:26" ht="18" customHeight="1" x14ac:dyDescent="0.25">
      <c r="A265" s="552"/>
      <c r="B265" s="555" t="s">
        <v>127</v>
      </c>
      <c r="C265" s="294" t="s">
        <v>1463</v>
      </c>
      <c r="D265" s="296"/>
      <c r="E265" s="296"/>
      <c r="F265" s="296"/>
      <c r="G265" s="292"/>
      <c r="H265" s="557"/>
      <c r="I265" s="239"/>
      <c r="J265" s="236"/>
      <c r="K265" s="239"/>
      <c r="L265" s="239"/>
      <c r="M265" s="293"/>
      <c r="N265" s="239"/>
      <c r="O265" s="239"/>
      <c r="P265" s="237"/>
      <c r="Q265" s="237"/>
      <c r="R265" s="237"/>
      <c r="S265" s="237"/>
      <c r="T265" s="237"/>
      <c r="U265" s="237"/>
      <c r="V265" s="237"/>
      <c r="W265" s="237"/>
      <c r="X265" s="237"/>
      <c r="Y265" s="237"/>
      <c r="Z265" s="237"/>
    </row>
    <row r="266" spans="1:26" ht="18" customHeight="1" x14ac:dyDescent="0.25">
      <c r="A266" s="552"/>
      <c r="B266" s="557"/>
      <c r="C266" s="292"/>
      <c r="D266" s="296"/>
      <c r="E266" s="296"/>
      <c r="F266" s="296"/>
      <c r="G266" s="292"/>
      <c r="H266" s="557"/>
      <c r="I266" s="780" t="s">
        <v>1469</v>
      </c>
      <c r="J266" s="613"/>
      <c r="K266" s="613"/>
      <c r="L266" s="613"/>
      <c r="M266" s="293"/>
      <c r="N266" s="239"/>
      <c r="O266" s="239"/>
      <c r="P266" s="237"/>
      <c r="Q266" s="237"/>
      <c r="R266" s="237"/>
      <c r="S266" s="237"/>
      <c r="T266" s="237"/>
      <c r="U266" s="237"/>
      <c r="V266" s="237"/>
      <c r="W266" s="237"/>
      <c r="X266" s="237"/>
      <c r="Y266" s="237"/>
      <c r="Z266" s="237"/>
    </row>
    <row r="267" spans="1:26" ht="18" customHeight="1" x14ac:dyDescent="0.25">
      <c r="A267" s="552"/>
      <c r="B267" s="557"/>
      <c r="C267" s="292"/>
      <c r="D267" s="296"/>
      <c r="E267" s="296"/>
      <c r="F267" s="296"/>
      <c r="G267" s="292"/>
      <c r="H267" s="557"/>
      <c r="I267" s="236"/>
      <c r="J267" s="236"/>
      <c r="K267" s="236"/>
      <c r="L267" s="237"/>
      <c r="M267" s="313"/>
      <c r="N267" s="236"/>
      <c r="O267" s="239"/>
      <c r="P267" s="237"/>
      <c r="Q267" s="237"/>
      <c r="R267" s="237"/>
      <c r="S267" s="237"/>
      <c r="T267" s="237"/>
      <c r="U267" s="237"/>
      <c r="V267" s="237"/>
      <c r="W267" s="237"/>
      <c r="X267" s="237"/>
      <c r="Y267" s="237"/>
      <c r="Z267" s="237"/>
    </row>
    <row r="268" spans="1:26" ht="18" customHeight="1" x14ac:dyDescent="0.25">
      <c r="A268" s="552"/>
      <c r="B268" s="557"/>
      <c r="C268" s="292"/>
      <c r="D268" s="296"/>
      <c r="E268" s="296"/>
      <c r="F268" s="296"/>
      <c r="G268" s="292"/>
      <c r="H268" s="557"/>
      <c r="I268" s="239"/>
      <c r="J268" s="236"/>
      <c r="K268" s="239"/>
      <c r="L268" s="237"/>
      <c r="M268" s="293"/>
      <c r="N268" s="239"/>
      <c r="O268" s="239"/>
      <c r="P268" s="237"/>
      <c r="Q268" s="237"/>
      <c r="R268" s="237"/>
      <c r="S268" s="237"/>
      <c r="T268" s="237"/>
      <c r="U268" s="237"/>
      <c r="V268" s="237"/>
      <c r="W268" s="237"/>
      <c r="X268" s="237"/>
      <c r="Y268" s="237"/>
      <c r="Z268" s="237"/>
    </row>
    <row r="269" spans="1:26" ht="18" customHeight="1" x14ac:dyDescent="0.25">
      <c r="A269" s="552"/>
      <c r="B269" s="557"/>
      <c r="C269" s="292"/>
      <c r="D269" s="296"/>
      <c r="E269" s="296"/>
      <c r="F269" s="296"/>
      <c r="G269" s="292"/>
      <c r="H269" s="557"/>
      <c r="I269" s="781" t="s">
        <v>1470</v>
      </c>
      <c r="J269" s="637"/>
      <c r="K269" s="637"/>
      <c r="L269" s="637"/>
      <c r="M269" s="293"/>
      <c r="N269" s="239"/>
      <c r="O269" s="239"/>
      <c r="P269" s="237"/>
      <c r="Q269" s="237"/>
      <c r="R269" s="237"/>
      <c r="S269" s="237"/>
      <c r="T269" s="237"/>
      <c r="U269" s="237"/>
      <c r="V269" s="237"/>
      <c r="W269" s="237"/>
      <c r="X269" s="237"/>
      <c r="Y269" s="237"/>
      <c r="Z269" s="237"/>
    </row>
    <row r="270" spans="1:26" ht="18" customHeight="1" x14ac:dyDescent="0.25">
      <c r="A270" s="552"/>
      <c r="B270" s="557"/>
      <c r="C270" s="292"/>
      <c r="D270" s="296"/>
      <c r="E270" s="296"/>
      <c r="F270" s="296"/>
      <c r="G270" s="292"/>
      <c r="H270" s="557"/>
      <c r="I270" s="239" t="s">
        <v>1471</v>
      </c>
      <c r="J270" s="236"/>
      <c r="K270" s="237"/>
      <c r="L270" s="237"/>
      <c r="M270" s="293"/>
      <c r="N270" s="239"/>
      <c r="O270" s="239"/>
      <c r="P270" s="237"/>
      <c r="Q270" s="237"/>
      <c r="R270" s="237"/>
      <c r="S270" s="237"/>
      <c r="T270" s="237"/>
      <c r="U270" s="237"/>
      <c r="V270" s="237"/>
      <c r="W270" s="237"/>
      <c r="X270" s="237"/>
      <c r="Y270" s="237"/>
      <c r="Z270" s="237"/>
    </row>
    <row r="271" spans="1:26" ht="18" customHeight="1" x14ac:dyDescent="0.25">
      <c r="A271" s="552"/>
      <c r="B271" s="292"/>
      <c r="C271" s="292"/>
      <c r="D271" s="296"/>
      <c r="E271" s="296"/>
      <c r="F271" s="296"/>
      <c r="G271" s="292"/>
      <c r="H271" s="557"/>
      <c r="I271" s="239"/>
      <c r="J271" s="236"/>
      <c r="K271" s="237"/>
      <c r="L271" s="237"/>
      <c r="M271" s="293"/>
      <c r="N271" s="239"/>
      <c r="O271" s="239"/>
      <c r="P271" s="237"/>
      <c r="Q271" s="237"/>
      <c r="R271" s="237"/>
      <c r="S271" s="237"/>
      <c r="T271" s="237"/>
      <c r="U271" s="237"/>
      <c r="V271" s="237"/>
      <c r="W271" s="237"/>
      <c r="X271" s="237"/>
      <c r="Y271" s="237"/>
      <c r="Z271" s="237"/>
    </row>
    <row r="272" spans="1:26" ht="18" customHeight="1" x14ac:dyDescent="0.25">
      <c r="A272" s="552"/>
      <c r="B272" s="292"/>
      <c r="C272" s="292"/>
      <c r="D272" s="296"/>
      <c r="E272" s="296"/>
      <c r="F272" s="296"/>
      <c r="G272" s="292"/>
      <c r="H272" s="557"/>
      <c r="I272" s="239"/>
      <c r="J272" s="236"/>
      <c r="K272" s="237"/>
      <c r="L272" s="237"/>
      <c r="M272" s="293"/>
      <c r="N272" s="239"/>
      <c r="O272" s="239"/>
      <c r="P272" s="237"/>
      <c r="Q272" s="237"/>
      <c r="R272" s="237"/>
      <c r="S272" s="237"/>
      <c r="T272" s="237"/>
      <c r="U272" s="237"/>
      <c r="V272" s="237"/>
      <c r="W272" s="237"/>
      <c r="X272" s="237"/>
      <c r="Y272" s="237"/>
      <c r="Z272" s="237"/>
    </row>
    <row r="273" spans="1:26" ht="19.5" customHeight="1" x14ac:dyDescent="0.25">
      <c r="A273" s="558"/>
      <c r="B273" s="559"/>
      <c r="C273" s="301"/>
      <c r="D273" s="302"/>
      <c r="E273" s="302"/>
      <c r="F273" s="302"/>
      <c r="G273" s="301"/>
      <c r="H273" s="559"/>
      <c r="I273" s="298"/>
      <c r="J273" s="299"/>
      <c r="K273" s="300"/>
      <c r="L273" s="298"/>
      <c r="M273" s="303"/>
      <c r="N273" s="239"/>
      <c r="O273" s="239"/>
      <c r="P273" s="237"/>
      <c r="Q273" s="237"/>
      <c r="R273" s="237"/>
      <c r="S273" s="237"/>
      <c r="T273" s="237"/>
      <c r="U273" s="237"/>
      <c r="V273" s="237"/>
      <c r="W273" s="237"/>
      <c r="X273" s="237"/>
      <c r="Y273" s="237"/>
      <c r="Z273" s="237"/>
    </row>
    <row r="274" spans="1:26" ht="24.75" customHeight="1" x14ac:dyDescent="0.25">
      <c r="A274" s="236"/>
      <c r="B274" s="237"/>
      <c r="C274" s="236"/>
      <c r="D274" s="238"/>
      <c r="E274" s="238"/>
      <c r="F274" s="238"/>
      <c r="G274" s="239"/>
      <c r="H274" s="241"/>
      <c r="I274" s="244"/>
      <c r="J274" s="241"/>
      <c r="K274" s="237"/>
      <c r="L274" s="237"/>
      <c r="M274" s="237"/>
      <c r="N274" s="237"/>
      <c r="O274" s="237"/>
      <c r="P274" s="237"/>
      <c r="Q274" s="237"/>
      <c r="R274" s="237"/>
      <c r="S274" s="237"/>
      <c r="T274" s="237"/>
      <c r="U274" s="237"/>
      <c r="V274" s="237"/>
      <c r="W274" s="237"/>
      <c r="X274" s="237"/>
      <c r="Y274" s="237"/>
      <c r="Z274" s="237"/>
    </row>
    <row r="275" spans="1:26" ht="24.75" customHeight="1" x14ac:dyDescent="0.25">
      <c r="A275" s="236"/>
      <c r="B275" s="237"/>
      <c r="C275" s="236"/>
      <c r="D275" s="238"/>
      <c r="E275" s="238"/>
      <c r="F275" s="238"/>
      <c r="G275" s="239"/>
      <c r="H275" s="241"/>
      <c r="I275" s="244"/>
      <c r="J275" s="241"/>
      <c r="K275" s="237"/>
      <c r="L275" s="237"/>
      <c r="M275" s="237"/>
      <c r="N275" s="237"/>
      <c r="O275" s="237"/>
      <c r="P275" s="237"/>
      <c r="Q275" s="237"/>
      <c r="R275" s="237"/>
      <c r="S275" s="237"/>
      <c r="T275" s="237"/>
      <c r="U275" s="237"/>
      <c r="V275" s="237"/>
      <c r="W275" s="237"/>
      <c r="X275" s="237"/>
      <c r="Y275" s="237"/>
      <c r="Z275" s="237"/>
    </row>
    <row r="276" spans="1:26" ht="24.75" customHeight="1" x14ac:dyDescent="0.25">
      <c r="A276" s="236"/>
      <c r="B276" s="237"/>
      <c r="C276" s="236"/>
      <c r="D276" s="238"/>
      <c r="E276" s="238"/>
      <c r="F276" s="238"/>
      <c r="G276" s="239"/>
      <c r="H276" s="241"/>
      <c r="I276" s="244"/>
      <c r="J276" s="241"/>
      <c r="K276" s="237"/>
      <c r="L276" s="237"/>
      <c r="M276" s="237"/>
      <c r="N276" s="237"/>
      <c r="O276" s="237"/>
      <c r="P276" s="237"/>
      <c r="Q276" s="237"/>
      <c r="R276" s="237"/>
      <c r="S276" s="237"/>
      <c r="T276" s="237"/>
      <c r="U276" s="237"/>
      <c r="V276" s="237"/>
      <c r="W276" s="237"/>
      <c r="X276" s="237"/>
      <c r="Y276" s="237"/>
      <c r="Z276" s="237"/>
    </row>
    <row r="277" spans="1:26" ht="24.75" customHeight="1" x14ac:dyDescent="0.25">
      <c r="A277" s="236"/>
      <c r="B277" s="237"/>
      <c r="C277" s="236"/>
      <c r="D277" s="238"/>
      <c r="E277" s="238"/>
      <c r="F277" s="238"/>
      <c r="G277" s="239"/>
      <c r="H277" s="241"/>
      <c r="I277" s="244"/>
      <c r="J277" s="241"/>
      <c r="K277" s="237"/>
      <c r="L277" s="237"/>
      <c r="M277" s="237"/>
      <c r="N277" s="237"/>
      <c r="O277" s="237"/>
      <c r="P277" s="237"/>
      <c r="Q277" s="237"/>
      <c r="R277" s="237"/>
      <c r="S277" s="237"/>
      <c r="T277" s="237"/>
      <c r="U277" s="237"/>
      <c r="V277" s="237"/>
      <c r="W277" s="237"/>
      <c r="X277" s="237"/>
      <c r="Y277" s="237"/>
      <c r="Z277" s="237"/>
    </row>
    <row r="278" spans="1:26" ht="24.75" customHeight="1" x14ac:dyDescent="0.25">
      <c r="A278" s="236"/>
      <c r="B278" s="237"/>
      <c r="C278" s="236"/>
      <c r="D278" s="238"/>
      <c r="E278" s="238"/>
      <c r="F278" s="238"/>
      <c r="G278" s="239"/>
      <c r="H278" s="241"/>
      <c r="I278" s="244"/>
      <c r="J278" s="241"/>
      <c r="K278" s="237"/>
      <c r="L278" s="237"/>
      <c r="M278" s="237"/>
      <c r="N278" s="237"/>
      <c r="O278" s="237"/>
      <c r="P278" s="237"/>
      <c r="Q278" s="237"/>
      <c r="R278" s="237"/>
      <c r="S278" s="237"/>
      <c r="T278" s="237"/>
      <c r="U278" s="237"/>
      <c r="V278" s="237"/>
      <c r="W278" s="237"/>
      <c r="X278" s="237"/>
      <c r="Y278" s="237"/>
      <c r="Z278" s="237"/>
    </row>
    <row r="279" spans="1:26" ht="24.75" customHeight="1" x14ac:dyDescent="0.25">
      <c r="A279" s="236"/>
      <c r="B279" s="237"/>
      <c r="C279" s="236"/>
      <c r="D279" s="238"/>
      <c r="E279" s="238"/>
      <c r="F279" s="238"/>
      <c r="G279" s="239"/>
      <c r="H279" s="241"/>
      <c r="I279" s="244"/>
      <c r="J279" s="241"/>
      <c r="K279" s="237"/>
      <c r="L279" s="237"/>
      <c r="M279" s="237"/>
      <c r="N279" s="237"/>
      <c r="O279" s="237"/>
      <c r="P279" s="237"/>
      <c r="Q279" s="237"/>
      <c r="R279" s="237"/>
      <c r="S279" s="237"/>
      <c r="T279" s="237"/>
      <c r="U279" s="237"/>
      <c r="V279" s="237"/>
      <c r="W279" s="237"/>
      <c r="X279" s="237"/>
      <c r="Y279" s="237"/>
      <c r="Z279" s="237"/>
    </row>
    <row r="280" spans="1:26" ht="24.75" customHeight="1" x14ac:dyDescent="0.25">
      <c r="A280" s="236"/>
      <c r="B280" s="237"/>
      <c r="C280" s="236"/>
      <c r="D280" s="238"/>
      <c r="E280" s="238"/>
      <c r="F280" s="238"/>
      <c r="G280" s="239"/>
      <c r="H280" s="241"/>
      <c r="I280" s="244"/>
      <c r="J280" s="241"/>
      <c r="K280" s="237"/>
      <c r="L280" s="237"/>
      <c r="M280" s="237"/>
      <c r="N280" s="237"/>
      <c r="O280" s="237"/>
      <c r="P280" s="237"/>
      <c r="Q280" s="237"/>
      <c r="R280" s="237"/>
      <c r="S280" s="237"/>
      <c r="T280" s="237"/>
      <c r="U280" s="237"/>
      <c r="V280" s="237"/>
      <c r="W280" s="237"/>
      <c r="X280" s="237"/>
      <c r="Y280" s="237"/>
      <c r="Z280" s="237"/>
    </row>
    <row r="281" spans="1:26" ht="24.75" customHeight="1" x14ac:dyDescent="0.25">
      <c r="A281" s="236"/>
      <c r="B281" s="237"/>
      <c r="C281" s="236"/>
      <c r="D281" s="238"/>
      <c r="E281" s="238"/>
      <c r="F281" s="238"/>
      <c r="G281" s="239"/>
      <c r="H281" s="241"/>
      <c r="I281" s="244"/>
      <c r="J281" s="241"/>
      <c r="K281" s="237"/>
      <c r="L281" s="237"/>
      <c r="M281" s="237"/>
      <c r="N281" s="237"/>
      <c r="O281" s="237"/>
      <c r="P281" s="237"/>
      <c r="Q281" s="237"/>
      <c r="R281" s="237"/>
      <c r="S281" s="237"/>
      <c r="T281" s="237"/>
      <c r="U281" s="237"/>
      <c r="V281" s="237"/>
      <c r="W281" s="237"/>
      <c r="X281" s="237"/>
      <c r="Y281" s="237"/>
      <c r="Z281" s="237"/>
    </row>
    <row r="282" spans="1:26" ht="24.75" customHeight="1" x14ac:dyDescent="0.25">
      <c r="A282" s="236"/>
      <c r="B282" s="237"/>
      <c r="C282" s="236"/>
      <c r="D282" s="238"/>
      <c r="E282" s="238"/>
      <c r="F282" s="238"/>
      <c r="G282" s="239"/>
      <c r="H282" s="241"/>
      <c r="I282" s="244"/>
      <c r="J282" s="241"/>
      <c r="K282" s="237"/>
      <c r="L282" s="237"/>
      <c r="M282" s="237"/>
      <c r="N282" s="237"/>
      <c r="O282" s="237"/>
      <c r="P282" s="237"/>
      <c r="Q282" s="237"/>
      <c r="R282" s="237"/>
      <c r="S282" s="237"/>
      <c r="T282" s="237"/>
      <c r="U282" s="237"/>
      <c r="V282" s="237"/>
      <c r="W282" s="237"/>
      <c r="X282" s="237"/>
      <c r="Y282" s="237"/>
      <c r="Z282" s="237"/>
    </row>
    <row r="283" spans="1:26" ht="24.75" customHeight="1" x14ac:dyDescent="0.25">
      <c r="A283" s="236"/>
      <c r="B283" s="237"/>
      <c r="C283" s="236"/>
      <c r="D283" s="238"/>
      <c r="E283" s="238"/>
      <c r="F283" s="238"/>
      <c r="G283" s="239"/>
      <c r="H283" s="241"/>
      <c r="I283" s="244"/>
      <c r="J283" s="241"/>
      <c r="K283" s="237"/>
      <c r="L283" s="237"/>
      <c r="M283" s="237"/>
      <c r="N283" s="237"/>
      <c r="O283" s="237"/>
      <c r="P283" s="237"/>
      <c r="Q283" s="237"/>
      <c r="R283" s="237"/>
      <c r="S283" s="237"/>
      <c r="T283" s="237"/>
      <c r="U283" s="237"/>
      <c r="V283" s="237"/>
      <c r="W283" s="237"/>
      <c r="X283" s="237"/>
      <c r="Y283" s="237"/>
      <c r="Z283" s="237"/>
    </row>
    <row r="284" spans="1:26" ht="24.75" customHeight="1" x14ac:dyDescent="0.25">
      <c r="A284" s="236"/>
      <c r="B284" s="237"/>
      <c r="C284" s="236"/>
      <c r="D284" s="238"/>
      <c r="E284" s="238"/>
      <c r="F284" s="238"/>
      <c r="G284" s="239"/>
      <c r="H284" s="241"/>
      <c r="I284" s="244"/>
      <c r="J284" s="241"/>
      <c r="K284" s="237"/>
      <c r="L284" s="237"/>
      <c r="M284" s="237"/>
      <c r="N284" s="237"/>
      <c r="O284" s="237"/>
      <c r="P284" s="237"/>
      <c r="Q284" s="237"/>
      <c r="R284" s="237"/>
      <c r="S284" s="237"/>
      <c r="T284" s="237"/>
      <c r="U284" s="237"/>
      <c r="V284" s="237"/>
      <c r="W284" s="237"/>
      <c r="X284" s="237"/>
      <c r="Y284" s="237"/>
      <c r="Z284" s="237"/>
    </row>
    <row r="285" spans="1:26" ht="24.75" customHeight="1" x14ac:dyDescent="0.25">
      <c r="A285" s="236"/>
      <c r="B285" s="237"/>
      <c r="C285" s="236"/>
      <c r="D285" s="238"/>
      <c r="E285" s="238"/>
      <c r="F285" s="238"/>
      <c r="G285" s="239"/>
      <c r="H285" s="241"/>
      <c r="I285" s="244"/>
      <c r="J285" s="241"/>
      <c r="K285" s="237"/>
      <c r="L285" s="237"/>
      <c r="M285" s="237"/>
      <c r="N285" s="237"/>
      <c r="O285" s="237"/>
      <c r="P285" s="237"/>
      <c r="Q285" s="237"/>
      <c r="R285" s="237"/>
      <c r="S285" s="237"/>
      <c r="T285" s="237"/>
      <c r="U285" s="237"/>
      <c r="V285" s="237"/>
      <c r="W285" s="237"/>
      <c r="X285" s="237"/>
      <c r="Y285" s="237"/>
      <c r="Z285" s="237"/>
    </row>
    <row r="286" spans="1:26" ht="24.75" customHeight="1" x14ac:dyDescent="0.25">
      <c r="A286" s="236"/>
      <c r="B286" s="237"/>
      <c r="C286" s="236"/>
      <c r="D286" s="238"/>
      <c r="E286" s="238"/>
      <c r="F286" s="238"/>
      <c r="G286" s="239"/>
      <c r="H286" s="241"/>
      <c r="I286" s="244"/>
      <c r="J286" s="241"/>
      <c r="K286" s="237"/>
      <c r="L286" s="237"/>
      <c r="M286" s="237"/>
      <c r="N286" s="237"/>
      <c r="O286" s="237"/>
      <c r="P286" s="237"/>
      <c r="Q286" s="237"/>
      <c r="R286" s="237"/>
      <c r="S286" s="237"/>
      <c r="T286" s="237"/>
      <c r="U286" s="237"/>
      <c r="V286" s="237"/>
      <c r="W286" s="237"/>
      <c r="X286" s="237"/>
      <c r="Y286" s="237"/>
      <c r="Z286" s="237"/>
    </row>
    <row r="287" spans="1:26" ht="24.75" customHeight="1" x14ac:dyDescent="0.25">
      <c r="A287" s="236"/>
      <c r="B287" s="237"/>
      <c r="C287" s="236"/>
      <c r="D287" s="238"/>
      <c r="E287" s="238"/>
      <c r="F287" s="238"/>
      <c r="G287" s="239"/>
      <c r="H287" s="241"/>
      <c r="I287" s="244"/>
      <c r="J287" s="241"/>
      <c r="K287" s="237"/>
      <c r="L287" s="237"/>
      <c r="M287" s="237"/>
      <c r="N287" s="237"/>
      <c r="O287" s="237"/>
      <c r="P287" s="237"/>
      <c r="Q287" s="237"/>
      <c r="R287" s="237"/>
      <c r="S287" s="237"/>
      <c r="T287" s="237"/>
      <c r="U287" s="237"/>
      <c r="V287" s="237"/>
      <c r="W287" s="237"/>
      <c r="X287" s="237"/>
      <c r="Y287" s="237"/>
      <c r="Z287" s="237"/>
    </row>
    <row r="288" spans="1:26" ht="24.75" customHeight="1" x14ac:dyDescent="0.25">
      <c r="A288" s="236"/>
      <c r="B288" s="237"/>
      <c r="C288" s="236"/>
      <c r="D288" s="238"/>
      <c r="E288" s="238"/>
      <c r="F288" s="238"/>
      <c r="G288" s="239"/>
      <c r="H288" s="241"/>
      <c r="I288" s="244"/>
      <c r="J288" s="241"/>
      <c r="K288" s="237"/>
      <c r="L288" s="237"/>
      <c r="M288" s="237"/>
      <c r="N288" s="237"/>
      <c r="O288" s="237"/>
      <c r="P288" s="237"/>
      <c r="Q288" s="237"/>
      <c r="R288" s="237"/>
      <c r="S288" s="237"/>
      <c r="T288" s="237"/>
      <c r="U288" s="237"/>
      <c r="V288" s="237"/>
      <c r="W288" s="237"/>
      <c r="X288" s="237"/>
      <c r="Y288" s="237"/>
      <c r="Z288" s="237"/>
    </row>
    <row r="289" spans="1:26" ht="24.75" customHeight="1" x14ac:dyDescent="0.25">
      <c r="A289" s="236"/>
      <c r="B289" s="237"/>
      <c r="C289" s="236"/>
      <c r="D289" s="238"/>
      <c r="E289" s="238"/>
      <c r="F289" s="238"/>
      <c r="G289" s="239"/>
      <c r="H289" s="241"/>
      <c r="I289" s="244"/>
      <c r="J289" s="241"/>
      <c r="K289" s="237"/>
      <c r="L289" s="237"/>
      <c r="M289" s="237"/>
      <c r="N289" s="237"/>
      <c r="O289" s="237"/>
      <c r="P289" s="237"/>
      <c r="Q289" s="237"/>
      <c r="R289" s="237"/>
      <c r="S289" s="237"/>
      <c r="T289" s="237"/>
      <c r="U289" s="237"/>
      <c r="V289" s="237"/>
      <c r="W289" s="237"/>
      <c r="X289" s="237"/>
      <c r="Y289" s="237"/>
      <c r="Z289" s="237"/>
    </row>
    <row r="290" spans="1:26" ht="24.75" customHeight="1" x14ac:dyDescent="0.25">
      <c r="A290" s="236"/>
      <c r="B290" s="237"/>
      <c r="C290" s="236"/>
      <c r="D290" s="238"/>
      <c r="E290" s="238"/>
      <c r="F290" s="238"/>
      <c r="G290" s="239"/>
      <c r="H290" s="241"/>
      <c r="I290" s="244"/>
      <c r="J290" s="241"/>
      <c r="K290" s="237"/>
      <c r="L290" s="237"/>
      <c r="M290" s="237"/>
      <c r="N290" s="237"/>
      <c r="O290" s="237"/>
      <c r="P290" s="237"/>
      <c r="Q290" s="237"/>
      <c r="R290" s="237"/>
      <c r="S290" s="237"/>
      <c r="T290" s="237"/>
      <c r="U290" s="237"/>
      <c r="V290" s="237"/>
      <c r="W290" s="237"/>
      <c r="X290" s="237"/>
      <c r="Y290" s="237"/>
      <c r="Z290" s="237"/>
    </row>
    <row r="291" spans="1:26" ht="24.75" customHeight="1" x14ac:dyDescent="0.25">
      <c r="A291" s="236"/>
      <c r="B291" s="237"/>
      <c r="C291" s="236"/>
      <c r="D291" s="238"/>
      <c r="E291" s="238"/>
      <c r="F291" s="238"/>
      <c r="G291" s="239"/>
      <c r="H291" s="241"/>
      <c r="I291" s="244"/>
      <c r="J291" s="241"/>
      <c r="K291" s="237"/>
      <c r="L291" s="237"/>
      <c r="M291" s="237"/>
      <c r="N291" s="237"/>
      <c r="O291" s="237"/>
      <c r="P291" s="237"/>
      <c r="Q291" s="237"/>
      <c r="R291" s="237"/>
      <c r="S291" s="237"/>
      <c r="T291" s="237"/>
      <c r="U291" s="237"/>
      <c r="V291" s="237"/>
      <c r="W291" s="237"/>
      <c r="X291" s="237"/>
      <c r="Y291" s="237"/>
      <c r="Z291" s="237"/>
    </row>
    <row r="292" spans="1:26" ht="24.75" customHeight="1" x14ac:dyDescent="0.25">
      <c r="A292" s="236"/>
      <c r="B292" s="237"/>
      <c r="C292" s="236"/>
      <c r="D292" s="238"/>
      <c r="E292" s="238"/>
      <c r="F292" s="238"/>
      <c r="G292" s="239"/>
      <c r="H292" s="241"/>
      <c r="I292" s="244"/>
      <c r="J292" s="241"/>
      <c r="K292" s="237"/>
      <c r="L292" s="237"/>
      <c r="M292" s="237"/>
      <c r="N292" s="237"/>
      <c r="O292" s="237"/>
      <c r="P292" s="237"/>
      <c r="Q292" s="237"/>
      <c r="R292" s="237"/>
      <c r="S292" s="237"/>
      <c r="T292" s="237"/>
      <c r="U292" s="237"/>
      <c r="V292" s="237"/>
      <c r="W292" s="237"/>
      <c r="X292" s="237"/>
      <c r="Y292" s="237"/>
      <c r="Z292" s="237"/>
    </row>
    <row r="293" spans="1:26" ht="24.75" customHeight="1" x14ac:dyDescent="0.25">
      <c r="A293" s="236"/>
      <c r="B293" s="237"/>
      <c r="C293" s="236"/>
      <c r="D293" s="238"/>
      <c r="E293" s="238"/>
      <c r="F293" s="238"/>
      <c r="G293" s="239"/>
      <c r="H293" s="241"/>
      <c r="I293" s="244"/>
      <c r="J293" s="241"/>
      <c r="K293" s="237"/>
      <c r="L293" s="237"/>
      <c r="M293" s="237"/>
      <c r="N293" s="237"/>
      <c r="O293" s="237"/>
      <c r="P293" s="237"/>
      <c r="Q293" s="237"/>
      <c r="R293" s="237"/>
      <c r="S293" s="237"/>
      <c r="T293" s="237"/>
      <c r="U293" s="237"/>
      <c r="V293" s="237"/>
      <c r="W293" s="237"/>
      <c r="X293" s="237"/>
      <c r="Y293" s="237"/>
      <c r="Z293" s="237"/>
    </row>
    <row r="294" spans="1:26" ht="24.75" customHeight="1" x14ac:dyDescent="0.25">
      <c r="A294" s="236"/>
      <c r="B294" s="237"/>
      <c r="C294" s="236"/>
      <c r="D294" s="238"/>
      <c r="E294" s="238"/>
      <c r="F294" s="238"/>
      <c r="G294" s="239"/>
      <c r="H294" s="241"/>
      <c r="I294" s="244"/>
      <c r="J294" s="241"/>
      <c r="K294" s="237"/>
      <c r="L294" s="237"/>
      <c r="M294" s="237"/>
      <c r="N294" s="237"/>
      <c r="O294" s="237"/>
      <c r="P294" s="237"/>
      <c r="Q294" s="237"/>
      <c r="R294" s="237"/>
      <c r="S294" s="237"/>
      <c r="T294" s="237"/>
      <c r="U294" s="237"/>
      <c r="V294" s="237"/>
      <c r="W294" s="237"/>
      <c r="X294" s="237"/>
      <c r="Y294" s="237"/>
      <c r="Z294" s="237"/>
    </row>
    <row r="295" spans="1:26" ht="24.75" customHeight="1" x14ac:dyDescent="0.25">
      <c r="A295" s="236"/>
      <c r="B295" s="237"/>
      <c r="C295" s="236"/>
      <c r="D295" s="238"/>
      <c r="E295" s="238"/>
      <c r="F295" s="238"/>
      <c r="G295" s="239"/>
      <c r="H295" s="241"/>
      <c r="I295" s="244"/>
      <c r="J295" s="241"/>
      <c r="K295" s="237"/>
      <c r="L295" s="237"/>
      <c r="M295" s="237"/>
      <c r="N295" s="237"/>
      <c r="O295" s="237"/>
      <c r="P295" s="237"/>
      <c r="Q295" s="237"/>
      <c r="R295" s="237"/>
      <c r="S295" s="237"/>
      <c r="T295" s="237"/>
      <c r="U295" s="237"/>
      <c r="V295" s="237"/>
      <c r="W295" s="237"/>
      <c r="X295" s="237"/>
      <c r="Y295" s="237"/>
      <c r="Z295" s="237"/>
    </row>
    <row r="296" spans="1:26" ht="24.75" customHeight="1" x14ac:dyDescent="0.25">
      <c r="A296" s="236"/>
      <c r="B296" s="237"/>
      <c r="C296" s="236"/>
      <c r="D296" s="238"/>
      <c r="E296" s="238"/>
      <c r="F296" s="238"/>
      <c r="G296" s="239"/>
      <c r="H296" s="241"/>
      <c r="I296" s="244"/>
      <c r="J296" s="241"/>
      <c r="K296" s="237"/>
      <c r="L296" s="237"/>
      <c r="M296" s="237"/>
      <c r="N296" s="237"/>
      <c r="O296" s="237"/>
      <c r="P296" s="237"/>
      <c r="Q296" s="237"/>
      <c r="R296" s="237"/>
      <c r="S296" s="237"/>
      <c r="T296" s="237"/>
      <c r="U296" s="237"/>
      <c r="V296" s="237"/>
      <c r="W296" s="237"/>
      <c r="X296" s="237"/>
      <c r="Y296" s="237"/>
      <c r="Z296" s="237"/>
    </row>
    <row r="297" spans="1:26" ht="24.75" customHeight="1" x14ac:dyDescent="0.25">
      <c r="A297" s="236"/>
      <c r="B297" s="237"/>
      <c r="C297" s="236"/>
      <c r="D297" s="238"/>
      <c r="E297" s="238"/>
      <c r="F297" s="238"/>
      <c r="G297" s="239"/>
      <c r="H297" s="241"/>
      <c r="I297" s="244"/>
      <c r="J297" s="241"/>
      <c r="K297" s="237"/>
      <c r="L297" s="237"/>
      <c r="M297" s="237"/>
      <c r="N297" s="237"/>
      <c r="O297" s="237"/>
      <c r="P297" s="237"/>
      <c r="Q297" s="237"/>
      <c r="R297" s="237"/>
      <c r="S297" s="237"/>
      <c r="T297" s="237"/>
      <c r="U297" s="237"/>
      <c r="V297" s="237"/>
      <c r="W297" s="237"/>
      <c r="X297" s="237"/>
      <c r="Y297" s="237"/>
      <c r="Z297" s="237"/>
    </row>
    <row r="298" spans="1:26" ht="24.75" customHeight="1" x14ac:dyDescent="0.25">
      <c r="A298" s="236"/>
      <c r="B298" s="237"/>
      <c r="C298" s="236"/>
      <c r="D298" s="238"/>
      <c r="E298" s="238"/>
      <c r="F298" s="238"/>
      <c r="G298" s="239"/>
      <c r="H298" s="241"/>
      <c r="I298" s="244"/>
      <c r="J298" s="241"/>
      <c r="K298" s="237"/>
      <c r="L298" s="237"/>
      <c r="M298" s="237"/>
      <c r="N298" s="237"/>
      <c r="O298" s="237"/>
      <c r="P298" s="237"/>
      <c r="Q298" s="237"/>
      <c r="R298" s="237"/>
      <c r="S298" s="237"/>
      <c r="T298" s="237"/>
      <c r="U298" s="237"/>
      <c r="V298" s="237"/>
      <c r="W298" s="237"/>
      <c r="X298" s="237"/>
      <c r="Y298" s="237"/>
      <c r="Z298" s="237"/>
    </row>
    <row r="299" spans="1:26" ht="24.75" customHeight="1" x14ac:dyDescent="0.25">
      <c r="A299" s="236"/>
      <c r="B299" s="237"/>
      <c r="C299" s="236"/>
      <c r="D299" s="238"/>
      <c r="E299" s="238"/>
      <c r="F299" s="238"/>
      <c r="G299" s="239"/>
      <c r="H299" s="241"/>
      <c r="I299" s="244"/>
      <c r="J299" s="241"/>
      <c r="K299" s="237"/>
      <c r="L299" s="237"/>
      <c r="M299" s="237"/>
      <c r="N299" s="237"/>
      <c r="O299" s="237"/>
      <c r="P299" s="237"/>
      <c r="Q299" s="237"/>
      <c r="R299" s="237"/>
      <c r="S299" s="237"/>
      <c r="T299" s="237"/>
      <c r="U299" s="237"/>
      <c r="V299" s="237"/>
      <c r="W299" s="237"/>
      <c r="X299" s="237"/>
      <c r="Y299" s="237"/>
      <c r="Z299" s="237"/>
    </row>
    <row r="300" spans="1:26" ht="24.75" customHeight="1" x14ac:dyDescent="0.25">
      <c r="A300" s="236"/>
      <c r="B300" s="237"/>
      <c r="C300" s="236"/>
      <c r="D300" s="238"/>
      <c r="E300" s="238"/>
      <c r="F300" s="238"/>
      <c r="G300" s="239"/>
      <c r="H300" s="241"/>
      <c r="I300" s="244"/>
      <c r="J300" s="241"/>
      <c r="K300" s="237"/>
      <c r="L300" s="237"/>
      <c r="M300" s="237"/>
      <c r="N300" s="237"/>
      <c r="O300" s="237"/>
      <c r="P300" s="237"/>
      <c r="Q300" s="237"/>
      <c r="R300" s="237"/>
      <c r="S300" s="237"/>
      <c r="T300" s="237"/>
      <c r="U300" s="237"/>
      <c r="V300" s="237"/>
      <c r="W300" s="237"/>
      <c r="X300" s="237"/>
      <c r="Y300" s="237"/>
      <c r="Z300" s="237"/>
    </row>
    <row r="301" spans="1:26" ht="24.75" customHeight="1" x14ac:dyDescent="0.25">
      <c r="A301" s="236"/>
      <c r="B301" s="237"/>
      <c r="C301" s="236"/>
      <c r="D301" s="238"/>
      <c r="E301" s="238"/>
      <c r="F301" s="238"/>
      <c r="G301" s="239"/>
      <c r="H301" s="241"/>
      <c r="I301" s="244"/>
      <c r="J301" s="241"/>
      <c r="K301" s="237"/>
      <c r="L301" s="237"/>
      <c r="M301" s="237"/>
      <c r="N301" s="237"/>
      <c r="O301" s="237"/>
      <c r="P301" s="237"/>
      <c r="Q301" s="237"/>
      <c r="R301" s="237"/>
      <c r="S301" s="237"/>
      <c r="T301" s="237"/>
      <c r="U301" s="237"/>
      <c r="V301" s="237"/>
      <c r="W301" s="237"/>
      <c r="X301" s="237"/>
      <c r="Y301" s="237"/>
      <c r="Z301" s="237"/>
    </row>
    <row r="302" spans="1:26" ht="24.75" customHeight="1" x14ac:dyDescent="0.25">
      <c r="A302" s="236"/>
      <c r="B302" s="237"/>
      <c r="C302" s="236"/>
      <c r="D302" s="238"/>
      <c r="E302" s="238"/>
      <c r="F302" s="238"/>
      <c r="G302" s="239"/>
      <c r="H302" s="241"/>
      <c r="I302" s="244"/>
      <c r="J302" s="241"/>
      <c r="K302" s="237"/>
      <c r="L302" s="237"/>
      <c r="M302" s="237"/>
      <c r="N302" s="237"/>
      <c r="O302" s="237"/>
      <c r="P302" s="237"/>
      <c r="Q302" s="237"/>
      <c r="R302" s="237"/>
      <c r="S302" s="237"/>
      <c r="T302" s="237"/>
      <c r="U302" s="237"/>
      <c r="V302" s="237"/>
      <c r="W302" s="237"/>
      <c r="X302" s="237"/>
      <c r="Y302" s="237"/>
      <c r="Z302" s="237"/>
    </row>
    <row r="303" spans="1:26" ht="24.75" customHeight="1" x14ac:dyDescent="0.25">
      <c r="A303" s="236"/>
      <c r="B303" s="237"/>
      <c r="C303" s="236"/>
      <c r="D303" s="238"/>
      <c r="E303" s="238"/>
      <c r="F303" s="238"/>
      <c r="G303" s="239"/>
      <c r="H303" s="241"/>
      <c r="I303" s="244"/>
      <c r="J303" s="241"/>
      <c r="K303" s="237"/>
      <c r="L303" s="237"/>
      <c r="M303" s="237"/>
      <c r="N303" s="237"/>
      <c r="O303" s="237"/>
      <c r="P303" s="237"/>
      <c r="Q303" s="237"/>
      <c r="R303" s="237"/>
      <c r="S303" s="237"/>
      <c r="T303" s="237"/>
      <c r="U303" s="237"/>
      <c r="V303" s="237"/>
      <c r="W303" s="237"/>
      <c r="X303" s="237"/>
      <c r="Y303" s="237"/>
      <c r="Z303" s="237"/>
    </row>
    <row r="304" spans="1:26" ht="24.75" customHeight="1" x14ac:dyDescent="0.25">
      <c r="A304" s="236"/>
      <c r="B304" s="237"/>
      <c r="C304" s="236"/>
      <c r="D304" s="238"/>
      <c r="E304" s="238"/>
      <c r="F304" s="238"/>
      <c r="G304" s="239"/>
      <c r="H304" s="241"/>
      <c r="I304" s="244"/>
      <c r="J304" s="241"/>
      <c r="K304" s="237"/>
      <c r="L304" s="237"/>
      <c r="M304" s="237"/>
      <c r="N304" s="237"/>
      <c r="O304" s="237"/>
      <c r="P304" s="237"/>
      <c r="Q304" s="237"/>
      <c r="R304" s="237"/>
      <c r="S304" s="237"/>
      <c r="T304" s="237"/>
      <c r="U304" s="237"/>
      <c r="V304" s="237"/>
      <c r="W304" s="237"/>
      <c r="X304" s="237"/>
      <c r="Y304" s="237"/>
      <c r="Z304" s="237"/>
    </row>
    <row r="305" spans="1:26" ht="24.75" customHeight="1" x14ac:dyDescent="0.25">
      <c r="A305" s="236"/>
      <c r="B305" s="237"/>
      <c r="C305" s="236"/>
      <c r="D305" s="238"/>
      <c r="E305" s="238"/>
      <c r="F305" s="238"/>
      <c r="G305" s="239"/>
      <c r="H305" s="241"/>
      <c r="I305" s="244"/>
      <c r="J305" s="241"/>
      <c r="K305" s="237"/>
      <c r="L305" s="237"/>
      <c r="M305" s="237"/>
      <c r="N305" s="237"/>
      <c r="O305" s="237"/>
      <c r="P305" s="237"/>
      <c r="Q305" s="237"/>
      <c r="R305" s="237"/>
      <c r="S305" s="237"/>
      <c r="T305" s="237"/>
      <c r="U305" s="237"/>
      <c r="V305" s="237"/>
      <c r="W305" s="237"/>
      <c r="X305" s="237"/>
      <c r="Y305" s="237"/>
      <c r="Z305" s="237"/>
    </row>
    <row r="306" spans="1:26" ht="24.75" customHeight="1" x14ac:dyDescent="0.25">
      <c r="A306" s="236"/>
      <c r="B306" s="237"/>
      <c r="C306" s="236"/>
      <c r="D306" s="238"/>
      <c r="E306" s="238"/>
      <c r="F306" s="238"/>
      <c r="G306" s="239"/>
      <c r="H306" s="241"/>
      <c r="I306" s="244"/>
      <c r="J306" s="241"/>
      <c r="K306" s="237"/>
      <c r="L306" s="237"/>
      <c r="M306" s="237"/>
      <c r="N306" s="237"/>
      <c r="O306" s="237"/>
      <c r="P306" s="237"/>
      <c r="Q306" s="237"/>
      <c r="R306" s="237"/>
      <c r="S306" s="237"/>
      <c r="T306" s="237"/>
      <c r="U306" s="237"/>
      <c r="V306" s="237"/>
      <c r="W306" s="237"/>
      <c r="X306" s="237"/>
      <c r="Y306" s="237"/>
      <c r="Z306" s="237"/>
    </row>
    <row r="307" spans="1:26" ht="24.75" customHeight="1" x14ac:dyDescent="0.25">
      <c r="A307" s="236"/>
      <c r="B307" s="237"/>
      <c r="C307" s="236"/>
      <c r="D307" s="238"/>
      <c r="E307" s="238"/>
      <c r="F307" s="238"/>
      <c r="G307" s="239"/>
      <c r="H307" s="241"/>
      <c r="I307" s="244"/>
      <c r="J307" s="241"/>
      <c r="K307" s="237"/>
      <c r="L307" s="237"/>
      <c r="M307" s="237"/>
      <c r="N307" s="237"/>
      <c r="O307" s="237"/>
      <c r="P307" s="237"/>
      <c r="Q307" s="237"/>
      <c r="R307" s="237"/>
      <c r="S307" s="237"/>
      <c r="T307" s="237"/>
      <c r="U307" s="237"/>
      <c r="V307" s="237"/>
      <c r="W307" s="237"/>
      <c r="X307" s="237"/>
      <c r="Y307" s="237"/>
      <c r="Z307" s="237"/>
    </row>
    <row r="308" spans="1:26" ht="24.75" customHeight="1" x14ac:dyDescent="0.25">
      <c r="A308" s="236"/>
      <c r="B308" s="237"/>
      <c r="C308" s="236"/>
      <c r="D308" s="238"/>
      <c r="E308" s="238"/>
      <c r="F308" s="238"/>
      <c r="G308" s="239"/>
      <c r="H308" s="241"/>
      <c r="I308" s="244"/>
      <c r="J308" s="241"/>
      <c r="K308" s="237"/>
      <c r="L308" s="237"/>
      <c r="M308" s="237"/>
      <c r="N308" s="237"/>
      <c r="O308" s="237"/>
      <c r="P308" s="237"/>
      <c r="Q308" s="237"/>
      <c r="R308" s="237"/>
      <c r="S308" s="237"/>
      <c r="T308" s="237"/>
      <c r="U308" s="237"/>
      <c r="V308" s="237"/>
      <c r="W308" s="237"/>
      <c r="X308" s="237"/>
      <c r="Y308" s="237"/>
      <c r="Z308" s="237"/>
    </row>
    <row r="309" spans="1:26" ht="24.75" customHeight="1" x14ac:dyDescent="0.25">
      <c r="A309" s="236"/>
      <c r="B309" s="237"/>
      <c r="C309" s="236"/>
      <c r="D309" s="238"/>
      <c r="E309" s="238"/>
      <c r="F309" s="238"/>
      <c r="G309" s="239"/>
      <c r="H309" s="241"/>
      <c r="I309" s="244"/>
      <c r="J309" s="241"/>
      <c r="K309" s="237"/>
      <c r="L309" s="237"/>
      <c r="M309" s="237"/>
      <c r="N309" s="237"/>
      <c r="O309" s="237"/>
      <c r="P309" s="237"/>
      <c r="Q309" s="237"/>
      <c r="R309" s="237"/>
      <c r="S309" s="237"/>
      <c r="T309" s="237"/>
      <c r="U309" s="237"/>
      <c r="V309" s="237"/>
      <c r="W309" s="237"/>
      <c r="X309" s="237"/>
      <c r="Y309" s="237"/>
      <c r="Z309" s="237"/>
    </row>
    <row r="310" spans="1:26" ht="24.75" customHeight="1" x14ac:dyDescent="0.25">
      <c r="A310" s="236"/>
      <c r="B310" s="237"/>
      <c r="C310" s="236"/>
      <c r="D310" s="238"/>
      <c r="E310" s="238"/>
      <c r="F310" s="238"/>
      <c r="G310" s="239"/>
      <c r="H310" s="241"/>
      <c r="I310" s="244"/>
      <c r="J310" s="241"/>
      <c r="K310" s="237"/>
      <c r="L310" s="237"/>
      <c r="M310" s="237"/>
      <c r="N310" s="237"/>
      <c r="O310" s="237"/>
      <c r="P310" s="237"/>
      <c r="Q310" s="237"/>
      <c r="R310" s="237"/>
      <c r="S310" s="237"/>
      <c r="T310" s="237"/>
      <c r="U310" s="237"/>
      <c r="V310" s="237"/>
      <c r="W310" s="237"/>
      <c r="X310" s="237"/>
      <c r="Y310" s="237"/>
      <c r="Z310" s="237"/>
    </row>
    <row r="311" spans="1:26" ht="24.75" customHeight="1" x14ac:dyDescent="0.25">
      <c r="A311" s="236"/>
      <c r="B311" s="237"/>
      <c r="C311" s="236"/>
      <c r="D311" s="238"/>
      <c r="E311" s="238"/>
      <c r="F311" s="238"/>
      <c r="G311" s="239"/>
      <c r="H311" s="241"/>
      <c r="I311" s="244"/>
      <c r="J311" s="241"/>
      <c r="K311" s="237"/>
      <c r="L311" s="237"/>
      <c r="M311" s="237"/>
      <c r="N311" s="237"/>
      <c r="O311" s="237"/>
      <c r="P311" s="237"/>
      <c r="Q311" s="237"/>
      <c r="R311" s="237"/>
      <c r="S311" s="237"/>
      <c r="T311" s="237"/>
      <c r="U311" s="237"/>
      <c r="V311" s="237"/>
      <c r="W311" s="237"/>
      <c r="X311" s="237"/>
      <c r="Y311" s="237"/>
      <c r="Z311" s="237"/>
    </row>
    <row r="312" spans="1:26" ht="24.75" customHeight="1" x14ac:dyDescent="0.25">
      <c r="A312" s="236"/>
      <c r="B312" s="237"/>
      <c r="C312" s="236"/>
      <c r="D312" s="238"/>
      <c r="E312" s="238"/>
      <c r="F312" s="238"/>
      <c r="G312" s="239"/>
      <c r="H312" s="241"/>
      <c r="I312" s="244"/>
      <c r="J312" s="241"/>
      <c r="K312" s="237"/>
      <c r="L312" s="237"/>
      <c r="M312" s="237"/>
      <c r="N312" s="237"/>
      <c r="O312" s="237"/>
      <c r="P312" s="237"/>
      <c r="Q312" s="237"/>
      <c r="R312" s="237"/>
      <c r="S312" s="237"/>
      <c r="T312" s="237"/>
      <c r="U312" s="237"/>
      <c r="V312" s="237"/>
      <c r="W312" s="237"/>
      <c r="X312" s="237"/>
      <c r="Y312" s="237"/>
      <c r="Z312" s="237"/>
    </row>
    <row r="313" spans="1:26" ht="24.75" customHeight="1" x14ac:dyDescent="0.25">
      <c r="A313" s="236"/>
      <c r="B313" s="237"/>
      <c r="C313" s="236"/>
      <c r="D313" s="238"/>
      <c r="E313" s="238"/>
      <c r="F313" s="238"/>
      <c r="G313" s="239"/>
      <c r="H313" s="241"/>
      <c r="I313" s="244"/>
      <c r="J313" s="241"/>
      <c r="K313" s="237"/>
      <c r="L313" s="237"/>
      <c r="M313" s="237"/>
      <c r="N313" s="237"/>
      <c r="O313" s="237"/>
      <c r="P313" s="237"/>
      <c r="Q313" s="237"/>
      <c r="R313" s="237"/>
      <c r="S313" s="237"/>
      <c r="T313" s="237"/>
      <c r="U313" s="237"/>
      <c r="V313" s="237"/>
      <c r="W313" s="237"/>
      <c r="X313" s="237"/>
      <c r="Y313" s="237"/>
      <c r="Z313" s="237"/>
    </row>
    <row r="314" spans="1:26" ht="24.75" customHeight="1" x14ac:dyDescent="0.25">
      <c r="A314" s="236"/>
      <c r="B314" s="237"/>
      <c r="C314" s="236"/>
      <c r="D314" s="238"/>
      <c r="E314" s="238"/>
      <c r="F314" s="238"/>
      <c r="G314" s="239"/>
      <c r="H314" s="241"/>
      <c r="I314" s="244"/>
      <c r="J314" s="241"/>
      <c r="K314" s="237"/>
      <c r="L314" s="237"/>
      <c r="M314" s="237"/>
      <c r="N314" s="237"/>
      <c r="O314" s="237"/>
      <c r="P314" s="237"/>
      <c r="Q314" s="237"/>
      <c r="R314" s="237"/>
      <c r="S314" s="237"/>
      <c r="T314" s="237"/>
      <c r="U314" s="237"/>
      <c r="V314" s="237"/>
      <c r="W314" s="237"/>
      <c r="X314" s="237"/>
      <c r="Y314" s="237"/>
      <c r="Z314" s="237"/>
    </row>
    <row r="315" spans="1:26" ht="24.75" customHeight="1" x14ac:dyDescent="0.25">
      <c r="A315" s="236"/>
      <c r="B315" s="237"/>
      <c r="C315" s="236"/>
      <c r="D315" s="238"/>
      <c r="E315" s="238"/>
      <c r="F315" s="238"/>
      <c r="G315" s="239"/>
      <c r="H315" s="241"/>
      <c r="I315" s="244"/>
      <c r="J315" s="241"/>
      <c r="K315" s="237"/>
      <c r="L315" s="237"/>
      <c r="M315" s="237"/>
      <c r="N315" s="237"/>
      <c r="O315" s="237"/>
      <c r="P315" s="237"/>
      <c r="Q315" s="237"/>
      <c r="R315" s="237"/>
      <c r="S315" s="237"/>
      <c r="T315" s="237"/>
      <c r="U315" s="237"/>
      <c r="V315" s="237"/>
      <c r="W315" s="237"/>
      <c r="X315" s="237"/>
      <c r="Y315" s="237"/>
      <c r="Z315" s="237"/>
    </row>
    <row r="316" spans="1:26" ht="24.75" customHeight="1" x14ac:dyDescent="0.25">
      <c r="A316" s="236"/>
      <c r="B316" s="237"/>
      <c r="C316" s="236"/>
      <c r="D316" s="238"/>
      <c r="E316" s="238"/>
      <c r="F316" s="238"/>
      <c r="G316" s="239"/>
      <c r="H316" s="241"/>
      <c r="I316" s="244"/>
      <c r="J316" s="241"/>
      <c r="K316" s="237"/>
      <c r="L316" s="237"/>
      <c r="M316" s="237"/>
      <c r="N316" s="237"/>
      <c r="O316" s="237"/>
      <c r="P316" s="237"/>
      <c r="Q316" s="237"/>
      <c r="R316" s="237"/>
      <c r="S316" s="237"/>
      <c r="T316" s="237"/>
      <c r="U316" s="237"/>
      <c r="V316" s="237"/>
      <c r="W316" s="237"/>
      <c r="X316" s="237"/>
      <c r="Y316" s="237"/>
      <c r="Z316" s="237"/>
    </row>
    <row r="317" spans="1:26" ht="24.75" customHeight="1" x14ac:dyDescent="0.25">
      <c r="A317" s="236"/>
      <c r="B317" s="237"/>
      <c r="C317" s="236"/>
      <c r="D317" s="238"/>
      <c r="E317" s="238"/>
      <c r="F317" s="238"/>
      <c r="G317" s="239"/>
      <c r="H317" s="241"/>
      <c r="I317" s="244"/>
      <c r="J317" s="241"/>
      <c r="K317" s="237"/>
      <c r="L317" s="237"/>
      <c r="M317" s="237"/>
      <c r="N317" s="237"/>
      <c r="O317" s="237"/>
      <c r="P317" s="237"/>
      <c r="Q317" s="237"/>
      <c r="R317" s="237"/>
      <c r="S317" s="237"/>
      <c r="T317" s="237"/>
      <c r="U317" s="237"/>
      <c r="V317" s="237"/>
      <c r="W317" s="237"/>
      <c r="X317" s="237"/>
      <c r="Y317" s="237"/>
      <c r="Z317" s="237"/>
    </row>
    <row r="318" spans="1:26" ht="24.75" customHeight="1" x14ac:dyDescent="0.25">
      <c r="A318" s="236"/>
      <c r="B318" s="237"/>
      <c r="C318" s="236"/>
      <c r="D318" s="238"/>
      <c r="E318" s="238"/>
      <c r="F318" s="238"/>
      <c r="G318" s="239"/>
      <c r="H318" s="241"/>
      <c r="I318" s="244"/>
      <c r="J318" s="241"/>
      <c r="K318" s="237"/>
      <c r="L318" s="237"/>
      <c r="M318" s="237"/>
      <c r="N318" s="237"/>
      <c r="O318" s="237"/>
      <c r="P318" s="237"/>
      <c r="Q318" s="237"/>
      <c r="R318" s="237"/>
      <c r="S318" s="237"/>
      <c r="T318" s="237"/>
      <c r="U318" s="237"/>
      <c r="V318" s="237"/>
      <c r="W318" s="237"/>
      <c r="X318" s="237"/>
      <c r="Y318" s="237"/>
      <c r="Z318" s="237"/>
    </row>
    <row r="319" spans="1:26" ht="24.75" customHeight="1" x14ac:dyDescent="0.25">
      <c r="A319" s="236"/>
      <c r="B319" s="237"/>
      <c r="C319" s="236"/>
      <c r="D319" s="238"/>
      <c r="E319" s="238"/>
      <c r="F319" s="238"/>
      <c r="G319" s="239"/>
      <c r="H319" s="241"/>
      <c r="I319" s="244"/>
      <c r="J319" s="241"/>
      <c r="K319" s="237"/>
      <c r="L319" s="237"/>
      <c r="M319" s="237"/>
      <c r="N319" s="237"/>
      <c r="O319" s="237"/>
      <c r="P319" s="237"/>
      <c r="Q319" s="237"/>
      <c r="R319" s="237"/>
      <c r="S319" s="237"/>
      <c r="T319" s="237"/>
      <c r="U319" s="237"/>
      <c r="V319" s="237"/>
      <c r="W319" s="237"/>
      <c r="X319" s="237"/>
      <c r="Y319" s="237"/>
      <c r="Z319" s="237"/>
    </row>
    <row r="320" spans="1:26" ht="24.75" customHeight="1" x14ac:dyDescent="0.25">
      <c r="A320" s="236"/>
      <c r="B320" s="237"/>
      <c r="C320" s="236"/>
      <c r="D320" s="238"/>
      <c r="E320" s="238"/>
      <c r="F320" s="238"/>
      <c r="G320" s="239"/>
      <c r="H320" s="241"/>
      <c r="I320" s="244"/>
      <c r="J320" s="241"/>
      <c r="K320" s="237"/>
      <c r="L320" s="237"/>
      <c r="M320" s="237"/>
      <c r="N320" s="237"/>
      <c r="O320" s="237"/>
      <c r="P320" s="237"/>
      <c r="Q320" s="237"/>
      <c r="R320" s="237"/>
      <c r="S320" s="237"/>
      <c r="T320" s="237"/>
      <c r="U320" s="237"/>
      <c r="V320" s="237"/>
      <c r="W320" s="237"/>
      <c r="X320" s="237"/>
      <c r="Y320" s="237"/>
      <c r="Z320" s="237"/>
    </row>
    <row r="321" spans="1:26" ht="24.75" customHeight="1" x14ac:dyDescent="0.25">
      <c r="A321" s="236"/>
      <c r="B321" s="237"/>
      <c r="C321" s="236"/>
      <c r="D321" s="238"/>
      <c r="E321" s="238"/>
      <c r="F321" s="238"/>
      <c r="G321" s="239"/>
      <c r="H321" s="241"/>
      <c r="I321" s="244"/>
      <c r="J321" s="241"/>
      <c r="K321" s="237"/>
      <c r="L321" s="237"/>
      <c r="M321" s="237"/>
      <c r="N321" s="237"/>
      <c r="O321" s="237"/>
      <c r="P321" s="237"/>
      <c r="Q321" s="237"/>
      <c r="R321" s="237"/>
      <c r="S321" s="237"/>
      <c r="T321" s="237"/>
      <c r="U321" s="237"/>
      <c r="V321" s="237"/>
      <c r="W321" s="237"/>
      <c r="X321" s="237"/>
      <c r="Y321" s="237"/>
      <c r="Z321" s="237"/>
    </row>
    <row r="322" spans="1:26" ht="24.75" customHeight="1" x14ac:dyDescent="0.25">
      <c r="A322" s="236"/>
      <c r="B322" s="237"/>
      <c r="C322" s="236"/>
      <c r="D322" s="238"/>
      <c r="E322" s="238"/>
      <c r="F322" s="238"/>
      <c r="G322" s="239"/>
      <c r="H322" s="241"/>
      <c r="I322" s="244"/>
      <c r="J322" s="241"/>
      <c r="K322" s="237"/>
      <c r="L322" s="237"/>
      <c r="M322" s="237"/>
      <c r="N322" s="237"/>
      <c r="O322" s="237"/>
      <c r="P322" s="237"/>
      <c r="Q322" s="237"/>
      <c r="R322" s="237"/>
      <c r="S322" s="237"/>
      <c r="T322" s="237"/>
      <c r="U322" s="237"/>
      <c r="V322" s="237"/>
      <c r="W322" s="237"/>
      <c r="X322" s="237"/>
      <c r="Y322" s="237"/>
      <c r="Z322" s="237"/>
    </row>
    <row r="323" spans="1:26" ht="24.75" customHeight="1" x14ac:dyDescent="0.25">
      <c r="A323" s="236"/>
      <c r="B323" s="237"/>
      <c r="C323" s="236"/>
      <c r="D323" s="238"/>
      <c r="E323" s="238"/>
      <c r="F323" s="238"/>
      <c r="G323" s="239"/>
      <c r="H323" s="241"/>
      <c r="I323" s="244"/>
      <c r="J323" s="241"/>
      <c r="K323" s="237"/>
      <c r="L323" s="237"/>
      <c r="M323" s="237"/>
      <c r="N323" s="237"/>
      <c r="O323" s="237"/>
      <c r="P323" s="237"/>
      <c r="Q323" s="237"/>
      <c r="R323" s="237"/>
      <c r="S323" s="237"/>
      <c r="T323" s="237"/>
      <c r="U323" s="237"/>
      <c r="V323" s="237"/>
      <c r="W323" s="237"/>
      <c r="X323" s="237"/>
      <c r="Y323" s="237"/>
      <c r="Z323" s="237"/>
    </row>
    <row r="324" spans="1:26" ht="24.75" customHeight="1" x14ac:dyDescent="0.25">
      <c r="A324" s="236"/>
      <c r="B324" s="237"/>
      <c r="C324" s="236"/>
      <c r="D324" s="238"/>
      <c r="E324" s="238"/>
      <c r="F324" s="238"/>
      <c r="G324" s="239"/>
      <c r="H324" s="241"/>
      <c r="I324" s="244"/>
      <c r="J324" s="241"/>
      <c r="K324" s="237"/>
      <c r="L324" s="237"/>
      <c r="M324" s="237"/>
      <c r="N324" s="237"/>
      <c r="O324" s="237"/>
      <c r="P324" s="237"/>
      <c r="Q324" s="237"/>
      <c r="R324" s="237"/>
      <c r="S324" s="237"/>
      <c r="T324" s="237"/>
      <c r="U324" s="237"/>
      <c r="V324" s="237"/>
      <c r="W324" s="237"/>
      <c r="X324" s="237"/>
      <c r="Y324" s="237"/>
      <c r="Z324" s="237"/>
    </row>
    <row r="325" spans="1:26" ht="24.75" customHeight="1" x14ac:dyDescent="0.25">
      <c r="A325" s="236"/>
      <c r="B325" s="237"/>
      <c r="C325" s="236"/>
      <c r="D325" s="238"/>
      <c r="E325" s="238"/>
      <c r="F325" s="238"/>
      <c r="G325" s="239"/>
      <c r="H325" s="241"/>
      <c r="I325" s="244"/>
      <c r="J325" s="241"/>
      <c r="K325" s="237"/>
      <c r="L325" s="237"/>
      <c r="M325" s="237"/>
      <c r="N325" s="237"/>
      <c r="O325" s="237"/>
      <c r="P325" s="237"/>
      <c r="Q325" s="237"/>
      <c r="R325" s="237"/>
      <c r="S325" s="237"/>
      <c r="T325" s="237"/>
      <c r="U325" s="237"/>
      <c r="V325" s="237"/>
      <c r="W325" s="237"/>
      <c r="X325" s="237"/>
      <c r="Y325" s="237"/>
      <c r="Z325" s="237"/>
    </row>
    <row r="326" spans="1:26" ht="24.75" customHeight="1" x14ac:dyDescent="0.25">
      <c r="A326" s="236"/>
      <c r="B326" s="237"/>
      <c r="C326" s="236"/>
      <c r="D326" s="238"/>
      <c r="E326" s="238"/>
      <c r="F326" s="238"/>
      <c r="G326" s="239"/>
      <c r="H326" s="241"/>
      <c r="I326" s="244"/>
      <c r="J326" s="241"/>
      <c r="K326" s="237"/>
      <c r="L326" s="237"/>
      <c r="M326" s="237"/>
      <c r="N326" s="237"/>
      <c r="O326" s="237"/>
      <c r="P326" s="237"/>
      <c r="Q326" s="237"/>
      <c r="R326" s="237"/>
      <c r="S326" s="237"/>
      <c r="T326" s="237"/>
      <c r="U326" s="237"/>
      <c r="V326" s="237"/>
      <c r="W326" s="237"/>
      <c r="X326" s="237"/>
      <c r="Y326" s="237"/>
      <c r="Z326" s="237"/>
    </row>
    <row r="327" spans="1:26" ht="24.75" customHeight="1" x14ac:dyDescent="0.25">
      <c r="A327" s="236"/>
      <c r="B327" s="237"/>
      <c r="C327" s="236"/>
      <c r="D327" s="238"/>
      <c r="E327" s="238"/>
      <c r="F327" s="238"/>
      <c r="G327" s="239"/>
      <c r="H327" s="241"/>
      <c r="I327" s="244"/>
      <c r="J327" s="241"/>
      <c r="K327" s="237"/>
      <c r="L327" s="237"/>
      <c r="M327" s="237"/>
      <c r="N327" s="237"/>
      <c r="O327" s="237"/>
      <c r="P327" s="237"/>
      <c r="Q327" s="237"/>
      <c r="R327" s="237"/>
      <c r="S327" s="237"/>
      <c r="T327" s="237"/>
      <c r="U327" s="237"/>
      <c r="V327" s="237"/>
      <c r="W327" s="237"/>
      <c r="X327" s="237"/>
      <c r="Y327" s="237"/>
      <c r="Z327" s="237"/>
    </row>
    <row r="328" spans="1:26" ht="24.75" customHeight="1" x14ac:dyDescent="0.25">
      <c r="A328" s="236"/>
      <c r="B328" s="237"/>
      <c r="C328" s="236"/>
      <c r="D328" s="238"/>
      <c r="E328" s="238"/>
      <c r="F328" s="238"/>
      <c r="G328" s="239"/>
      <c r="H328" s="241"/>
      <c r="I328" s="244"/>
      <c r="J328" s="241"/>
      <c r="K328" s="237"/>
      <c r="L328" s="237"/>
      <c r="M328" s="237"/>
      <c r="N328" s="237"/>
      <c r="O328" s="237"/>
      <c r="P328" s="237"/>
      <c r="Q328" s="237"/>
      <c r="R328" s="237"/>
      <c r="S328" s="237"/>
      <c r="T328" s="237"/>
      <c r="U328" s="237"/>
      <c r="V328" s="237"/>
      <c r="W328" s="237"/>
      <c r="X328" s="237"/>
      <c r="Y328" s="237"/>
      <c r="Z328" s="237"/>
    </row>
    <row r="329" spans="1:26" ht="24.75" customHeight="1" x14ac:dyDescent="0.25">
      <c r="A329" s="236"/>
      <c r="B329" s="237"/>
      <c r="C329" s="236"/>
      <c r="D329" s="238"/>
      <c r="E329" s="238"/>
      <c r="F329" s="238"/>
      <c r="G329" s="239"/>
      <c r="H329" s="241"/>
      <c r="I329" s="244"/>
      <c r="J329" s="241"/>
      <c r="K329" s="237"/>
      <c r="L329" s="237"/>
      <c r="M329" s="237"/>
      <c r="N329" s="237"/>
      <c r="O329" s="237"/>
      <c r="P329" s="237"/>
      <c r="Q329" s="237"/>
      <c r="R329" s="237"/>
      <c r="S329" s="237"/>
      <c r="T329" s="237"/>
      <c r="U329" s="237"/>
      <c r="V329" s="237"/>
      <c r="W329" s="237"/>
      <c r="X329" s="237"/>
      <c r="Y329" s="237"/>
      <c r="Z329" s="237"/>
    </row>
    <row r="330" spans="1:26" ht="24.75" customHeight="1" x14ac:dyDescent="0.25">
      <c r="A330" s="236"/>
      <c r="B330" s="237"/>
      <c r="C330" s="236"/>
      <c r="D330" s="238"/>
      <c r="E330" s="238"/>
      <c r="F330" s="238"/>
      <c r="G330" s="239"/>
      <c r="H330" s="241"/>
      <c r="I330" s="244"/>
      <c r="J330" s="241"/>
      <c r="K330" s="237"/>
      <c r="L330" s="237"/>
      <c r="M330" s="237"/>
      <c r="N330" s="237"/>
      <c r="O330" s="237"/>
      <c r="P330" s="237"/>
      <c r="Q330" s="237"/>
      <c r="R330" s="237"/>
      <c r="S330" s="237"/>
      <c r="T330" s="237"/>
      <c r="U330" s="237"/>
      <c r="V330" s="237"/>
      <c r="W330" s="237"/>
      <c r="X330" s="237"/>
      <c r="Y330" s="237"/>
      <c r="Z330" s="237"/>
    </row>
    <row r="331" spans="1:26" ht="24.75" customHeight="1" x14ac:dyDescent="0.25">
      <c r="A331" s="236"/>
      <c r="B331" s="237"/>
      <c r="C331" s="236"/>
      <c r="D331" s="238"/>
      <c r="E331" s="238"/>
      <c r="F331" s="238"/>
      <c r="G331" s="239"/>
      <c r="H331" s="241"/>
      <c r="I331" s="244"/>
      <c r="J331" s="241"/>
      <c r="K331" s="237"/>
      <c r="L331" s="237"/>
      <c r="M331" s="237"/>
      <c r="N331" s="237"/>
      <c r="O331" s="237"/>
      <c r="P331" s="237"/>
      <c r="Q331" s="237"/>
      <c r="R331" s="237"/>
      <c r="S331" s="237"/>
      <c r="T331" s="237"/>
      <c r="U331" s="237"/>
      <c r="V331" s="237"/>
      <c r="W331" s="237"/>
      <c r="X331" s="237"/>
      <c r="Y331" s="237"/>
      <c r="Z331" s="237"/>
    </row>
    <row r="332" spans="1:26" ht="24.75" customHeight="1" x14ac:dyDescent="0.25">
      <c r="A332" s="236"/>
      <c r="B332" s="237"/>
      <c r="C332" s="236"/>
      <c r="D332" s="238"/>
      <c r="E332" s="238"/>
      <c r="F332" s="238"/>
      <c r="G332" s="239"/>
      <c r="H332" s="241"/>
      <c r="I332" s="244"/>
      <c r="J332" s="241"/>
      <c r="K332" s="237"/>
      <c r="L332" s="237"/>
      <c r="M332" s="237"/>
      <c r="N332" s="237"/>
      <c r="O332" s="237"/>
      <c r="P332" s="237"/>
      <c r="Q332" s="237"/>
      <c r="R332" s="237"/>
      <c r="S332" s="237"/>
      <c r="T332" s="237"/>
      <c r="U332" s="237"/>
      <c r="V332" s="237"/>
      <c r="W332" s="237"/>
      <c r="X332" s="237"/>
      <c r="Y332" s="237"/>
      <c r="Z332" s="237"/>
    </row>
    <row r="333" spans="1:26" ht="24.75" customHeight="1" x14ac:dyDescent="0.25">
      <c r="A333" s="236"/>
      <c r="B333" s="237"/>
      <c r="C333" s="236"/>
      <c r="D333" s="238"/>
      <c r="E333" s="238"/>
      <c r="F333" s="238"/>
      <c r="G333" s="239"/>
      <c r="H333" s="241"/>
      <c r="I333" s="244"/>
      <c r="J333" s="241"/>
      <c r="K333" s="237"/>
      <c r="L333" s="237"/>
      <c r="M333" s="237"/>
      <c r="N333" s="237"/>
      <c r="O333" s="237"/>
      <c r="P333" s="237"/>
      <c r="Q333" s="237"/>
      <c r="R333" s="237"/>
      <c r="S333" s="237"/>
      <c r="T333" s="237"/>
      <c r="U333" s="237"/>
      <c r="V333" s="237"/>
      <c r="W333" s="237"/>
      <c r="X333" s="237"/>
      <c r="Y333" s="237"/>
      <c r="Z333" s="237"/>
    </row>
    <row r="334" spans="1:26" ht="24.75" customHeight="1" x14ac:dyDescent="0.25">
      <c r="A334" s="236"/>
      <c r="B334" s="237"/>
      <c r="C334" s="236"/>
      <c r="D334" s="238"/>
      <c r="E334" s="238"/>
      <c r="F334" s="238"/>
      <c r="G334" s="239"/>
      <c r="H334" s="241"/>
      <c r="I334" s="244"/>
      <c r="J334" s="241"/>
      <c r="K334" s="237"/>
      <c r="L334" s="237"/>
      <c r="M334" s="237"/>
      <c r="N334" s="237"/>
      <c r="O334" s="237"/>
      <c r="P334" s="237"/>
      <c r="Q334" s="237"/>
      <c r="R334" s="237"/>
      <c r="S334" s="237"/>
      <c r="T334" s="237"/>
      <c r="U334" s="237"/>
      <c r="V334" s="237"/>
      <c r="W334" s="237"/>
      <c r="X334" s="237"/>
      <c r="Y334" s="237"/>
      <c r="Z334" s="237"/>
    </row>
    <row r="335" spans="1:26" ht="24.75" customHeight="1" x14ac:dyDescent="0.25">
      <c r="A335" s="236"/>
      <c r="B335" s="237"/>
      <c r="C335" s="236"/>
      <c r="D335" s="238"/>
      <c r="E335" s="238"/>
      <c r="F335" s="238"/>
      <c r="G335" s="239"/>
      <c r="H335" s="241"/>
      <c r="I335" s="244"/>
      <c r="J335" s="241"/>
      <c r="K335" s="237"/>
      <c r="L335" s="237"/>
      <c r="M335" s="237"/>
      <c r="N335" s="237"/>
      <c r="O335" s="237"/>
      <c r="P335" s="237"/>
      <c r="Q335" s="237"/>
      <c r="R335" s="237"/>
      <c r="S335" s="237"/>
      <c r="T335" s="237"/>
      <c r="U335" s="237"/>
      <c r="V335" s="237"/>
      <c r="W335" s="237"/>
      <c r="X335" s="237"/>
      <c r="Y335" s="237"/>
      <c r="Z335" s="237"/>
    </row>
    <row r="336" spans="1:26" ht="24.75" customHeight="1" x14ac:dyDescent="0.25">
      <c r="A336" s="236"/>
      <c r="B336" s="237"/>
      <c r="C336" s="236"/>
      <c r="D336" s="238"/>
      <c r="E336" s="238"/>
      <c r="F336" s="238"/>
      <c r="G336" s="239"/>
      <c r="H336" s="241"/>
      <c r="I336" s="244"/>
      <c r="J336" s="241"/>
      <c r="K336" s="237"/>
      <c r="L336" s="237"/>
      <c r="M336" s="237"/>
      <c r="N336" s="237"/>
      <c r="O336" s="237"/>
      <c r="P336" s="237"/>
      <c r="Q336" s="237"/>
      <c r="R336" s="237"/>
      <c r="S336" s="237"/>
      <c r="T336" s="237"/>
      <c r="U336" s="237"/>
      <c r="V336" s="237"/>
      <c r="W336" s="237"/>
      <c r="X336" s="237"/>
      <c r="Y336" s="237"/>
      <c r="Z336" s="237"/>
    </row>
    <row r="337" spans="1:26" ht="24.75" customHeight="1" x14ac:dyDescent="0.25">
      <c r="A337" s="236"/>
      <c r="B337" s="237"/>
      <c r="C337" s="236"/>
      <c r="D337" s="238"/>
      <c r="E337" s="238"/>
      <c r="F337" s="238"/>
      <c r="G337" s="239"/>
      <c r="H337" s="241"/>
      <c r="I337" s="244"/>
      <c r="J337" s="241"/>
      <c r="K337" s="237"/>
      <c r="L337" s="237"/>
      <c r="M337" s="237"/>
      <c r="N337" s="237"/>
      <c r="O337" s="237"/>
      <c r="P337" s="237"/>
      <c r="Q337" s="237"/>
      <c r="R337" s="237"/>
      <c r="S337" s="237"/>
      <c r="T337" s="237"/>
      <c r="U337" s="237"/>
      <c r="V337" s="237"/>
      <c r="W337" s="237"/>
      <c r="X337" s="237"/>
      <c r="Y337" s="237"/>
      <c r="Z337" s="237"/>
    </row>
    <row r="338" spans="1:26" ht="24.75" customHeight="1" x14ac:dyDescent="0.25">
      <c r="A338" s="236"/>
      <c r="B338" s="237"/>
      <c r="C338" s="236"/>
      <c r="D338" s="238"/>
      <c r="E338" s="238"/>
      <c r="F338" s="238"/>
      <c r="G338" s="239"/>
      <c r="H338" s="241"/>
      <c r="I338" s="244"/>
      <c r="J338" s="241"/>
      <c r="K338" s="237"/>
      <c r="L338" s="237"/>
      <c r="M338" s="237"/>
      <c r="N338" s="237"/>
      <c r="O338" s="237"/>
      <c r="P338" s="237"/>
      <c r="Q338" s="237"/>
      <c r="R338" s="237"/>
      <c r="S338" s="237"/>
      <c r="T338" s="237"/>
      <c r="U338" s="237"/>
      <c r="V338" s="237"/>
      <c r="W338" s="237"/>
      <c r="X338" s="237"/>
      <c r="Y338" s="237"/>
      <c r="Z338" s="237"/>
    </row>
    <row r="339" spans="1:26" ht="24.75" customHeight="1" x14ac:dyDescent="0.25">
      <c r="A339" s="236"/>
      <c r="B339" s="237"/>
      <c r="C339" s="236"/>
      <c r="D339" s="238"/>
      <c r="E339" s="238"/>
      <c r="F339" s="238"/>
      <c r="G339" s="239"/>
      <c r="H339" s="241"/>
      <c r="I339" s="244"/>
      <c r="J339" s="241"/>
      <c r="K339" s="237"/>
      <c r="L339" s="237"/>
      <c r="M339" s="237"/>
      <c r="N339" s="237"/>
      <c r="O339" s="237"/>
      <c r="P339" s="237"/>
      <c r="Q339" s="237"/>
      <c r="R339" s="237"/>
      <c r="S339" s="237"/>
      <c r="T339" s="237"/>
      <c r="U339" s="237"/>
      <c r="V339" s="237"/>
      <c r="W339" s="237"/>
      <c r="X339" s="237"/>
      <c r="Y339" s="237"/>
      <c r="Z339" s="237"/>
    </row>
    <row r="340" spans="1:26" ht="24.75" customHeight="1" x14ac:dyDescent="0.25">
      <c r="A340" s="236"/>
      <c r="B340" s="237"/>
      <c r="C340" s="236"/>
      <c r="D340" s="238"/>
      <c r="E340" s="238"/>
      <c r="F340" s="238"/>
      <c r="G340" s="239"/>
      <c r="H340" s="241"/>
      <c r="I340" s="244"/>
      <c r="J340" s="241"/>
      <c r="K340" s="237"/>
      <c r="L340" s="237"/>
      <c r="M340" s="237"/>
      <c r="N340" s="237"/>
      <c r="O340" s="237"/>
      <c r="P340" s="237"/>
      <c r="Q340" s="237"/>
      <c r="R340" s="237"/>
      <c r="S340" s="237"/>
      <c r="T340" s="237"/>
      <c r="U340" s="237"/>
      <c r="V340" s="237"/>
      <c r="W340" s="237"/>
      <c r="X340" s="237"/>
      <c r="Y340" s="237"/>
      <c r="Z340" s="237"/>
    </row>
    <row r="341" spans="1:26" ht="24.75" customHeight="1" x14ac:dyDescent="0.25">
      <c r="A341" s="236"/>
      <c r="B341" s="237"/>
      <c r="C341" s="236"/>
      <c r="D341" s="238"/>
      <c r="E341" s="238"/>
      <c r="F341" s="238"/>
      <c r="G341" s="239"/>
      <c r="H341" s="241"/>
      <c r="I341" s="244"/>
      <c r="J341" s="241"/>
      <c r="K341" s="237"/>
      <c r="L341" s="237"/>
      <c r="M341" s="237"/>
      <c r="N341" s="237"/>
      <c r="O341" s="237"/>
      <c r="P341" s="237"/>
      <c r="Q341" s="237"/>
      <c r="R341" s="237"/>
      <c r="S341" s="237"/>
      <c r="T341" s="237"/>
      <c r="U341" s="237"/>
      <c r="V341" s="237"/>
      <c r="W341" s="237"/>
      <c r="X341" s="237"/>
      <c r="Y341" s="237"/>
      <c r="Z341" s="237"/>
    </row>
    <row r="342" spans="1:26" ht="24.75" customHeight="1" x14ac:dyDescent="0.25">
      <c r="A342" s="236"/>
      <c r="B342" s="237"/>
      <c r="C342" s="236"/>
      <c r="D342" s="238"/>
      <c r="E342" s="238"/>
      <c r="F342" s="238"/>
      <c r="G342" s="239"/>
      <c r="H342" s="241"/>
      <c r="I342" s="244"/>
      <c r="J342" s="241"/>
      <c r="K342" s="237"/>
      <c r="L342" s="237"/>
      <c r="M342" s="237"/>
      <c r="N342" s="237"/>
      <c r="O342" s="237"/>
      <c r="P342" s="237"/>
      <c r="Q342" s="237"/>
      <c r="R342" s="237"/>
      <c r="S342" s="237"/>
      <c r="T342" s="237"/>
      <c r="U342" s="237"/>
      <c r="V342" s="237"/>
      <c r="W342" s="237"/>
      <c r="X342" s="237"/>
      <c r="Y342" s="237"/>
      <c r="Z342" s="237"/>
    </row>
    <row r="343" spans="1:26" ht="24.75" customHeight="1" x14ac:dyDescent="0.25">
      <c r="A343" s="236"/>
      <c r="B343" s="237"/>
      <c r="C343" s="236"/>
      <c r="D343" s="238"/>
      <c r="E343" s="238"/>
      <c r="F343" s="238"/>
      <c r="G343" s="239"/>
      <c r="H343" s="241"/>
      <c r="I343" s="244"/>
      <c r="J343" s="241"/>
      <c r="K343" s="237"/>
      <c r="L343" s="237"/>
      <c r="M343" s="237"/>
      <c r="N343" s="237"/>
      <c r="O343" s="237"/>
      <c r="P343" s="237"/>
      <c r="Q343" s="237"/>
      <c r="R343" s="237"/>
      <c r="S343" s="237"/>
      <c r="T343" s="237"/>
      <c r="U343" s="237"/>
      <c r="V343" s="237"/>
      <c r="W343" s="237"/>
      <c r="X343" s="237"/>
      <c r="Y343" s="237"/>
      <c r="Z343" s="237"/>
    </row>
    <row r="344" spans="1:26" ht="24.75" customHeight="1" x14ac:dyDescent="0.25">
      <c r="A344" s="236"/>
      <c r="B344" s="237"/>
      <c r="C344" s="236"/>
      <c r="D344" s="238"/>
      <c r="E344" s="238"/>
      <c r="F344" s="238"/>
      <c r="G344" s="239"/>
      <c r="H344" s="241"/>
      <c r="I344" s="244"/>
      <c r="J344" s="241"/>
      <c r="K344" s="237"/>
      <c r="L344" s="237"/>
      <c r="M344" s="237"/>
      <c r="N344" s="237"/>
      <c r="O344" s="237"/>
      <c r="P344" s="237"/>
      <c r="Q344" s="237"/>
      <c r="R344" s="237"/>
      <c r="S344" s="237"/>
      <c r="T344" s="237"/>
      <c r="U344" s="237"/>
      <c r="V344" s="237"/>
      <c r="W344" s="237"/>
      <c r="X344" s="237"/>
      <c r="Y344" s="237"/>
      <c r="Z344" s="237"/>
    </row>
    <row r="345" spans="1:26" ht="24.75" customHeight="1" x14ac:dyDescent="0.25">
      <c r="A345" s="236"/>
      <c r="B345" s="237"/>
      <c r="C345" s="236"/>
      <c r="D345" s="238"/>
      <c r="E345" s="238"/>
      <c r="F345" s="238"/>
      <c r="G345" s="239"/>
      <c r="H345" s="241"/>
      <c r="I345" s="244"/>
      <c r="J345" s="241"/>
      <c r="K345" s="237"/>
      <c r="L345" s="237"/>
      <c r="M345" s="237"/>
      <c r="N345" s="237"/>
      <c r="O345" s="237"/>
      <c r="P345" s="237"/>
      <c r="Q345" s="237"/>
      <c r="R345" s="237"/>
      <c r="S345" s="237"/>
      <c r="T345" s="237"/>
      <c r="U345" s="237"/>
      <c r="V345" s="237"/>
      <c r="W345" s="237"/>
      <c r="X345" s="237"/>
      <c r="Y345" s="237"/>
      <c r="Z345" s="237"/>
    </row>
    <row r="346" spans="1:26" ht="24.75" customHeight="1" x14ac:dyDescent="0.25">
      <c r="A346" s="236"/>
      <c r="B346" s="237"/>
      <c r="C346" s="236"/>
      <c r="D346" s="238"/>
      <c r="E346" s="238"/>
      <c r="F346" s="238"/>
      <c r="G346" s="239"/>
      <c r="H346" s="241"/>
      <c r="I346" s="244"/>
      <c r="J346" s="241"/>
      <c r="K346" s="237"/>
      <c r="L346" s="237"/>
      <c r="M346" s="237"/>
      <c r="N346" s="237"/>
      <c r="O346" s="237"/>
      <c r="P346" s="237"/>
      <c r="Q346" s="237"/>
      <c r="R346" s="237"/>
      <c r="S346" s="237"/>
      <c r="T346" s="237"/>
      <c r="U346" s="237"/>
      <c r="V346" s="237"/>
      <c r="W346" s="237"/>
      <c r="X346" s="237"/>
      <c r="Y346" s="237"/>
      <c r="Z346" s="237"/>
    </row>
    <row r="347" spans="1:26" ht="24.75" customHeight="1" x14ac:dyDescent="0.25">
      <c r="A347" s="236"/>
      <c r="B347" s="237"/>
      <c r="C347" s="236"/>
      <c r="D347" s="238"/>
      <c r="E347" s="238"/>
      <c r="F347" s="238"/>
      <c r="G347" s="239"/>
      <c r="H347" s="241"/>
      <c r="I347" s="244"/>
      <c r="J347" s="241"/>
      <c r="K347" s="237"/>
      <c r="L347" s="237"/>
      <c r="M347" s="237"/>
      <c r="N347" s="237"/>
      <c r="O347" s="237"/>
      <c r="P347" s="237"/>
      <c r="Q347" s="237"/>
      <c r="R347" s="237"/>
      <c r="S347" s="237"/>
      <c r="T347" s="237"/>
      <c r="U347" s="237"/>
      <c r="V347" s="237"/>
      <c r="W347" s="237"/>
      <c r="X347" s="237"/>
      <c r="Y347" s="237"/>
      <c r="Z347" s="237"/>
    </row>
    <row r="348" spans="1:26" ht="24.75" customHeight="1" x14ac:dyDescent="0.25">
      <c r="A348" s="236"/>
      <c r="B348" s="237"/>
      <c r="C348" s="236"/>
      <c r="D348" s="238"/>
      <c r="E348" s="238"/>
      <c r="F348" s="238"/>
      <c r="G348" s="239"/>
      <c r="H348" s="241"/>
      <c r="I348" s="244"/>
      <c r="J348" s="241"/>
      <c r="K348" s="237"/>
      <c r="L348" s="237"/>
      <c r="M348" s="237"/>
      <c r="N348" s="237"/>
      <c r="O348" s="237"/>
      <c r="P348" s="237"/>
      <c r="Q348" s="237"/>
      <c r="R348" s="237"/>
      <c r="S348" s="237"/>
      <c r="T348" s="237"/>
      <c r="U348" s="237"/>
      <c r="V348" s="237"/>
      <c r="W348" s="237"/>
      <c r="X348" s="237"/>
      <c r="Y348" s="237"/>
      <c r="Z348" s="237"/>
    </row>
    <row r="349" spans="1:26" ht="24.75" customHeight="1" x14ac:dyDescent="0.25">
      <c r="A349" s="236"/>
      <c r="B349" s="237"/>
      <c r="C349" s="236"/>
      <c r="D349" s="238"/>
      <c r="E349" s="238"/>
      <c r="F349" s="238"/>
      <c r="G349" s="239"/>
      <c r="H349" s="241"/>
      <c r="I349" s="244"/>
      <c r="J349" s="241"/>
      <c r="K349" s="237"/>
      <c r="L349" s="237"/>
      <c r="M349" s="237"/>
      <c r="N349" s="237"/>
      <c r="O349" s="237"/>
      <c r="P349" s="237"/>
      <c r="Q349" s="237"/>
      <c r="R349" s="237"/>
      <c r="S349" s="237"/>
      <c r="T349" s="237"/>
      <c r="U349" s="237"/>
      <c r="V349" s="237"/>
      <c r="W349" s="237"/>
      <c r="X349" s="237"/>
      <c r="Y349" s="237"/>
      <c r="Z349" s="237"/>
    </row>
    <row r="350" spans="1:26" ht="24.75" customHeight="1" x14ac:dyDescent="0.25">
      <c r="A350" s="236"/>
      <c r="B350" s="237"/>
      <c r="C350" s="236"/>
      <c r="D350" s="238"/>
      <c r="E350" s="238"/>
      <c r="F350" s="238"/>
      <c r="G350" s="239"/>
      <c r="H350" s="241"/>
      <c r="I350" s="244"/>
      <c r="J350" s="241"/>
      <c r="K350" s="237"/>
      <c r="L350" s="237"/>
      <c r="M350" s="237"/>
      <c r="N350" s="237"/>
      <c r="O350" s="237"/>
      <c r="P350" s="237"/>
      <c r="Q350" s="237"/>
      <c r="R350" s="237"/>
      <c r="S350" s="237"/>
      <c r="T350" s="237"/>
      <c r="U350" s="237"/>
      <c r="V350" s="237"/>
      <c r="W350" s="237"/>
      <c r="X350" s="237"/>
      <c r="Y350" s="237"/>
      <c r="Z350" s="237"/>
    </row>
    <row r="351" spans="1:26" ht="24.75" customHeight="1" x14ac:dyDescent="0.25">
      <c r="A351" s="236"/>
      <c r="B351" s="237"/>
      <c r="C351" s="236"/>
      <c r="D351" s="238"/>
      <c r="E351" s="238"/>
      <c r="F351" s="238"/>
      <c r="G351" s="239"/>
      <c r="H351" s="241"/>
      <c r="I351" s="244"/>
      <c r="J351" s="241"/>
      <c r="K351" s="237"/>
      <c r="L351" s="237"/>
      <c r="M351" s="237"/>
      <c r="N351" s="237"/>
      <c r="O351" s="237"/>
      <c r="P351" s="237"/>
      <c r="Q351" s="237"/>
      <c r="R351" s="237"/>
      <c r="S351" s="237"/>
      <c r="T351" s="237"/>
      <c r="U351" s="237"/>
      <c r="V351" s="237"/>
      <c r="W351" s="237"/>
      <c r="X351" s="237"/>
      <c r="Y351" s="237"/>
      <c r="Z351" s="237"/>
    </row>
    <row r="352" spans="1:26" ht="24.75" customHeight="1" x14ac:dyDescent="0.25">
      <c r="A352" s="236"/>
      <c r="B352" s="237"/>
      <c r="C352" s="236"/>
      <c r="D352" s="238"/>
      <c r="E352" s="238"/>
      <c r="F352" s="238"/>
      <c r="G352" s="239"/>
      <c r="H352" s="241"/>
      <c r="I352" s="244"/>
      <c r="J352" s="241"/>
      <c r="K352" s="237"/>
      <c r="L352" s="237"/>
      <c r="M352" s="237"/>
      <c r="N352" s="237"/>
      <c r="O352" s="237"/>
      <c r="P352" s="237"/>
      <c r="Q352" s="237"/>
      <c r="R352" s="237"/>
      <c r="S352" s="237"/>
      <c r="T352" s="237"/>
      <c r="U352" s="237"/>
      <c r="V352" s="237"/>
      <c r="W352" s="237"/>
      <c r="X352" s="237"/>
      <c r="Y352" s="237"/>
      <c r="Z352" s="237"/>
    </row>
    <row r="353" spans="1:26" ht="24.75" customHeight="1" x14ac:dyDescent="0.25">
      <c r="A353" s="236"/>
      <c r="B353" s="237"/>
      <c r="C353" s="236"/>
      <c r="D353" s="238"/>
      <c r="E353" s="238"/>
      <c r="F353" s="238"/>
      <c r="G353" s="239"/>
      <c r="H353" s="241"/>
      <c r="I353" s="244"/>
      <c r="J353" s="241"/>
      <c r="K353" s="237"/>
      <c r="L353" s="237"/>
      <c r="M353" s="237"/>
      <c r="N353" s="237"/>
      <c r="O353" s="237"/>
      <c r="P353" s="237"/>
      <c r="Q353" s="237"/>
      <c r="R353" s="237"/>
      <c r="S353" s="237"/>
      <c r="T353" s="237"/>
      <c r="U353" s="237"/>
      <c r="V353" s="237"/>
      <c r="W353" s="237"/>
      <c r="X353" s="237"/>
      <c r="Y353" s="237"/>
      <c r="Z353" s="237"/>
    </row>
    <row r="354" spans="1:26" ht="24.75" customHeight="1" x14ac:dyDescent="0.25">
      <c r="A354" s="236"/>
      <c r="B354" s="237"/>
      <c r="C354" s="236"/>
      <c r="D354" s="238"/>
      <c r="E354" s="238"/>
      <c r="F354" s="238"/>
      <c r="G354" s="239"/>
      <c r="H354" s="241"/>
      <c r="I354" s="244"/>
      <c r="J354" s="241"/>
      <c r="K354" s="237"/>
      <c r="L354" s="237"/>
      <c r="M354" s="237"/>
      <c r="N354" s="237"/>
      <c r="O354" s="237"/>
      <c r="P354" s="237"/>
      <c r="Q354" s="237"/>
      <c r="R354" s="237"/>
      <c r="S354" s="237"/>
      <c r="T354" s="237"/>
      <c r="U354" s="237"/>
      <c r="V354" s="237"/>
      <c r="W354" s="237"/>
      <c r="X354" s="237"/>
      <c r="Y354" s="237"/>
      <c r="Z354" s="237"/>
    </row>
    <row r="355" spans="1:26" ht="24.75" customHeight="1" x14ac:dyDescent="0.25">
      <c r="A355" s="236"/>
      <c r="B355" s="237"/>
      <c r="C355" s="236"/>
      <c r="D355" s="238"/>
      <c r="E355" s="238"/>
      <c r="F355" s="238"/>
      <c r="G355" s="239"/>
      <c r="H355" s="241"/>
      <c r="I355" s="244"/>
      <c r="J355" s="241"/>
      <c r="K355" s="237"/>
      <c r="L355" s="237"/>
      <c r="M355" s="237"/>
      <c r="N355" s="237"/>
      <c r="O355" s="237"/>
      <c r="P355" s="237"/>
      <c r="Q355" s="237"/>
      <c r="R355" s="237"/>
      <c r="S355" s="237"/>
      <c r="T355" s="237"/>
      <c r="U355" s="237"/>
      <c r="V355" s="237"/>
      <c r="W355" s="237"/>
      <c r="X355" s="237"/>
      <c r="Y355" s="237"/>
      <c r="Z355" s="237"/>
    </row>
    <row r="356" spans="1:26" ht="24.75" customHeight="1" x14ac:dyDescent="0.25">
      <c r="A356" s="236"/>
      <c r="B356" s="237"/>
      <c r="C356" s="236"/>
      <c r="D356" s="238"/>
      <c r="E356" s="238"/>
      <c r="F356" s="238"/>
      <c r="G356" s="239"/>
      <c r="H356" s="241"/>
      <c r="I356" s="244"/>
      <c r="J356" s="241"/>
      <c r="K356" s="237"/>
      <c r="L356" s="237"/>
      <c r="M356" s="237"/>
      <c r="N356" s="237"/>
      <c r="O356" s="237"/>
      <c r="P356" s="237"/>
      <c r="Q356" s="237"/>
      <c r="R356" s="237"/>
      <c r="S356" s="237"/>
      <c r="T356" s="237"/>
      <c r="U356" s="237"/>
      <c r="V356" s="237"/>
      <c r="W356" s="237"/>
      <c r="X356" s="237"/>
      <c r="Y356" s="237"/>
      <c r="Z356" s="237"/>
    </row>
    <row r="357" spans="1:26" ht="24.75" customHeight="1" x14ac:dyDescent="0.25">
      <c r="A357" s="236"/>
      <c r="B357" s="237"/>
      <c r="C357" s="236"/>
      <c r="D357" s="238"/>
      <c r="E357" s="238"/>
      <c r="F357" s="238"/>
      <c r="G357" s="239"/>
      <c r="H357" s="241"/>
      <c r="I357" s="244"/>
      <c r="J357" s="241"/>
      <c r="K357" s="237"/>
      <c r="L357" s="237"/>
      <c r="M357" s="237"/>
      <c r="N357" s="237"/>
      <c r="O357" s="237"/>
      <c r="P357" s="237"/>
      <c r="Q357" s="237"/>
      <c r="R357" s="237"/>
      <c r="S357" s="237"/>
      <c r="T357" s="237"/>
      <c r="U357" s="237"/>
      <c r="V357" s="237"/>
      <c r="W357" s="237"/>
      <c r="X357" s="237"/>
      <c r="Y357" s="237"/>
      <c r="Z357" s="237"/>
    </row>
    <row r="358" spans="1:26" ht="24.75" customHeight="1" x14ac:dyDescent="0.25">
      <c r="A358" s="236"/>
      <c r="B358" s="237"/>
      <c r="C358" s="236"/>
      <c r="D358" s="238"/>
      <c r="E358" s="238"/>
      <c r="F358" s="238"/>
      <c r="G358" s="239"/>
      <c r="H358" s="241"/>
      <c r="I358" s="244"/>
      <c r="J358" s="241"/>
      <c r="K358" s="237"/>
      <c r="L358" s="237"/>
      <c r="M358" s="237"/>
      <c r="N358" s="237"/>
      <c r="O358" s="237"/>
      <c r="P358" s="237"/>
      <c r="Q358" s="237"/>
      <c r="R358" s="237"/>
      <c r="S358" s="237"/>
      <c r="T358" s="237"/>
      <c r="U358" s="237"/>
      <c r="V358" s="237"/>
      <c r="W358" s="237"/>
      <c r="X358" s="237"/>
      <c r="Y358" s="237"/>
      <c r="Z358" s="237"/>
    </row>
    <row r="359" spans="1:26" ht="24.75" customHeight="1" x14ac:dyDescent="0.25">
      <c r="A359" s="236"/>
      <c r="B359" s="237"/>
      <c r="C359" s="236"/>
      <c r="D359" s="238"/>
      <c r="E359" s="238"/>
      <c r="F359" s="238"/>
      <c r="G359" s="239"/>
      <c r="H359" s="241"/>
      <c r="I359" s="244"/>
      <c r="J359" s="241"/>
      <c r="K359" s="237"/>
      <c r="L359" s="237"/>
      <c r="M359" s="237"/>
      <c r="N359" s="237"/>
      <c r="O359" s="237"/>
      <c r="P359" s="237"/>
      <c r="Q359" s="237"/>
      <c r="R359" s="237"/>
      <c r="S359" s="237"/>
      <c r="T359" s="237"/>
      <c r="U359" s="237"/>
      <c r="V359" s="237"/>
      <c r="W359" s="237"/>
      <c r="X359" s="237"/>
      <c r="Y359" s="237"/>
      <c r="Z359" s="237"/>
    </row>
    <row r="360" spans="1:26" ht="24.75" customHeight="1" x14ac:dyDescent="0.25">
      <c r="A360" s="236"/>
      <c r="B360" s="237"/>
      <c r="C360" s="236"/>
      <c r="D360" s="238"/>
      <c r="E360" s="238"/>
      <c r="F360" s="238"/>
      <c r="G360" s="239"/>
      <c r="H360" s="241"/>
      <c r="I360" s="244"/>
      <c r="J360" s="241"/>
      <c r="K360" s="237"/>
      <c r="L360" s="237"/>
      <c r="M360" s="237"/>
      <c r="N360" s="237"/>
      <c r="O360" s="237"/>
      <c r="P360" s="237"/>
      <c r="Q360" s="237"/>
      <c r="R360" s="237"/>
      <c r="S360" s="237"/>
      <c r="T360" s="237"/>
      <c r="U360" s="237"/>
      <c r="V360" s="237"/>
      <c r="W360" s="237"/>
      <c r="X360" s="237"/>
      <c r="Y360" s="237"/>
      <c r="Z360" s="237"/>
    </row>
    <row r="361" spans="1:26" ht="24.75" customHeight="1" x14ac:dyDescent="0.25">
      <c r="A361" s="236"/>
      <c r="B361" s="237"/>
      <c r="C361" s="236"/>
      <c r="D361" s="238"/>
      <c r="E361" s="238"/>
      <c r="F361" s="238"/>
      <c r="G361" s="239"/>
      <c r="H361" s="241"/>
      <c r="I361" s="244"/>
      <c r="J361" s="241"/>
      <c r="K361" s="237"/>
      <c r="L361" s="237"/>
      <c r="M361" s="237"/>
      <c r="N361" s="237"/>
      <c r="O361" s="237"/>
      <c r="P361" s="237"/>
      <c r="Q361" s="237"/>
      <c r="R361" s="237"/>
      <c r="S361" s="237"/>
      <c r="T361" s="237"/>
      <c r="U361" s="237"/>
      <c r="V361" s="237"/>
      <c r="W361" s="237"/>
      <c r="X361" s="237"/>
      <c r="Y361" s="237"/>
      <c r="Z361" s="237"/>
    </row>
    <row r="362" spans="1:26" ht="24.75" customHeight="1" x14ac:dyDescent="0.25">
      <c r="A362" s="236"/>
      <c r="B362" s="237"/>
      <c r="C362" s="236"/>
      <c r="D362" s="238"/>
      <c r="E362" s="238"/>
      <c r="F362" s="238"/>
      <c r="G362" s="239"/>
      <c r="H362" s="241"/>
      <c r="I362" s="244"/>
      <c r="J362" s="241"/>
      <c r="K362" s="237"/>
      <c r="L362" s="237"/>
      <c r="M362" s="237"/>
      <c r="N362" s="237"/>
      <c r="O362" s="237"/>
      <c r="P362" s="237"/>
      <c r="Q362" s="237"/>
      <c r="R362" s="237"/>
      <c r="S362" s="237"/>
      <c r="T362" s="237"/>
      <c r="U362" s="237"/>
      <c r="V362" s="237"/>
      <c r="W362" s="237"/>
      <c r="X362" s="237"/>
      <c r="Y362" s="237"/>
      <c r="Z362" s="237"/>
    </row>
    <row r="363" spans="1:26" ht="24.75" customHeight="1" x14ac:dyDescent="0.25">
      <c r="A363" s="236"/>
      <c r="B363" s="237"/>
      <c r="C363" s="236"/>
      <c r="D363" s="238"/>
      <c r="E363" s="238"/>
      <c r="F363" s="238"/>
      <c r="G363" s="239"/>
      <c r="H363" s="241"/>
      <c r="I363" s="244"/>
      <c r="J363" s="241"/>
      <c r="K363" s="237"/>
      <c r="L363" s="237"/>
      <c r="M363" s="237"/>
      <c r="N363" s="237"/>
      <c r="O363" s="237"/>
      <c r="P363" s="237"/>
      <c r="Q363" s="237"/>
      <c r="R363" s="237"/>
      <c r="S363" s="237"/>
      <c r="T363" s="237"/>
      <c r="U363" s="237"/>
      <c r="V363" s="237"/>
      <c r="W363" s="237"/>
      <c r="X363" s="237"/>
      <c r="Y363" s="237"/>
      <c r="Z363" s="237"/>
    </row>
    <row r="364" spans="1:26" ht="24.75" customHeight="1" x14ac:dyDescent="0.25">
      <c r="A364" s="236"/>
      <c r="B364" s="237"/>
      <c r="C364" s="236"/>
      <c r="D364" s="238"/>
      <c r="E364" s="238"/>
      <c r="F364" s="238"/>
      <c r="G364" s="239"/>
      <c r="H364" s="241"/>
      <c r="I364" s="244"/>
      <c r="J364" s="241"/>
      <c r="K364" s="237"/>
      <c r="L364" s="237"/>
      <c r="M364" s="237"/>
      <c r="N364" s="237"/>
      <c r="O364" s="237"/>
      <c r="P364" s="237"/>
      <c r="Q364" s="237"/>
      <c r="R364" s="237"/>
      <c r="S364" s="237"/>
      <c r="T364" s="237"/>
      <c r="U364" s="237"/>
      <c r="V364" s="237"/>
      <c r="W364" s="237"/>
      <c r="X364" s="237"/>
      <c r="Y364" s="237"/>
      <c r="Z364" s="237"/>
    </row>
    <row r="365" spans="1:26" ht="24.75" customHeight="1" x14ac:dyDescent="0.25">
      <c r="A365" s="236"/>
      <c r="B365" s="237"/>
      <c r="C365" s="236"/>
      <c r="D365" s="238"/>
      <c r="E365" s="238"/>
      <c r="F365" s="238"/>
      <c r="G365" s="239"/>
      <c r="H365" s="241"/>
      <c r="I365" s="244"/>
      <c r="J365" s="241"/>
      <c r="K365" s="237"/>
      <c r="L365" s="237"/>
      <c r="M365" s="237"/>
      <c r="N365" s="237"/>
      <c r="O365" s="237"/>
      <c r="P365" s="237"/>
      <c r="Q365" s="237"/>
      <c r="R365" s="237"/>
      <c r="S365" s="237"/>
      <c r="T365" s="237"/>
      <c r="U365" s="237"/>
      <c r="V365" s="237"/>
      <c r="W365" s="237"/>
      <c r="X365" s="237"/>
      <c r="Y365" s="237"/>
      <c r="Z365" s="237"/>
    </row>
    <row r="366" spans="1:26" ht="24.75" customHeight="1" x14ac:dyDescent="0.25">
      <c r="A366" s="236"/>
      <c r="B366" s="237"/>
      <c r="C366" s="236"/>
      <c r="D366" s="238"/>
      <c r="E366" s="238"/>
      <c r="F366" s="238"/>
      <c r="G366" s="239"/>
      <c r="H366" s="241"/>
      <c r="I366" s="244"/>
      <c r="J366" s="241"/>
      <c r="K366" s="237"/>
      <c r="L366" s="237"/>
      <c r="M366" s="237"/>
      <c r="N366" s="237"/>
      <c r="O366" s="237"/>
      <c r="P366" s="237"/>
      <c r="Q366" s="237"/>
      <c r="R366" s="237"/>
      <c r="S366" s="237"/>
      <c r="T366" s="237"/>
      <c r="U366" s="237"/>
      <c r="V366" s="237"/>
      <c r="W366" s="237"/>
      <c r="X366" s="237"/>
      <c r="Y366" s="237"/>
      <c r="Z366" s="237"/>
    </row>
    <row r="367" spans="1:26" ht="24.75" customHeight="1" x14ac:dyDescent="0.25">
      <c r="A367" s="236"/>
      <c r="B367" s="237"/>
      <c r="C367" s="236"/>
      <c r="D367" s="238"/>
      <c r="E367" s="238"/>
      <c r="F367" s="238"/>
      <c r="G367" s="239"/>
      <c r="H367" s="241"/>
      <c r="I367" s="244"/>
      <c r="J367" s="241"/>
      <c r="K367" s="237"/>
      <c r="L367" s="237"/>
      <c r="M367" s="237"/>
      <c r="N367" s="237"/>
      <c r="O367" s="237"/>
      <c r="P367" s="237"/>
      <c r="Q367" s="237"/>
      <c r="R367" s="237"/>
      <c r="S367" s="237"/>
      <c r="T367" s="237"/>
      <c r="U367" s="237"/>
      <c r="V367" s="237"/>
      <c r="W367" s="237"/>
      <c r="X367" s="237"/>
      <c r="Y367" s="237"/>
      <c r="Z367" s="237"/>
    </row>
    <row r="368" spans="1:26" ht="24.75" customHeight="1" x14ac:dyDescent="0.25">
      <c r="A368" s="236"/>
      <c r="B368" s="237"/>
      <c r="C368" s="236"/>
      <c r="D368" s="238"/>
      <c r="E368" s="238"/>
      <c r="F368" s="238"/>
      <c r="G368" s="239"/>
      <c r="H368" s="241"/>
      <c r="I368" s="244"/>
      <c r="J368" s="241"/>
      <c r="K368" s="237"/>
      <c r="L368" s="237"/>
      <c r="M368" s="237"/>
      <c r="N368" s="237"/>
      <c r="O368" s="237"/>
      <c r="P368" s="237"/>
      <c r="Q368" s="237"/>
      <c r="R368" s="237"/>
      <c r="S368" s="237"/>
      <c r="T368" s="237"/>
      <c r="U368" s="237"/>
      <c r="V368" s="237"/>
      <c r="W368" s="237"/>
      <c r="X368" s="237"/>
      <c r="Y368" s="237"/>
      <c r="Z368" s="237"/>
    </row>
    <row r="369" spans="1:26" ht="24.75" customHeight="1" x14ac:dyDescent="0.25">
      <c r="A369" s="236"/>
      <c r="B369" s="237"/>
      <c r="C369" s="236"/>
      <c r="D369" s="238"/>
      <c r="E369" s="238"/>
      <c r="F369" s="238"/>
      <c r="G369" s="239"/>
      <c r="H369" s="241"/>
      <c r="I369" s="244"/>
      <c r="J369" s="241"/>
      <c r="K369" s="237"/>
      <c r="L369" s="237"/>
      <c r="M369" s="237"/>
      <c r="N369" s="237"/>
      <c r="O369" s="237"/>
      <c r="P369" s="237"/>
      <c r="Q369" s="237"/>
      <c r="R369" s="237"/>
      <c r="S369" s="237"/>
      <c r="T369" s="237"/>
      <c r="U369" s="237"/>
      <c r="V369" s="237"/>
      <c r="W369" s="237"/>
      <c r="X369" s="237"/>
      <c r="Y369" s="237"/>
      <c r="Z369" s="237"/>
    </row>
    <row r="370" spans="1:26" ht="24.75" customHeight="1" x14ac:dyDescent="0.25">
      <c r="A370" s="236"/>
      <c r="B370" s="237"/>
      <c r="C370" s="236"/>
      <c r="D370" s="238"/>
      <c r="E370" s="238"/>
      <c r="F370" s="238"/>
      <c r="G370" s="239"/>
      <c r="H370" s="241"/>
      <c r="I370" s="244"/>
      <c r="J370" s="241"/>
      <c r="K370" s="237"/>
      <c r="L370" s="237"/>
      <c r="M370" s="237"/>
      <c r="N370" s="237"/>
      <c r="O370" s="237"/>
      <c r="P370" s="237"/>
      <c r="Q370" s="237"/>
      <c r="R370" s="237"/>
      <c r="S370" s="237"/>
      <c r="T370" s="237"/>
      <c r="U370" s="237"/>
      <c r="V370" s="237"/>
      <c r="W370" s="237"/>
      <c r="X370" s="237"/>
      <c r="Y370" s="237"/>
      <c r="Z370" s="237"/>
    </row>
    <row r="371" spans="1:26" ht="24.75" customHeight="1" x14ac:dyDescent="0.25">
      <c r="A371" s="236"/>
      <c r="B371" s="237"/>
      <c r="C371" s="236"/>
      <c r="D371" s="238"/>
      <c r="E371" s="238"/>
      <c r="F371" s="238"/>
      <c r="G371" s="239"/>
      <c r="H371" s="241"/>
      <c r="I371" s="244"/>
      <c r="J371" s="241"/>
      <c r="K371" s="237"/>
      <c r="L371" s="237"/>
      <c r="M371" s="237"/>
      <c r="N371" s="237"/>
      <c r="O371" s="237"/>
      <c r="P371" s="237"/>
      <c r="Q371" s="237"/>
      <c r="R371" s="237"/>
      <c r="S371" s="237"/>
      <c r="T371" s="237"/>
      <c r="U371" s="237"/>
      <c r="V371" s="237"/>
      <c r="W371" s="237"/>
      <c r="X371" s="237"/>
      <c r="Y371" s="237"/>
      <c r="Z371" s="237"/>
    </row>
    <row r="372" spans="1:26" ht="24.75" customHeight="1" x14ac:dyDescent="0.25">
      <c r="A372" s="236"/>
      <c r="B372" s="237"/>
      <c r="C372" s="236"/>
      <c r="D372" s="238"/>
      <c r="E372" s="238"/>
      <c r="F372" s="238"/>
      <c r="G372" s="239"/>
      <c r="H372" s="241"/>
      <c r="I372" s="244"/>
      <c r="J372" s="241"/>
      <c r="K372" s="237"/>
      <c r="L372" s="237"/>
      <c r="M372" s="237"/>
      <c r="N372" s="237"/>
      <c r="O372" s="237"/>
      <c r="P372" s="237"/>
      <c r="Q372" s="237"/>
      <c r="R372" s="237"/>
      <c r="S372" s="237"/>
      <c r="T372" s="237"/>
      <c r="U372" s="237"/>
      <c r="V372" s="237"/>
      <c r="W372" s="237"/>
      <c r="X372" s="237"/>
      <c r="Y372" s="237"/>
      <c r="Z372" s="237"/>
    </row>
    <row r="373" spans="1:26" ht="24.75" customHeight="1" x14ac:dyDescent="0.25">
      <c r="A373" s="236"/>
      <c r="B373" s="237"/>
      <c r="C373" s="236"/>
      <c r="D373" s="238"/>
      <c r="E373" s="238"/>
      <c r="F373" s="238"/>
      <c r="G373" s="239"/>
      <c r="H373" s="241"/>
      <c r="I373" s="244"/>
      <c r="J373" s="241"/>
      <c r="K373" s="237"/>
      <c r="L373" s="237"/>
      <c r="M373" s="237"/>
      <c r="N373" s="237"/>
      <c r="O373" s="237"/>
      <c r="P373" s="237"/>
      <c r="Q373" s="237"/>
      <c r="R373" s="237"/>
      <c r="S373" s="237"/>
      <c r="T373" s="237"/>
      <c r="U373" s="237"/>
      <c r="V373" s="237"/>
      <c r="W373" s="237"/>
      <c r="X373" s="237"/>
      <c r="Y373" s="237"/>
      <c r="Z373" s="237"/>
    </row>
    <row r="374" spans="1:26" ht="24.75" customHeight="1" x14ac:dyDescent="0.25">
      <c r="A374" s="236"/>
      <c r="B374" s="237"/>
      <c r="C374" s="236"/>
      <c r="D374" s="238"/>
      <c r="E374" s="238"/>
      <c r="F374" s="238"/>
      <c r="G374" s="239"/>
      <c r="H374" s="241"/>
      <c r="I374" s="244"/>
      <c r="J374" s="241"/>
      <c r="K374" s="237"/>
      <c r="L374" s="237"/>
      <c r="M374" s="237"/>
      <c r="N374" s="237"/>
      <c r="O374" s="237"/>
      <c r="P374" s="237"/>
      <c r="Q374" s="237"/>
      <c r="R374" s="237"/>
      <c r="S374" s="237"/>
      <c r="T374" s="237"/>
      <c r="U374" s="237"/>
      <c r="V374" s="237"/>
      <c r="W374" s="237"/>
      <c r="X374" s="237"/>
      <c r="Y374" s="237"/>
      <c r="Z374" s="237"/>
    </row>
    <row r="375" spans="1:26" ht="24.75" customHeight="1" x14ac:dyDescent="0.25">
      <c r="A375" s="236"/>
      <c r="B375" s="237"/>
      <c r="C375" s="236"/>
      <c r="D375" s="238"/>
      <c r="E375" s="238"/>
      <c r="F375" s="238"/>
      <c r="G375" s="239"/>
      <c r="H375" s="241"/>
      <c r="I375" s="244"/>
      <c r="J375" s="241"/>
      <c r="K375" s="237"/>
      <c r="L375" s="237"/>
      <c r="M375" s="237"/>
      <c r="N375" s="237"/>
      <c r="O375" s="237"/>
      <c r="P375" s="237"/>
      <c r="Q375" s="237"/>
      <c r="R375" s="237"/>
      <c r="S375" s="237"/>
      <c r="T375" s="237"/>
      <c r="U375" s="237"/>
      <c r="V375" s="237"/>
      <c r="W375" s="237"/>
      <c r="X375" s="237"/>
      <c r="Y375" s="237"/>
      <c r="Z375" s="237"/>
    </row>
    <row r="376" spans="1:26" ht="24.75" customHeight="1" x14ac:dyDescent="0.25">
      <c r="A376" s="236"/>
      <c r="B376" s="237"/>
      <c r="C376" s="236"/>
      <c r="D376" s="238"/>
      <c r="E376" s="238"/>
      <c r="F376" s="238"/>
      <c r="G376" s="239"/>
      <c r="H376" s="241"/>
      <c r="I376" s="244"/>
      <c r="J376" s="241"/>
      <c r="K376" s="237"/>
      <c r="L376" s="237"/>
      <c r="M376" s="237"/>
      <c r="N376" s="237"/>
      <c r="O376" s="237"/>
      <c r="P376" s="237"/>
      <c r="Q376" s="237"/>
      <c r="R376" s="237"/>
      <c r="S376" s="237"/>
      <c r="T376" s="237"/>
      <c r="U376" s="237"/>
      <c r="V376" s="237"/>
      <c r="W376" s="237"/>
      <c r="X376" s="237"/>
      <c r="Y376" s="237"/>
      <c r="Z376" s="237"/>
    </row>
    <row r="377" spans="1:26" ht="24.75" customHeight="1" x14ac:dyDescent="0.25">
      <c r="A377" s="236"/>
      <c r="B377" s="237"/>
      <c r="C377" s="236"/>
      <c r="D377" s="238"/>
      <c r="E377" s="238"/>
      <c r="F377" s="238"/>
      <c r="G377" s="239"/>
      <c r="H377" s="241"/>
      <c r="I377" s="244"/>
      <c r="J377" s="241"/>
      <c r="K377" s="237"/>
      <c r="L377" s="237"/>
      <c r="M377" s="237"/>
      <c r="N377" s="237"/>
      <c r="O377" s="237"/>
      <c r="P377" s="237"/>
      <c r="Q377" s="237"/>
      <c r="R377" s="237"/>
      <c r="S377" s="237"/>
      <c r="T377" s="237"/>
      <c r="U377" s="237"/>
      <c r="V377" s="237"/>
      <c r="W377" s="237"/>
      <c r="X377" s="237"/>
      <c r="Y377" s="237"/>
      <c r="Z377" s="237"/>
    </row>
    <row r="378" spans="1:26" ht="24.75" customHeight="1" x14ac:dyDescent="0.25">
      <c r="A378" s="236"/>
      <c r="B378" s="237"/>
      <c r="C378" s="236"/>
      <c r="D378" s="238"/>
      <c r="E378" s="238"/>
      <c r="F378" s="238"/>
      <c r="G378" s="239"/>
      <c r="H378" s="241"/>
      <c r="I378" s="244"/>
      <c r="J378" s="241"/>
      <c r="K378" s="237"/>
      <c r="L378" s="237"/>
      <c r="M378" s="237"/>
      <c r="N378" s="237"/>
      <c r="O378" s="237"/>
      <c r="P378" s="237"/>
      <c r="Q378" s="237"/>
      <c r="R378" s="237"/>
      <c r="S378" s="237"/>
      <c r="T378" s="237"/>
      <c r="U378" s="237"/>
      <c r="V378" s="237"/>
      <c r="W378" s="237"/>
      <c r="X378" s="237"/>
      <c r="Y378" s="237"/>
      <c r="Z378" s="237"/>
    </row>
    <row r="379" spans="1:26" ht="24.75" customHeight="1" x14ac:dyDescent="0.25">
      <c r="A379" s="236"/>
      <c r="B379" s="237"/>
      <c r="C379" s="236"/>
      <c r="D379" s="238"/>
      <c r="E379" s="238"/>
      <c r="F379" s="238"/>
      <c r="G379" s="239"/>
      <c r="H379" s="241"/>
      <c r="I379" s="244"/>
      <c r="J379" s="241"/>
      <c r="K379" s="237"/>
      <c r="L379" s="237"/>
      <c r="M379" s="237"/>
      <c r="N379" s="237"/>
      <c r="O379" s="237"/>
      <c r="P379" s="237"/>
      <c r="Q379" s="237"/>
      <c r="R379" s="237"/>
      <c r="S379" s="237"/>
      <c r="T379" s="237"/>
      <c r="U379" s="237"/>
      <c r="V379" s="237"/>
      <c r="W379" s="237"/>
      <c r="X379" s="237"/>
      <c r="Y379" s="237"/>
      <c r="Z379" s="237"/>
    </row>
    <row r="380" spans="1:26" ht="24.75" customHeight="1" x14ac:dyDescent="0.25">
      <c r="A380" s="236"/>
      <c r="B380" s="237"/>
      <c r="C380" s="236"/>
      <c r="D380" s="238"/>
      <c r="E380" s="238"/>
      <c r="F380" s="238"/>
      <c r="G380" s="239"/>
      <c r="H380" s="241"/>
      <c r="I380" s="244"/>
      <c r="J380" s="241"/>
      <c r="K380" s="237"/>
      <c r="L380" s="237"/>
      <c r="M380" s="237"/>
      <c r="N380" s="237"/>
      <c r="O380" s="237"/>
      <c r="P380" s="237"/>
      <c r="Q380" s="237"/>
      <c r="R380" s="237"/>
      <c r="S380" s="237"/>
      <c r="T380" s="237"/>
      <c r="U380" s="237"/>
      <c r="V380" s="237"/>
      <c r="W380" s="237"/>
      <c r="X380" s="237"/>
      <c r="Y380" s="237"/>
      <c r="Z380" s="237"/>
    </row>
    <row r="381" spans="1:26" ht="24.75" customHeight="1" x14ac:dyDescent="0.25">
      <c r="A381" s="236"/>
      <c r="B381" s="237"/>
      <c r="C381" s="236"/>
      <c r="D381" s="238"/>
      <c r="E381" s="238"/>
      <c r="F381" s="238"/>
      <c r="G381" s="239"/>
      <c r="H381" s="241"/>
      <c r="I381" s="244"/>
      <c r="J381" s="241"/>
      <c r="K381" s="237"/>
      <c r="L381" s="237"/>
      <c r="M381" s="237"/>
      <c r="N381" s="237"/>
      <c r="O381" s="237"/>
      <c r="P381" s="237"/>
      <c r="Q381" s="237"/>
      <c r="R381" s="237"/>
      <c r="S381" s="237"/>
      <c r="T381" s="237"/>
      <c r="U381" s="237"/>
      <c r="V381" s="237"/>
      <c r="W381" s="237"/>
      <c r="X381" s="237"/>
      <c r="Y381" s="237"/>
      <c r="Z381" s="237"/>
    </row>
    <row r="382" spans="1:26" ht="24.75" customHeight="1" x14ac:dyDescent="0.25">
      <c r="A382" s="236"/>
      <c r="B382" s="237"/>
      <c r="C382" s="236"/>
      <c r="D382" s="238"/>
      <c r="E382" s="238"/>
      <c r="F382" s="238"/>
      <c r="G382" s="239"/>
      <c r="H382" s="241"/>
      <c r="I382" s="244"/>
      <c r="J382" s="241"/>
      <c r="K382" s="237"/>
      <c r="L382" s="237"/>
      <c r="M382" s="237"/>
      <c r="N382" s="237"/>
      <c r="O382" s="237"/>
      <c r="P382" s="237"/>
      <c r="Q382" s="237"/>
      <c r="R382" s="237"/>
      <c r="S382" s="237"/>
      <c r="T382" s="237"/>
      <c r="U382" s="237"/>
      <c r="V382" s="237"/>
      <c r="W382" s="237"/>
      <c r="X382" s="237"/>
      <c r="Y382" s="237"/>
      <c r="Z382" s="237"/>
    </row>
    <row r="383" spans="1:26" ht="24.75" customHeight="1" x14ac:dyDescent="0.25">
      <c r="A383" s="236"/>
      <c r="B383" s="237"/>
      <c r="C383" s="236"/>
      <c r="D383" s="238"/>
      <c r="E383" s="238"/>
      <c r="F383" s="238"/>
      <c r="G383" s="239"/>
      <c r="H383" s="241"/>
      <c r="I383" s="244"/>
      <c r="J383" s="241"/>
      <c r="K383" s="237"/>
      <c r="L383" s="237"/>
      <c r="M383" s="237"/>
      <c r="N383" s="237"/>
      <c r="O383" s="237"/>
      <c r="P383" s="237"/>
      <c r="Q383" s="237"/>
      <c r="R383" s="237"/>
      <c r="S383" s="237"/>
      <c r="T383" s="237"/>
      <c r="U383" s="237"/>
      <c r="V383" s="237"/>
      <c r="W383" s="237"/>
      <c r="X383" s="237"/>
      <c r="Y383" s="237"/>
      <c r="Z383" s="237"/>
    </row>
    <row r="384" spans="1:26" ht="24.75" customHeight="1" x14ac:dyDescent="0.25">
      <c r="A384" s="236"/>
      <c r="B384" s="237"/>
      <c r="C384" s="236"/>
      <c r="D384" s="238"/>
      <c r="E384" s="238"/>
      <c r="F384" s="238"/>
      <c r="G384" s="239"/>
      <c r="H384" s="241"/>
      <c r="I384" s="244"/>
      <c r="J384" s="241"/>
      <c r="K384" s="237"/>
      <c r="L384" s="237"/>
      <c r="M384" s="237"/>
      <c r="N384" s="237"/>
      <c r="O384" s="237"/>
      <c r="P384" s="237"/>
      <c r="Q384" s="237"/>
      <c r="R384" s="237"/>
      <c r="S384" s="237"/>
      <c r="T384" s="237"/>
      <c r="U384" s="237"/>
      <c r="V384" s="237"/>
      <c r="W384" s="237"/>
      <c r="X384" s="237"/>
      <c r="Y384" s="237"/>
      <c r="Z384" s="237"/>
    </row>
    <row r="385" spans="1:26" ht="24.75" customHeight="1" x14ac:dyDescent="0.25">
      <c r="A385" s="236"/>
      <c r="B385" s="237"/>
      <c r="C385" s="236"/>
      <c r="D385" s="238"/>
      <c r="E385" s="238"/>
      <c r="F385" s="238"/>
      <c r="G385" s="239"/>
      <c r="H385" s="241"/>
      <c r="I385" s="244"/>
      <c r="J385" s="241"/>
      <c r="K385" s="237"/>
      <c r="L385" s="237"/>
      <c r="M385" s="237"/>
      <c r="N385" s="237"/>
      <c r="O385" s="237"/>
      <c r="P385" s="237"/>
      <c r="Q385" s="237"/>
      <c r="R385" s="237"/>
      <c r="S385" s="237"/>
      <c r="T385" s="237"/>
      <c r="U385" s="237"/>
      <c r="V385" s="237"/>
      <c r="W385" s="237"/>
      <c r="X385" s="237"/>
      <c r="Y385" s="237"/>
      <c r="Z385" s="237"/>
    </row>
    <row r="386" spans="1:26" ht="24.75" customHeight="1" x14ac:dyDescent="0.25">
      <c r="A386" s="236"/>
      <c r="B386" s="237"/>
      <c r="C386" s="236"/>
      <c r="D386" s="238"/>
      <c r="E386" s="238"/>
      <c r="F386" s="238"/>
      <c r="G386" s="239"/>
      <c r="H386" s="241"/>
      <c r="I386" s="244"/>
      <c r="J386" s="241"/>
      <c r="K386" s="237"/>
      <c r="L386" s="237"/>
      <c r="M386" s="237"/>
      <c r="N386" s="237"/>
      <c r="O386" s="237"/>
      <c r="P386" s="237"/>
      <c r="Q386" s="237"/>
      <c r="R386" s="237"/>
      <c r="S386" s="237"/>
      <c r="T386" s="237"/>
      <c r="U386" s="237"/>
      <c r="V386" s="237"/>
      <c r="W386" s="237"/>
      <c r="X386" s="237"/>
      <c r="Y386" s="237"/>
      <c r="Z386" s="237"/>
    </row>
    <row r="387" spans="1:26" ht="24.75" customHeight="1" x14ac:dyDescent="0.25">
      <c r="A387" s="236"/>
      <c r="B387" s="237"/>
      <c r="C387" s="236"/>
      <c r="D387" s="238"/>
      <c r="E387" s="238"/>
      <c r="F387" s="238"/>
      <c r="G387" s="239"/>
      <c r="H387" s="241"/>
      <c r="I387" s="244"/>
      <c r="J387" s="241"/>
      <c r="K387" s="237"/>
      <c r="L387" s="237"/>
      <c r="M387" s="237"/>
      <c r="N387" s="237"/>
      <c r="O387" s="237"/>
      <c r="P387" s="237"/>
      <c r="Q387" s="237"/>
      <c r="R387" s="237"/>
      <c r="S387" s="237"/>
      <c r="T387" s="237"/>
      <c r="U387" s="237"/>
      <c r="V387" s="237"/>
      <c r="W387" s="237"/>
      <c r="X387" s="237"/>
      <c r="Y387" s="237"/>
      <c r="Z387" s="237"/>
    </row>
    <row r="388" spans="1:26" ht="24.75" customHeight="1" x14ac:dyDescent="0.25">
      <c r="A388" s="236"/>
      <c r="B388" s="237"/>
      <c r="C388" s="236"/>
      <c r="D388" s="238"/>
      <c r="E388" s="238"/>
      <c r="F388" s="238"/>
      <c r="G388" s="239"/>
      <c r="H388" s="241"/>
      <c r="I388" s="244"/>
      <c r="J388" s="241"/>
      <c r="K388" s="237"/>
      <c r="L388" s="237"/>
      <c r="M388" s="237"/>
      <c r="N388" s="237"/>
      <c r="O388" s="237"/>
      <c r="P388" s="237"/>
      <c r="Q388" s="237"/>
      <c r="R388" s="237"/>
      <c r="S388" s="237"/>
      <c r="T388" s="237"/>
      <c r="U388" s="237"/>
      <c r="V388" s="237"/>
      <c r="W388" s="237"/>
      <c r="X388" s="237"/>
      <c r="Y388" s="237"/>
      <c r="Z388" s="237"/>
    </row>
    <row r="389" spans="1:26" ht="24.75" customHeight="1" x14ac:dyDescent="0.25">
      <c r="A389" s="236"/>
      <c r="B389" s="237"/>
      <c r="C389" s="236"/>
      <c r="D389" s="238"/>
      <c r="E389" s="238"/>
      <c r="F389" s="238"/>
      <c r="G389" s="239"/>
      <c r="H389" s="241"/>
      <c r="I389" s="244"/>
      <c r="J389" s="241"/>
      <c r="K389" s="237"/>
      <c r="L389" s="237"/>
      <c r="M389" s="237"/>
      <c r="N389" s="237"/>
      <c r="O389" s="237"/>
      <c r="P389" s="237"/>
      <c r="Q389" s="237"/>
      <c r="R389" s="237"/>
      <c r="S389" s="237"/>
      <c r="T389" s="237"/>
      <c r="U389" s="237"/>
      <c r="V389" s="237"/>
      <c r="W389" s="237"/>
      <c r="X389" s="237"/>
      <c r="Y389" s="237"/>
      <c r="Z389" s="237"/>
    </row>
    <row r="390" spans="1:26" ht="24.75" customHeight="1" x14ac:dyDescent="0.25">
      <c r="A390" s="236"/>
      <c r="B390" s="237"/>
      <c r="C390" s="236"/>
      <c r="D390" s="238"/>
      <c r="E390" s="238"/>
      <c r="F390" s="238"/>
      <c r="G390" s="239"/>
      <c r="H390" s="241"/>
      <c r="I390" s="244"/>
      <c r="J390" s="241"/>
      <c r="K390" s="237"/>
      <c r="L390" s="237"/>
      <c r="M390" s="237"/>
      <c r="N390" s="237"/>
      <c r="O390" s="237"/>
      <c r="P390" s="237"/>
      <c r="Q390" s="237"/>
      <c r="R390" s="237"/>
      <c r="S390" s="237"/>
      <c r="T390" s="237"/>
      <c r="U390" s="237"/>
      <c r="V390" s="237"/>
      <c r="W390" s="237"/>
      <c r="X390" s="237"/>
      <c r="Y390" s="237"/>
      <c r="Z390" s="237"/>
    </row>
    <row r="391" spans="1:26" ht="24.75" customHeight="1" x14ac:dyDescent="0.25">
      <c r="A391" s="236"/>
      <c r="B391" s="237"/>
      <c r="C391" s="236"/>
      <c r="D391" s="238"/>
      <c r="E391" s="238"/>
      <c r="F391" s="238"/>
      <c r="G391" s="239"/>
      <c r="H391" s="241"/>
      <c r="I391" s="244"/>
      <c r="J391" s="241"/>
      <c r="K391" s="237"/>
      <c r="L391" s="237"/>
      <c r="M391" s="237"/>
      <c r="N391" s="237"/>
      <c r="O391" s="237"/>
      <c r="P391" s="237"/>
      <c r="Q391" s="237"/>
      <c r="R391" s="237"/>
      <c r="S391" s="237"/>
      <c r="T391" s="237"/>
      <c r="U391" s="237"/>
      <c r="V391" s="237"/>
      <c r="W391" s="237"/>
      <c r="X391" s="237"/>
      <c r="Y391" s="237"/>
      <c r="Z391" s="237"/>
    </row>
    <row r="392" spans="1:26" ht="24.75" customHeight="1" x14ac:dyDescent="0.25">
      <c r="A392" s="236"/>
      <c r="B392" s="237"/>
      <c r="C392" s="236"/>
      <c r="D392" s="238"/>
      <c r="E392" s="238"/>
      <c r="F392" s="238"/>
      <c r="G392" s="239"/>
      <c r="H392" s="241"/>
      <c r="I392" s="244"/>
      <c r="J392" s="241"/>
      <c r="K392" s="237"/>
      <c r="L392" s="237"/>
      <c r="M392" s="237"/>
      <c r="N392" s="237"/>
      <c r="O392" s="237"/>
      <c r="P392" s="237"/>
      <c r="Q392" s="237"/>
      <c r="R392" s="237"/>
      <c r="S392" s="237"/>
      <c r="T392" s="237"/>
      <c r="U392" s="237"/>
      <c r="V392" s="237"/>
      <c r="W392" s="237"/>
      <c r="X392" s="237"/>
      <c r="Y392" s="237"/>
      <c r="Z392" s="237"/>
    </row>
    <row r="393" spans="1:26" ht="24.75" customHeight="1" x14ac:dyDescent="0.25">
      <c r="A393" s="236"/>
      <c r="B393" s="237"/>
      <c r="C393" s="236"/>
      <c r="D393" s="238"/>
      <c r="E393" s="238"/>
      <c r="F393" s="238"/>
      <c r="G393" s="239"/>
      <c r="H393" s="241"/>
      <c r="I393" s="244"/>
      <c r="J393" s="241"/>
      <c r="K393" s="237"/>
      <c r="L393" s="237"/>
      <c r="M393" s="237"/>
      <c r="N393" s="237"/>
      <c r="O393" s="237"/>
      <c r="P393" s="237"/>
      <c r="Q393" s="237"/>
      <c r="R393" s="237"/>
      <c r="S393" s="237"/>
      <c r="T393" s="237"/>
      <c r="U393" s="237"/>
      <c r="V393" s="237"/>
      <c r="W393" s="237"/>
      <c r="X393" s="237"/>
      <c r="Y393" s="237"/>
      <c r="Z393" s="237"/>
    </row>
    <row r="394" spans="1:26" ht="24.75" customHeight="1" x14ac:dyDescent="0.25">
      <c r="A394" s="236"/>
      <c r="B394" s="237"/>
      <c r="C394" s="236"/>
      <c r="D394" s="238"/>
      <c r="E394" s="238"/>
      <c r="F394" s="238"/>
      <c r="G394" s="239"/>
      <c r="H394" s="241"/>
      <c r="I394" s="244"/>
      <c r="J394" s="241"/>
      <c r="K394" s="237"/>
      <c r="L394" s="237"/>
      <c r="M394" s="237"/>
      <c r="N394" s="237"/>
      <c r="O394" s="237"/>
      <c r="P394" s="237"/>
      <c r="Q394" s="237"/>
      <c r="R394" s="237"/>
      <c r="S394" s="237"/>
      <c r="T394" s="237"/>
      <c r="U394" s="237"/>
      <c r="V394" s="237"/>
      <c r="W394" s="237"/>
      <c r="X394" s="237"/>
      <c r="Y394" s="237"/>
      <c r="Z394" s="237"/>
    </row>
    <row r="395" spans="1:26" ht="24.75" customHeight="1" x14ac:dyDescent="0.25">
      <c r="A395" s="236"/>
      <c r="B395" s="237"/>
      <c r="C395" s="236"/>
      <c r="D395" s="238"/>
      <c r="E395" s="238"/>
      <c r="F395" s="238"/>
      <c r="G395" s="239"/>
      <c r="H395" s="241"/>
      <c r="I395" s="244"/>
      <c r="J395" s="241"/>
      <c r="K395" s="237"/>
      <c r="L395" s="237"/>
      <c r="M395" s="237"/>
      <c r="N395" s="237"/>
      <c r="O395" s="237"/>
      <c r="P395" s="237"/>
      <c r="Q395" s="237"/>
      <c r="R395" s="237"/>
      <c r="S395" s="237"/>
      <c r="T395" s="237"/>
      <c r="U395" s="237"/>
      <c r="V395" s="237"/>
      <c r="W395" s="237"/>
      <c r="X395" s="237"/>
      <c r="Y395" s="237"/>
      <c r="Z395" s="237"/>
    </row>
    <row r="396" spans="1:26" ht="24.75" customHeight="1" x14ac:dyDescent="0.25">
      <c r="A396" s="236"/>
      <c r="B396" s="237"/>
      <c r="C396" s="236"/>
      <c r="D396" s="238"/>
      <c r="E396" s="238"/>
      <c r="F396" s="238"/>
      <c r="G396" s="239"/>
      <c r="H396" s="241"/>
      <c r="I396" s="244"/>
      <c r="J396" s="241"/>
      <c r="K396" s="237"/>
      <c r="L396" s="237"/>
      <c r="M396" s="237"/>
      <c r="N396" s="237"/>
      <c r="O396" s="237"/>
      <c r="P396" s="237"/>
      <c r="Q396" s="237"/>
      <c r="R396" s="237"/>
      <c r="S396" s="237"/>
      <c r="T396" s="237"/>
      <c r="U396" s="237"/>
      <c r="V396" s="237"/>
      <c r="W396" s="237"/>
      <c r="X396" s="237"/>
      <c r="Y396" s="237"/>
      <c r="Z396" s="237"/>
    </row>
    <row r="397" spans="1:26" ht="24.75" customHeight="1" x14ac:dyDescent="0.25">
      <c r="A397" s="236"/>
      <c r="B397" s="237"/>
      <c r="C397" s="236"/>
      <c r="D397" s="238"/>
      <c r="E397" s="238"/>
      <c r="F397" s="238"/>
      <c r="G397" s="239"/>
      <c r="H397" s="241"/>
      <c r="I397" s="244"/>
      <c r="J397" s="241"/>
      <c r="K397" s="237"/>
      <c r="L397" s="237"/>
      <c r="M397" s="237"/>
      <c r="N397" s="237"/>
      <c r="O397" s="237"/>
      <c r="P397" s="237"/>
      <c r="Q397" s="237"/>
      <c r="R397" s="237"/>
      <c r="S397" s="237"/>
      <c r="T397" s="237"/>
      <c r="U397" s="237"/>
      <c r="V397" s="237"/>
      <c r="W397" s="237"/>
      <c r="X397" s="237"/>
      <c r="Y397" s="237"/>
      <c r="Z397" s="237"/>
    </row>
    <row r="398" spans="1:26" ht="24.75" customHeight="1" x14ac:dyDescent="0.25">
      <c r="A398" s="236"/>
      <c r="B398" s="237"/>
      <c r="C398" s="236"/>
      <c r="D398" s="238"/>
      <c r="E398" s="238"/>
      <c r="F398" s="238"/>
      <c r="G398" s="239"/>
      <c r="H398" s="241"/>
      <c r="I398" s="244"/>
      <c r="J398" s="241"/>
      <c r="K398" s="237"/>
      <c r="L398" s="237"/>
      <c r="M398" s="237"/>
      <c r="N398" s="237"/>
      <c r="O398" s="237"/>
      <c r="P398" s="237"/>
      <c r="Q398" s="237"/>
      <c r="R398" s="237"/>
      <c r="S398" s="237"/>
      <c r="T398" s="237"/>
      <c r="U398" s="237"/>
      <c r="V398" s="237"/>
      <c r="W398" s="237"/>
      <c r="X398" s="237"/>
      <c r="Y398" s="237"/>
      <c r="Z398" s="237"/>
    </row>
    <row r="399" spans="1:26" ht="24.75" customHeight="1" x14ac:dyDescent="0.25">
      <c r="A399" s="236"/>
      <c r="B399" s="237"/>
      <c r="C399" s="236"/>
      <c r="D399" s="238"/>
      <c r="E399" s="238"/>
      <c r="F399" s="238"/>
      <c r="G399" s="239"/>
      <c r="H399" s="241"/>
      <c r="I399" s="244"/>
      <c r="J399" s="241"/>
      <c r="K399" s="237"/>
      <c r="L399" s="237"/>
      <c r="M399" s="237"/>
      <c r="N399" s="237"/>
      <c r="O399" s="237"/>
      <c r="P399" s="237"/>
      <c r="Q399" s="237"/>
      <c r="R399" s="237"/>
      <c r="S399" s="237"/>
      <c r="T399" s="237"/>
      <c r="U399" s="237"/>
      <c r="V399" s="237"/>
      <c r="W399" s="237"/>
      <c r="X399" s="237"/>
      <c r="Y399" s="237"/>
      <c r="Z399" s="237"/>
    </row>
    <row r="400" spans="1:26" ht="24.75" customHeight="1" x14ac:dyDescent="0.25">
      <c r="A400" s="236"/>
      <c r="B400" s="237"/>
      <c r="C400" s="236"/>
      <c r="D400" s="238"/>
      <c r="E400" s="238"/>
      <c r="F400" s="238"/>
      <c r="G400" s="239"/>
      <c r="H400" s="241"/>
      <c r="I400" s="244"/>
      <c r="J400" s="241"/>
      <c r="K400" s="237"/>
      <c r="L400" s="237"/>
      <c r="M400" s="237"/>
      <c r="N400" s="237"/>
      <c r="O400" s="237"/>
      <c r="P400" s="237"/>
      <c r="Q400" s="237"/>
      <c r="R400" s="237"/>
      <c r="S400" s="237"/>
      <c r="T400" s="237"/>
      <c r="U400" s="237"/>
      <c r="V400" s="237"/>
      <c r="W400" s="237"/>
      <c r="X400" s="237"/>
      <c r="Y400" s="237"/>
      <c r="Z400" s="237"/>
    </row>
    <row r="401" spans="1:26" ht="24.75" customHeight="1" x14ac:dyDescent="0.25">
      <c r="A401" s="236"/>
      <c r="B401" s="237"/>
      <c r="C401" s="236"/>
      <c r="D401" s="238"/>
      <c r="E401" s="238"/>
      <c r="F401" s="238"/>
      <c r="G401" s="239"/>
      <c r="H401" s="241"/>
      <c r="I401" s="244"/>
      <c r="J401" s="241"/>
      <c r="K401" s="237"/>
      <c r="L401" s="237"/>
      <c r="M401" s="237"/>
      <c r="N401" s="237"/>
      <c r="O401" s="237"/>
      <c r="P401" s="237"/>
      <c r="Q401" s="237"/>
      <c r="R401" s="237"/>
      <c r="S401" s="237"/>
      <c r="T401" s="237"/>
      <c r="U401" s="237"/>
      <c r="V401" s="237"/>
      <c r="W401" s="237"/>
      <c r="X401" s="237"/>
      <c r="Y401" s="237"/>
      <c r="Z401" s="237"/>
    </row>
    <row r="402" spans="1:26" ht="24.75" customHeight="1" x14ac:dyDescent="0.25">
      <c r="A402" s="236"/>
      <c r="B402" s="237"/>
      <c r="C402" s="236"/>
      <c r="D402" s="238"/>
      <c r="E402" s="238"/>
      <c r="F402" s="238"/>
      <c r="G402" s="239"/>
      <c r="H402" s="241"/>
      <c r="I402" s="244"/>
      <c r="J402" s="241"/>
      <c r="K402" s="237"/>
      <c r="L402" s="237"/>
      <c r="M402" s="237"/>
      <c r="N402" s="237"/>
      <c r="O402" s="237"/>
      <c r="P402" s="237"/>
      <c r="Q402" s="237"/>
      <c r="R402" s="237"/>
      <c r="S402" s="237"/>
      <c r="T402" s="237"/>
      <c r="U402" s="237"/>
      <c r="V402" s="237"/>
      <c r="W402" s="237"/>
      <c r="X402" s="237"/>
      <c r="Y402" s="237"/>
      <c r="Z402" s="237"/>
    </row>
    <row r="403" spans="1:26" ht="24.75" customHeight="1" x14ac:dyDescent="0.25">
      <c r="A403" s="236"/>
      <c r="B403" s="237"/>
      <c r="C403" s="236"/>
      <c r="D403" s="238"/>
      <c r="E403" s="238"/>
      <c r="F403" s="238"/>
      <c r="G403" s="239"/>
      <c r="H403" s="241"/>
      <c r="I403" s="244"/>
      <c r="J403" s="241"/>
      <c r="K403" s="237"/>
      <c r="L403" s="237"/>
      <c r="M403" s="237"/>
      <c r="N403" s="237"/>
      <c r="O403" s="237"/>
      <c r="P403" s="237"/>
      <c r="Q403" s="237"/>
      <c r="R403" s="237"/>
      <c r="S403" s="237"/>
      <c r="T403" s="237"/>
      <c r="U403" s="237"/>
      <c r="V403" s="237"/>
      <c r="W403" s="237"/>
      <c r="X403" s="237"/>
      <c r="Y403" s="237"/>
      <c r="Z403" s="237"/>
    </row>
    <row r="404" spans="1:26" ht="24.75" customHeight="1" x14ac:dyDescent="0.25">
      <c r="A404" s="236"/>
      <c r="B404" s="237"/>
      <c r="C404" s="236"/>
      <c r="D404" s="238"/>
      <c r="E404" s="238"/>
      <c r="F404" s="238"/>
      <c r="G404" s="239"/>
      <c r="H404" s="241"/>
      <c r="I404" s="244"/>
      <c r="J404" s="241"/>
      <c r="K404" s="237"/>
      <c r="L404" s="237"/>
      <c r="M404" s="237"/>
      <c r="N404" s="237"/>
      <c r="O404" s="237"/>
      <c r="P404" s="237"/>
      <c r="Q404" s="237"/>
      <c r="R404" s="237"/>
      <c r="S404" s="237"/>
      <c r="T404" s="237"/>
      <c r="U404" s="237"/>
      <c r="V404" s="237"/>
      <c r="W404" s="237"/>
      <c r="X404" s="237"/>
      <c r="Y404" s="237"/>
      <c r="Z404" s="237"/>
    </row>
    <row r="405" spans="1:26" ht="24.75" customHeight="1" x14ac:dyDescent="0.25">
      <c r="A405" s="236"/>
      <c r="B405" s="237"/>
      <c r="C405" s="236"/>
      <c r="D405" s="238"/>
      <c r="E405" s="238"/>
      <c r="F405" s="238"/>
      <c r="G405" s="239"/>
      <c r="H405" s="241"/>
      <c r="I405" s="244"/>
      <c r="J405" s="241"/>
      <c r="K405" s="237"/>
      <c r="L405" s="237"/>
      <c r="M405" s="237"/>
      <c r="N405" s="237"/>
      <c r="O405" s="237"/>
      <c r="P405" s="237"/>
      <c r="Q405" s="237"/>
      <c r="R405" s="237"/>
      <c r="S405" s="237"/>
      <c r="T405" s="237"/>
      <c r="U405" s="237"/>
      <c r="V405" s="237"/>
      <c r="W405" s="237"/>
      <c r="X405" s="237"/>
      <c r="Y405" s="237"/>
      <c r="Z405" s="237"/>
    </row>
    <row r="406" spans="1:26" ht="24.75" customHeight="1" x14ac:dyDescent="0.25">
      <c r="A406" s="236"/>
      <c r="B406" s="237"/>
      <c r="C406" s="236"/>
      <c r="D406" s="238"/>
      <c r="E406" s="238"/>
      <c r="F406" s="238"/>
      <c r="G406" s="239"/>
      <c r="H406" s="241"/>
      <c r="I406" s="244"/>
      <c r="J406" s="241"/>
      <c r="K406" s="237"/>
      <c r="L406" s="237"/>
      <c r="M406" s="237"/>
      <c r="N406" s="237"/>
      <c r="O406" s="237"/>
      <c r="P406" s="237"/>
      <c r="Q406" s="237"/>
      <c r="R406" s="237"/>
      <c r="S406" s="237"/>
      <c r="T406" s="237"/>
      <c r="U406" s="237"/>
      <c r="V406" s="237"/>
      <c r="W406" s="237"/>
      <c r="X406" s="237"/>
      <c r="Y406" s="237"/>
      <c r="Z406" s="237"/>
    </row>
    <row r="407" spans="1:26" ht="24.75" customHeight="1" x14ac:dyDescent="0.25">
      <c r="A407" s="236"/>
      <c r="B407" s="237"/>
      <c r="C407" s="236"/>
      <c r="D407" s="238"/>
      <c r="E407" s="238"/>
      <c r="F407" s="238"/>
      <c r="G407" s="239"/>
      <c r="H407" s="241"/>
      <c r="I407" s="244"/>
      <c r="J407" s="241"/>
      <c r="K407" s="237"/>
      <c r="L407" s="237"/>
      <c r="M407" s="237"/>
      <c r="N407" s="237"/>
      <c r="O407" s="237"/>
      <c r="P407" s="237"/>
      <c r="Q407" s="237"/>
      <c r="R407" s="237"/>
      <c r="S407" s="237"/>
      <c r="T407" s="237"/>
      <c r="U407" s="237"/>
      <c r="V407" s="237"/>
      <c r="W407" s="237"/>
      <c r="X407" s="237"/>
      <c r="Y407" s="237"/>
      <c r="Z407" s="237"/>
    </row>
    <row r="408" spans="1:26" ht="24.75" customHeight="1" x14ac:dyDescent="0.25">
      <c r="A408" s="236"/>
      <c r="B408" s="237"/>
      <c r="C408" s="236"/>
      <c r="D408" s="238"/>
      <c r="E408" s="238"/>
      <c r="F408" s="238"/>
      <c r="G408" s="239"/>
      <c r="H408" s="241"/>
      <c r="I408" s="244"/>
      <c r="J408" s="241"/>
      <c r="K408" s="237"/>
      <c r="L408" s="237"/>
      <c r="M408" s="237"/>
      <c r="N408" s="237"/>
      <c r="O408" s="237"/>
      <c r="P408" s="237"/>
      <c r="Q408" s="237"/>
      <c r="R408" s="237"/>
      <c r="S408" s="237"/>
      <c r="T408" s="237"/>
      <c r="U408" s="237"/>
      <c r="V408" s="237"/>
      <c r="W408" s="237"/>
      <c r="X408" s="237"/>
      <c r="Y408" s="237"/>
      <c r="Z408" s="237"/>
    </row>
    <row r="409" spans="1:26" ht="24.75" customHeight="1" x14ac:dyDescent="0.25">
      <c r="A409" s="236"/>
      <c r="B409" s="237"/>
      <c r="C409" s="236"/>
      <c r="D409" s="238"/>
      <c r="E409" s="238"/>
      <c r="F409" s="238"/>
      <c r="G409" s="239"/>
      <c r="H409" s="241"/>
      <c r="I409" s="244"/>
      <c r="J409" s="241"/>
      <c r="K409" s="237"/>
      <c r="L409" s="237"/>
      <c r="M409" s="237"/>
      <c r="N409" s="237"/>
      <c r="O409" s="237"/>
      <c r="P409" s="237"/>
      <c r="Q409" s="237"/>
      <c r="R409" s="237"/>
      <c r="S409" s="237"/>
      <c r="T409" s="237"/>
      <c r="U409" s="237"/>
      <c r="V409" s="237"/>
      <c r="W409" s="237"/>
      <c r="X409" s="237"/>
      <c r="Y409" s="237"/>
      <c r="Z409" s="237"/>
    </row>
    <row r="410" spans="1:26" ht="24.75" customHeight="1" x14ac:dyDescent="0.25">
      <c r="A410" s="236"/>
      <c r="B410" s="237"/>
      <c r="C410" s="236"/>
      <c r="D410" s="238"/>
      <c r="E410" s="238"/>
      <c r="F410" s="238"/>
      <c r="G410" s="239"/>
      <c r="H410" s="241"/>
      <c r="I410" s="244"/>
      <c r="J410" s="241"/>
      <c r="K410" s="237"/>
      <c r="L410" s="237"/>
      <c r="M410" s="237"/>
      <c r="N410" s="237"/>
      <c r="O410" s="237"/>
      <c r="P410" s="237"/>
      <c r="Q410" s="237"/>
      <c r="R410" s="237"/>
      <c r="S410" s="237"/>
      <c r="T410" s="237"/>
      <c r="U410" s="237"/>
      <c r="V410" s="237"/>
      <c r="W410" s="237"/>
      <c r="X410" s="237"/>
      <c r="Y410" s="237"/>
      <c r="Z410" s="237"/>
    </row>
    <row r="411" spans="1:26" ht="24.75" customHeight="1" x14ac:dyDescent="0.25">
      <c r="A411" s="236"/>
      <c r="B411" s="237"/>
      <c r="C411" s="236"/>
      <c r="D411" s="238"/>
      <c r="E411" s="238"/>
      <c r="F411" s="238"/>
      <c r="G411" s="239"/>
      <c r="H411" s="241"/>
      <c r="I411" s="244"/>
      <c r="J411" s="241"/>
      <c r="K411" s="237"/>
      <c r="L411" s="237"/>
      <c r="M411" s="237"/>
      <c r="N411" s="237"/>
      <c r="O411" s="237"/>
      <c r="P411" s="237"/>
      <c r="Q411" s="237"/>
      <c r="R411" s="237"/>
      <c r="S411" s="237"/>
      <c r="T411" s="237"/>
      <c r="U411" s="237"/>
      <c r="V411" s="237"/>
      <c r="W411" s="237"/>
      <c r="X411" s="237"/>
      <c r="Y411" s="237"/>
      <c r="Z411" s="237"/>
    </row>
    <row r="412" spans="1:26" ht="24.75" customHeight="1" x14ac:dyDescent="0.25">
      <c r="A412" s="236"/>
      <c r="B412" s="237"/>
      <c r="C412" s="236"/>
      <c r="D412" s="238"/>
      <c r="E412" s="238"/>
      <c r="F412" s="238"/>
      <c r="G412" s="239"/>
      <c r="H412" s="241"/>
      <c r="I412" s="244"/>
      <c r="J412" s="241"/>
      <c r="K412" s="237"/>
      <c r="L412" s="237"/>
      <c r="M412" s="237"/>
      <c r="N412" s="237"/>
      <c r="O412" s="237"/>
      <c r="P412" s="237"/>
      <c r="Q412" s="237"/>
      <c r="R412" s="237"/>
      <c r="S412" s="237"/>
      <c r="T412" s="237"/>
      <c r="U412" s="237"/>
      <c r="V412" s="237"/>
      <c r="W412" s="237"/>
      <c r="X412" s="237"/>
      <c r="Y412" s="237"/>
      <c r="Z412" s="237"/>
    </row>
    <row r="413" spans="1:26" ht="24.75" customHeight="1" x14ac:dyDescent="0.25">
      <c r="A413" s="236"/>
      <c r="B413" s="237"/>
      <c r="C413" s="236"/>
      <c r="D413" s="238"/>
      <c r="E413" s="238"/>
      <c r="F413" s="238"/>
      <c r="G413" s="239"/>
      <c r="H413" s="241"/>
      <c r="I413" s="244"/>
      <c r="J413" s="241"/>
      <c r="K413" s="237"/>
      <c r="L413" s="237"/>
      <c r="M413" s="237"/>
      <c r="N413" s="237"/>
      <c r="O413" s="237"/>
      <c r="P413" s="237"/>
      <c r="Q413" s="237"/>
      <c r="R413" s="237"/>
      <c r="S413" s="237"/>
      <c r="T413" s="237"/>
      <c r="U413" s="237"/>
      <c r="V413" s="237"/>
      <c r="W413" s="237"/>
      <c r="X413" s="237"/>
      <c r="Y413" s="237"/>
      <c r="Z413" s="237"/>
    </row>
    <row r="414" spans="1:26" ht="24.75" customHeight="1" x14ac:dyDescent="0.25">
      <c r="A414" s="236"/>
      <c r="B414" s="237"/>
      <c r="C414" s="236"/>
      <c r="D414" s="238"/>
      <c r="E414" s="238"/>
      <c r="F414" s="238"/>
      <c r="G414" s="239"/>
      <c r="H414" s="241"/>
      <c r="I414" s="244"/>
      <c r="J414" s="241"/>
      <c r="K414" s="237"/>
      <c r="L414" s="237"/>
      <c r="M414" s="237"/>
      <c r="N414" s="237"/>
      <c r="O414" s="237"/>
      <c r="P414" s="237"/>
      <c r="Q414" s="237"/>
      <c r="R414" s="237"/>
      <c r="S414" s="237"/>
      <c r="T414" s="237"/>
      <c r="U414" s="237"/>
      <c r="V414" s="237"/>
      <c r="W414" s="237"/>
      <c r="X414" s="237"/>
      <c r="Y414" s="237"/>
      <c r="Z414" s="237"/>
    </row>
    <row r="415" spans="1:26" ht="24.75" customHeight="1" x14ac:dyDescent="0.25">
      <c r="A415" s="236"/>
      <c r="B415" s="237"/>
      <c r="C415" s="236"/>
      <c r="D415" s="238"/>
      <c r="E415" s="238"/>
      <c r="F415" s="238"/>
      <c r="G415" s="239"/>
      <c r="H415" s="241"/>
      <c r="I415" s="244"/>
      <c r="J415" s="241"/>
      <c r="K415" s="237"/>
      <c r="L415" s="237"/>
      <c r="M415" s="237"/>
      <c r="N415" s="237"/>
      <c r="O415" s="237"/>
      <c r="P415" s="237"/>
      <c r="Q415" s="237"/>
      <c r="R415" s="237"/>
      <c r="S415" s="237"/>
      <c r="T415" s="237"/>
      <c r="U415" s="237"/>
      <c r="V415" s="237"/>
      <c r="W415" s="237"/>
      <c r="X415" s="237"/>
      <c r="Y415" s="237"/>
      <c r="Z415" s="237"/>
    </row>
    <row r="416" spans="1:26" ht="24.75" customHeight="1" x14ac:dyDescent="0.25">
      <c r="A416" s="236"/>
      <c r="B416" s="237"/>
      <c r="C416" s="236"/>
      <c r="D416" s="238"/>
      <c r="E416" s="238"/>
      <c r="F416" s="238"/>
      <c r="G416" s="239"/>
      <c r="H416" s="241"/>
      <c r="I416" s="244"/>
      <c r="J416" s="241"/>
      <c r="K416" s="237"/>
      <c r="L416" s="237"/>
      <c r="M416" s="237"/>
      <c r="N416" s="237"/>
      <c r="O416" s="237"/>
      <c r="P416" s="237"/>
      <c r="Q416" s="237"/>
      <c r="R416" s="237"/>
      <c r="S416" s="237"/>
      <c r="T416" s="237"/>
      <c r="U416" s="237"/>
      <c r="V416" s="237"/>
      <c r="W416" s="237"/>
      <c r="X416" s="237"/>
      <c r="Y416" s="237"/>
      <c r="Z416" s="237"/>
    </row>
    <row r="417" spans="1:26" ht="24.75" customHeight="1" x14ac:dyDescent="0.25">
      <c r="A417" s="236"/>
      <c r="B417" s="237"/>
      <c r="C417" s="236"/>
      <c r="D417" s="238"/>
      <c r="E417" s="238"/>
      <c r="F417" s="238"/>
      <c r="G417" s="239"/>
      <c r="H417" s="241"/>
      <c r="I417" s="244"/>
      <c r="J417" s="241"/>
      <c r="K417" s="237"/>
      <c r="L417" s="237"/>
      <c r="M417" s="237"/>
      <c r="N417" s="237"/>
      <c r="O417" s="237"/>
      <c r="P417" s="237"/>
      <c r="Q417" s="237"/>
      <c r="R417" s="237"/>
      <c r="S417" s="237"/>
      <c r="T417" s="237"/>
      <c r="U417" s="237"/>
      <c r="V417" s="237"/>
      <c r="W417" s="237"/>
      <c r="X417" s="237"/>
      <c r="Y417" s="237"/>
      <c r="Z417" s="237"/>
    </row>
    <row r="418" spans="1:26" ht="24.75" customHeight="1" x14ac:dyDescent="0.25">
      <c r="A418" s="236"/>
      <c r="B418" s="237"/>
      <c r="C418" s="236"/>
      <c r="D418" s="238"/>
      <c r="E418" s="238"/>
      <c r="F418" s="238"/>
      <c r="G418" s="239"/>
      <c r="H418" s="241"/>
      <c r="I418" s="244"/>
      <c r="J418" s="241"/>
      <c r="K418" s="237"/>
      <c r="L418" s="237"/>
      <c r="M418" s="237"/>
      <c r="N418" s="237"/>
      <c r="O418" s="237"/>
      <c r="P418" s="237"/>
      <c r="Q418" s="237"/>
      <c r="R418" s="237"/>
      <c r="S418" s="237"/>
      <c r="T418" s="237"/>
      <c r="U418" s="237"/>
      <c r="V418" s="237"/>
      <c r="W418" s="237"/>
      <c r="X418" s="237"/>
      <c r="Y418" s="237"/>
      <c r="Z418" s="237"/>
    </row>
    <row r="419" spans="1:26" ht="24.75" customHeight="1" x14ac:dyDescent="0.25">
      <c r="A419" s="236"/>
      <c r="B419" s="237"/>
      <c r="C419" s="236"/>
      <c r="D419" s="238"/>
      <c r="E419" s="238"/>
      <c r="F419" s="238"/>
      <c r="G419" s="239"/>
      <c r="H419" s="241"/>
      <c r="I419" s="244"/>
      <c r="J419" s="241"/>
      <c r="K419" s="237"/>
      <c r="L419" s="237"/>
      <c r="M419" s="237"/>
      <c r="N419" s="237"/>
      <c r="O419" s="237"/>
      <c r="P419" s="237"/>
      <c r="Q419" s="237"/>
      <c r="R419" s="237"/>
      <c r="S419" s="237"/>
      <c r="T419" s="237"/>
      <c r="U419" s="237"/>
      <c r="V419" s="237"/>
      <c r="W419" s="237"/>
      <c r="X419" s="237"/>
      <c r="Y419" s="237"/>
      <c r="Z419" s="237"/>
    </row>
    <row r="420" spans="1:26" ht="24.75" customHeight="1" x14ac:dyDescent="0.25">
      <c r="A420" s="236"/>
      <c r="B420" s="237"/>
      <c r="C420" s="236"/>
      <c r="D420" s="238"/>
      <c r="E420" s="238"/>
      <c r="F420" s="238"/>
      <c r="G420" s="239"/>
      <c r="H420" s="241"/>
      <c r="I420" s="244"/>
      <c r="J420" s="241"/>
      <c r="K420" s="237"/>
      <c r="L420" s="237"/>
      <c r="M420" s="237"/>
      <c r="N420" s="237"/>
      <c r="O420" s="237"/>
      <c r="P420" s="237"/>
      <c r="Q420" s="237"/>
      <c r="R420" s="237"/>
      <c r="S420" s="237"/>
      <c r="T420" s="237"/>
      <c r="U420" s="237"/>
      <c r="V420" s="237"/>
      <c r="W420" s="237"/>
      <c r="X420" s="237"/>
      <c r="Y420" s="237"/>
      <c r="Z420" s="237"/>
    </row>
    <row r="421" spans="1:26" ht="24.75" customHeight="1" x14ac:dyDescent="0.25">
      <c r="A421" s="236"/>
      <c r="B421" s="237"/>
      <c r="C421" s="236"/>
      <c r="D421" s="238"/>
      <c r="E421" s="238"/>
      <c r="F421" s="238"/>
      <c r="G421" s="239"/>
      <c r="H421" s="241"/>
      <c r="I421" s="244"/>
      <c r="J421" s="241"/>
      <c r="K421" s="237"/>
      <c r="L421" s="237"/>
      <c r="M421" s="237"/>
      <c r="N421" s="237"/>
      <c r="O421" s="237"/>
      <c r="P421" s="237"/>
      <c r="Q421" s="237"/>
      <c r="R421" s="237"/>
      <c r="S421" s="237"/>
      <c r="T421" s="237"/>
      <c r="U421" s="237"/>
      <c r="V421" s="237"/>
      <c r="W421" s="237"/>
      <c r="X421" s="237"/>
      <c r="Y421" s="237"/>
      <c r="Z421" s="237"/>
    </row>
    <row r="422" spans="1:26" ht="24.75" customHeight="1" x14ac:dyDescent="0.25">
      <c r="A422" s="236"/>
      <c r="B422" s="237"/>
      <c r="C422" s="236"/>
      <c r="D422" s="238"/>
      <c r="E422" s="238"/>
      <c r="F422" s="238"/>
      <c r="G422" s="239"/>
      <c r="H422" s="241"/>
      <c r="I422" s="244"/>
      <c r="J422" s="241"/>
      <c r="K422" s="237"/>
      <c r="L422" s="237"/>
      <c r="M422" s="237"/>
      <c r="N422" s="237"/>
      <c r="O422" s="237"/>
      <c r="P422" s="237"/>
      <c r="Q422" s="237"/>
      <c r="R422" s="237"/>
      <c r="S422" s="237"/>
      <c r="T422" s="237"/>
      <c r="U422" s="237"/>
      <c r="V422" s="237"/>
      <c r="W422" s="237"/>
      <c r="X422" s="237"/>
      <c r="Y422" s="237"/>
      <c r="Z422" s="237"/>
    </row>
    <row r="423" spans="1:26" ht="24.75" customHeight="1" x14ac:dyDescent="0.25">
      <c r="A423" s="236"/>
      <c r="B423" s="237"/>
      <c r="C423" s="236"/>
      <c r="D423" s="238"/>
      <c r="E423" s="238"/>
      <c r="F423" s="238"/>
      <c r="G423" s="239"/>
      <c r="H423" s="241"/>
      <c r="I423" s="244"/>
      <c r="J423" s="241"/>
      <c r="K423" s="237"/>
      <c r="L423" s="237"/>
      <c r="M423" s="237"/>
      <c r="N423" s="237"/>
      <c r="O423" s="237"/>
      <c r="P423" s="237"/>
      <c r="Q423" s="237"/>
      <c r="R423" s="237"/>
      <c r="S423" s="237"/>
      <c r="T423" s="237"/>
      <c r="U423" s="237"/>
      <c r="V423" s="237"/>
      <c r="W423" s="237"/>
      <c r="X423" s="237"/>
      <c r="Y423" s="237"/>
      <c r="Z423" s="237"/>
    </row>
    <row r="424" spans="1:26" ht="24.75" customHeight="1" x14ac:dyDescent="0.25">
      <c r="A424" s="236"/>
      <c r="B424" s="237"/>
      <c r="C424" s="236"/>
      <c r="D424" s="238"/>
      <c r="E424" s="238"/>
      <c r="F424" s="238"/>
      <c r="G424" s="239"/>
      <c r="H424" s="241"/>
      <c r="I424" s="244"/>
      <c r="J424" s="241"/>
      <c r="K424" s="237"/>
      <c r="L424" s="237"/>
      <c r="M424" s="237"/>
      <c r="N424" s="237"/>
      <c r="O424" s="237"/>
      <c r="P424" s="237"/>
      <c r="Q424" s="237"/>
      <c r="R424" s="237"/>
      <c r="S424" s="237"/>
      <c r="T424" s="237"/>
      <c r="U424" s="237"/>
      <c r="V424" s="237"/>
      <c r="W424" s="237"/>
      <c r="X424" s="237"/>
      <c r="Y424" s="237"/>
      <c r="Z424" s="237"/>
    </row>
    <row r="425" spans="1:26" ht="24.75" customHeight="1" x14ac:dyDescent="0.25">
      <c r="A425" s="236"/>
      <c r="B425" s="237"/>
      <c r="C425" s="236"/>
      <c r="D425" s="238"/>
      <c r="E425" s="238"/>
      <c r="F425" s="238"/>
      <c r="G425" s="239"/>
      <c r="H425" s="241"/>
      <c r="I425" s="244"/>
      <c r="J425" s="241"/>
      <c r="K425" s="237"/>
      <c r="L425" s="237"/>
      <c r="M425" s="237"/>
      <c r="N425" s="237"/>
      <c r="O425" s="237"/>
      <c r="P425" s="237"/>
      <c r="Q425" s="237"/>
      <c r="R425" s="237"/>
      <c r="S425" s="237"/>
      <c r="T425" s="237"/>
      <c r="U425" s="237"/>
      <c r="V425" s="237"/>
      <c r="W425" s="237"/>
      <c r="X425" s="237"/>
      <c r="Y425" s="237"/>
      <c r="Z425" s="237"/>
    </row>
    <row r="426" spans="1:26" ht="24.75" customHeight="1" x14ac:dyDescent="0.25">
      <c r="A426" s="236"/>
      <c r="B426" s="237"/>
      <c r="C426" s="236"/>
      <c r="D426" s="238"/>
      <c r="E426" s="238"/>
      <c r="F426" s="238"/>
      <c r="G426" s="239"/>
      <c r="H426" s="241"/>
      <c r="I426" s="244"/>
      <c r="J426" s="241"/>
      <c r="K426" s="237"/>
      <c r="L426" s="237"/>
      <c r="M426" s="237"/>
      <c r="N426" s="237"/>
      <c r="O426" s="237"/>
      <c r="P426" s="237"/>
      <c r="Q426" s="237"/>
      <c r="R426" s="237"/>
      <c r="S426" s="237"/>
      <c r="T426" s="237"/>
      <c r="U426" s="237"/>
      <c r="V426" s="237"/>
      <c r="W426" s="237"/>
      <c r="X426" s="237"/>
      <c r="Y426" s="237"/>
      <c r="Z426" s="237"/>
    </row>
    <row r="427" spans="1:26" ht="24.75" customHeight="1" x14ac:dyDescent="0.25">
      <c r="A427" s="236"/>
      <c r="B427" s="237"/>
      <c r="C427" s="236"/>
      <c r="D427" s="238"/>
      <c r="E427" s="238"/>
      <c r="F427" s="238"/>
      <c r="G427" s="239"/>
      <c r="H427" s="241"/>
      <c r="I427" s="244"/>
      <c r="J427" s="241"/>
      <c r="K427" s="237"/>
      <c r="L427" s="237"/>
      <c r="M427" s="237"/>
      <c r="N427" s="237"/>
      <c r="O427" s="237"/>
      <c r="P427" s="237"/>
      <c r="Q427" s="237"/>
      <c r="R427" s="237"/>
      <c r="S427" s="237"/>
      <c r="T427" s="237"/>
      <c r="U427" s="237"/>
      <c r="V427" s="237"/>
      <c r="W427" s="237"/>
      <c r="X427" s="237"/>
      <c r="Y427" s="237"/>
      <c r="Z427" s="237"/>
    </row>
    <row r="428" spans="1:26" ht="24.75" customHeight="1" x14ac:dyDescent="0.25">
      <c r="A428" s="236"/>
      <c r="B428" s="237"/>
      <c r="C428" s="236"/>
      <c r="D428" s="238"/>
      <c r="E428" s="238"/>
      <c r="F428" s="238"/>
      <c r="G428" s="239"/>
      <c r="H428" s="241"/>
      <c r="I428" s="244"/>
      <c r="J428" s="241"/>
      <c r="K428" s="237"/>
      <c r="L428" s="237"/>
      <c r="M428" s="237"/>
      <c r="N428" s="237"/>
      <c r="O428" s="237"/>
      <c r="P428" s="237"/>
      <c r="Q428" s="237"/>
      <c r="R428" s="237"/>
      <c r="S428" s="237"/>
      <c r="T428" s="237"/>
      <c r="U428" s="237"/>
      <c r="V428" s="237"/>
      <c r="W428" s="237"/>
      <c r="X428" s="237"/>
      <c r="Y428" s="237"/>
      <c r="Z428" s="237"/>
    </row>
    <row r="429" spans="1:26" ht="24.75" customHeight="1" x14ac:dyDescent="0.25">
      <c r="A429" s="236"/>
      <c r="B429" s="237"/>
      <c r="C429" s="236"/>
      <c r="D429" s="238"/>
      <c r="E429" s="238"/>
      <c r="F429" s="238"/>
      <c r="G429" s="239"/>
      <c r="H429" s="241"/>
      <c r="I429" s="244"/>
      <c r="J429" s="241"/>
      <c r="K429" s="237"/>
      <c r="L429" s="237"/>
      <c r="M429" s="237"/>
      <c r="N429" s="237"/>
      <c r="O429" s="237"/>
      <c r="P429" s="237"/>
      <c r="Q429" s="237"/>
      <c r="R429" s="237"/>
      <c r="S429" s="237"/>
      <c r="T429" s="237"/>
      <c r="U429" s="237"/>
      <c r="V429" s="237"/>
      <c r="W429" s="237"/>
      <c r="X429" s="237"/>
      <c r="Y429" s="237"/>
      <c r="Z429" s="237"/>
    </row>
    <row r="430" spans="1:26" ht="24.75" customHeight="1" x14ac:dyDescent="0.25">
      <c r="A430" s="236"/>
      <c r="B430" s="237"/>
      <c r="C430" s="236"/>
      <c r="D430" s="238"/>
      <c r="E430" s="238"/>
      <c r="F430" s="238"/>
      <c r="G430" s="239"/>
      <c r="H430" s="241"/>
      <c r="I430" s="244"/>
      <c r="J430" s="241"/>
      <c r="K430" s="237"/>
      <c r="L430" s="237"/>
      <c r="M430" s="237"/>
      <c r="N430" s="237"/>
      <c r="O430" s="237"/>
      <c r="P430" s="237"/>
      <c r="Q430" s="237"/>
      <c r="R430" s="237"/>
      <c r="S430" s="237"/>
      <c r="T430" s="237"/>
      <c r="U430" s="237"/>
      <c r="V430" s="237"/>
      <c r="W430" s="237"/>
      <c r="X430" s="237"/>
      <c r="Y430" s="237"/>
      <c r="Z430" s="237"/>
    </row>
    <row r="431" spans="1:26" ht="24.75" customHeight="1" x14ac:dyDescent="0.25">
      <c r="A431" s="236"/>
      <c r="B431" s="237"/>
      <c r="C431" s="236"/>
      <c r="D431" s="238"/>
      <c r="E431" s="238"/>
      <c r="F431" s="238"/>
      <c r="G431" s="239"/>
      <c r="H431" s="241"/>
      <c r="I431" s="244"/>
      <c r="J431" s="241"/>
      <c r="K431" s="237"/>
      <c r="L431" s="237"/>
      <c r="M431" s="237"/>
      <c r="N431" s="237"/>
      <c r="O431" s="237"/>
      <c r="P431" s="237"/>
      <c r="Q431" s="237"/>
      <c r="R431" s="237"/>
      <c r="S431" s="237"/>
      <c r="T431" s="237"/>
      <c r="U431" s="237"/>
      <c r="V431" s="237"/>
      <c r="W431" s="237"/>
      <c r="X431" s="237"/>
      <c r="Y431" s="237"/>
      <c r="Z431" s="237"/>
    </row>
    <row r="432" spans="1:26" ht="24.75" customHeight="1" x14ac:dyDescent="0.25">
      <c r="A432" s="236"/>
      <c r="B432" s="237"/>
      <c r="C432" s="236"/>
      <c r="D432" s="238"/>
      <c r="E432" s="238"/>
      <c r="F432" s="238"/>
      <c r="G432" s="239"/>
      <c r="H432" s="241"/>
      <c r="I432" s="244"/>
      <c r="J432" s="241"/>
      <c r="K432" s="237"/>
      <c r="L432" s="237"/>
      <c r="M432" s="237"/>
      <c r="N432" s="237"/>
      <c r="O432" s="237"/>
      <c r="P432" s="237"/>
      <c r="Q432" s="237"/>
      <c r="R432" s="237"/>
      <c r="S432" s="237"/>
      <c r="T432" s="237"/>
      <c r="U432" s="237"/>
      <c r="V432" s="237"/>
      <c r="W432" s="237"/>
      <c r="X432" s="237"/>
      <c r="Y432" s="237"/>
      <c r="Z432" s="237"/>
    </row>
    <row r="433" spans="1:26" ht="24.75" customHeight="1" x14ac:dyDescent="0.25">
      <c r="A433" s="236"/>
      <c r="B433" s="237"/>
      <c r="C433" s="236"/>
      <c r="D433" s="238"/>
      <c r="E433" s="238"/>
      <c r="F433" s="238"/>
      <c r="G433" s="239"/>
      <c r="H433" s="241"/>
      <c r="I433" s="244"/>
      <c r="J433" s="241"/>
      <c r="K433" s="237"/>
      <c r="L433" s="237"/>
      <c r="M433" s="237"/>
      <c r="N433" s="237"/>
      <c r="O433" s="237"/>
      <c r="P433" s="237"/>
      <c r="Q433" s="237"/>
      <c r="R433" s="237"/>
      <c r="S433" s="237"/>
      <c r="T433" s="237"/>
      <c r="U433" s="237"/>
      <c r="V433" s="237"/>
      <c r="W433" s="237"/>
      <c r="X433" s="237"/>
      <c r="Y433" s="237"/>
      <c r="Z433" s="237"/>
    </row>
    <row r="434" spans="1:26" ht="24.75" customHeight="1" x14ac:dyDescent="0.25">
      <c r="A434" s="236"/>
      <c r="B434" s="237"/>
      <c r="C434" s="236"/>
      <c r="D434" s="238"/>
      <c r="E434" s="238"/>
      <c r="F434" s="238"/>
      <c r="G434" s="239"/>
      <c r="H434" s="241"/>
      <c r="I434" s="244"/>
      <c r="J434" s="241"/>
      <c r="K434" s="237"/>
      <c r="L434" s="237"/>
      <c r="M434" s="237"/>
      <c r="N434" s="237"/>
      <c r="O434" s="237"/>
      <c r="P434" s="237"/>
      <c r="Q434" s="237"/>
      <c r="R434" s="237"/>
      <c r="S434" s="237"/>
      <c r="T434" s="237"/>
      <c r="U434" s="237"/>
      <c r="V434" s="237"/>
      <c r="W434" s="237"/>
      <c r="X434" s="237"/>
      <c r="Y434" s="237"/>
      <c r="Z434" s="237"/>
    </row>
    <row r="435" spans="1:26" ht="24.75" customHeight="1" x14ac:dyDescent="0.25">
      <c r="A435" s="236"/>
      <c r="B435" s="237"/>
      <c r="C435" s="236"/>
      <c r="D435" s="238"/>
      <c r="E435" s="238"/>
      <c r="F435" s="238"/>
      <c r="G435" s="239"/>
      <c r="H435" s="241"/>
      <c r="I435" s="244"/>
      <c r="J435" s="241"/>
      <c r="K435" s="237"/>
      <c r="L435" s="237"/>
      <c r="M435" s="237"/>
      <c r="N435" s="237"/>
      <c r="O435" s="237"/>
      <c r="P435" s="237"/>
      <c r="Q435" s="237"/>
      <c r="R435" s="237"/>
      <c r="S435" s="237"/>
      <c r="T435" s="237"/>
      <c r="U435" s="237"/>
      <c r="V435" s="237"/>
      <c r="W435" s="237"/>
      <c r="X435" s="237"/>
      <c r="Y435" s="237"/>
      <c r="Z435" s="237"/>
    </row>
    <row r="436" spans="1:26" ht="24.75" customHeight="1" x14ac:dyDescent="0.25">
      <c r="A436" s="236"/>
      <c r="B436" s="237"/>
      <c r="C436" s="236"/>
      <c r="D436" s="238"/>
      <c r="E436" s="238"/>
      <c r="F436" s="238"/>
      <c r="G436" s="239"/>
      <c r="H436" s="241"/>
      <c r="I436" s="244"/>
      <c r="J436" s="241"/>
      <c r="K436" s="237"/>
      <c r="L436" s="237"/>
      <c r="M436" s="237"/>
      <c r="N436" s="237"/>
      <c r="O436" s="237"/>
      <c r="P436" s="237"/>
      <c r="Q436" s="237"/>
      <c r="R436" s="237"/>
      <c r="S436" s="237"/>
      <c r="T436" s="237"/>
      <c r="U436" s="237"/>
      <c r="V436" s="237"/>
      <c r="W436" s="237"/>
      <c r="X436" s="237"/>
      <c r="Y436" s="237"/>
      <c r="Z436" s="237"/>
    </row>
    <row r="437" spans="1:26" ht="24.75" customHeight="1" x14ac:dyDescent="0.25">
      <c r="A437" s="236"/>
      <c r="B437" s="237"/>
      <c r="C437" s="236"/>
      <c r="D437" s="238"/>
      <c r="E437" s="238"/>
      <c r="F437" s="238"/>
      <c r="G437" s="239"/>
      <c r="H437" s="241"/>
      <c r="I437" s="244"/>
      <c r="J437" s="241"/>
      <c r="K437" s="237"/>
      <c r="L437" s="237"/>
      <c r="M437" s="237"/>
      <c r="N437" s="237"/>
      <c r="O437" s="237"/>
      <c r="P437" s="237"/>
      <c r="Q437" s="237"/>
      <c r="R437" s="237"/>
      <c r="S437" s="237"/>
      <c r="T437" s="237"/>
      <c r="U437" s="237"/>
      <c r="V437" s="237"/>
      <c r="W437" s="237"/>
      <c r="X437" s="237"/>
      <c r="Y437" s="237"/>
      <c r="Z437" s="237"/>
    </row>
    <row r="438" spans="1:26" ht="24.75" customHeight="1" x14ac:dyDescent="0.25">
      <c r="A438" s="236"/>
      <c r="B438" s="237"/>
      <c r="C438" s="236"/>
      <c r="D438" s="238"/>
      <c r="E438" s="238"/>
      <c r="F438" s="238"/>
      <c r="G438" s="239"/>
      <c r="H438" s="241"/>
      <c r="I438" s="244"/>
      <c r="J438" s="241"/>
      <c r="K438" s="237"/>
      <c r="L438" s="237"/>
      <c r="M438" s="237"/>
      <c r="N438" s="237"/>
      <c r="O438" s="237"/>
      <c r="P438" s="237"/>
      <c r="Q438" s="237"/>
      <c r="R438" s="237"/>
      <c r="S438" s="237"/>
      <c r="T438" s="237"/>
      <c r="U438" s="237"/>
      <c r="V438" s="237"/>
      <c r="W438" s="237"/>
      <c r="X438" s="237"/>
      <c r="Y438" s="237"/>
      <c r="Z438" s="237"/>
    </row>
    <row r="439" spans="1:26" ht="24.75" customHeight="1" x14ac:dyDescent="0.25">
      <c r="A439" s="236"/>
      <c r="B439" s="237"/>
      <c r="C439" s="236"/>
      <c r="D439" s="238"/>
      <c r="E439" s="238"/>
      <c r="F439" s="238"/>
      <c r="G439" s="239"/>
      <c r="H439" s="241"/>
      <c r="I439" s="244"/>
      <c r="J439" s="241"/>
      <c r="K439" s="237"/>
      <c r="L439" s="237"/>
      <c r="M439" s="237"/>
      <c r="N439" s="237"/>
      <c r="O439" s="237"/>
      <c r="P439" s="237"/>
      <c r="Q439" s="237"/>
      <c r="R439" s="237"/>
      <c r="S439" s="237"/>
      <c r="T439" s="237"/>
      <c r="U439" s="237"/>
      <c r="V439" s="237"/>
      <c r="W439" s="237"/>
      <c r="X439" s="237"/>
      <c r="Y439" s="237"/>
      <c r="Z439" s="237"/>
    </row>
    <row r="440" spans="1:26" ht="24.75" customHeight="1" x14ac:dyDescent="0.25">
      <c r="A440" s="236"/>
      <c r="B440" s="237"/>
      <c r="C440" s="236"/>
      <c r="D440" s="238"/>
      <c r="E440" s="238"/>
      <c r="F440" s="238"/>
      <c r="G440" s="239"/>
      <c r="H440" s="241"/>
      <c r="I440" s="244"/>
      <c r="J440" s="241"/>
      <c r="K440" s="237"/>
      <c r="L440" s="237"/>
      <c r="M440" s="237"/>
      <c r="N440" s="237"/>
      <c r="O440" s="237"/>
      <c r="P440" s="237"/>
      <c r="Q440" s="237"/>
      <c r="R440" s="237"/>
      <c r="S440" s="237"/>
      <c r="T440" s="237"/>
      <c r="U440" s="237"/>
      <c r="V440" s="237"/>
      <c r="W440" s="237"/>
      <c r="X440" s="237"/>
      <c r="Y440" s="237"/>
      <c r="Z440" s="237"/>
    </row>
    <row r="441" spans="1:26" ht="24.75" customHeight="1" x14ac:dyDescent="0.25">
      <c r="A441" s="236"/>
      <c r="B441" s="237"/>
      <c r="C441" s="236"/>
      <c r="D441" s="238"/>
      <c r="E441" s="238"/>
      <c r="F441" s="238"/>
      <c r="G441" s="239"/>
      <c r="H441" s="241"/>
      <c r="I441" s="244"/>
      <c r="J441" s="241"/>
      <c r="K441" s="237"/>
      <c r="L441" s="237"/>
      <c r="M441" s="237"/>
      <c r="N441" s="237"/>
      <c r="O441" s="237"/>
      <c r="P441" s="237"/>
      <c r="Q441" s="237"/>
      <c r="R441" s="237"/>
      <c r="S441" s="237"/>
      <c r="T441" s="237"/>
      <c r="U441" s="237"/>
      <c r="V441" s="237"/>
      <c r="W441" s="237"/>
      <c r="X441" s="237"/>
      <c r="Y441" s="237"/>
      <c r="Z441" s="237"/>
    </row>
    <row r="442" spans="1:26" ht="24.75" customHeight="1" x14ac:dyDescent="0.25">
      <c r="A442" s="236"/>
      <c r="B442" s="237"/>
      <c r="C442" s="236"/>
      <c r="D442" s="238"/>
      <c r="E442" s="238"/>
      <c r="F442" s="238"/>
      <c r="G442" s="239"/>
      <c r="H442" s="241"/>
      <c r="I442" s="244"/>
      <c r="J442" s="241"/>
      <c r="K442" s="237"/>
      <c r="L442" s="237"/>
      <c r="M442" s="237"/>
      <c r="N442" s="237"/>
      <c r="O442" s="237"/>
      <c r="P442" s="237"/>
      <c r="Q442" s="237"/>
      <c r="R442" s="237"/>
      <c r="S442" s="237"/>
      <c r="T442" s="237"/>
      <c r="U442" s="237"/>
      <c r="V442" s="237"/>
      <c r="W442" s="237"/>
      <c r="X442" s="237"/>
      <c r="Y442" s="237"/>
      <c r="Z442" s="237"/>
    </row>
    <row r="443" spans="1:26" ht="24.75" customHeight="1" x14ac:dyDescent="0.25">
      <c r="A443" s="236"/>
      <c r="B443" s="237"/>
      <c r="C443" s="236"/>
      <c r="D443" s="238"/>
      <c r="E443" s="238"/>
      <c r="F443" s="238"/>
      <c r="G443" s="239"/>
      <c r="H443" s="241"/>
      <c r="I443" s="244"/>
      <c r="J443" s="241"/>
      <c r="K443" s="237"/>
      <c r="L443" s="237"/>
      <c r="M443" s="237"/>
      <c r="N443" s="237"/>
      <c r="O443" s="237"/>
      <c r="P443" s="237"/>
      <c r="Q443" s="237"/>
      <c r="R443" s="237"/>
      <c r="S443" s="237"/>
      <c r="T443" s="237"/>
      <c r="U443" s="237"/>
      <c r="V443" s="237"/>
      <c r="W443" s="237"/>
      <c r="X443" s="237"/>
      <c r="Y443" s="237"/>
      <c r="Z443" s="237"/>
    </row>
    <row r="444" spans="1:26" ht="24.75" customHeight="1" x14ac:dyDescent="0.25">
      <c r="A444" s="236"/>
      <c r="B444" s="237"/>
      <c r="C444" s="236"/>
      <c r="D444" s="238"/>
      <c r="E444" s="238"/>
      <c r="F444" s="238"/>
      <c r="G444" s="239"/>
      <c r="H444" s="241"/>
      <c r="I444" s="244"/>
      <c r="J444" s="241"/>
      <c r="K444" s="237"/>
      <c r="L444" s="237"/>
      <c r="M444" s="237"/>
      <c r="N444" s="237"/>
      <c r="O444" s="237"/>
      <c r="P444" s="237"/>
      <c r="Q444" s="237"/>
      <c r="R444" s="237"/>
      <c r="S444" s="237"/>
      <c r="T444" s="237"/>
      <c r="U444" s="237"/>
      <c r="V444" s="237"/>
      <c r="W444" s="237"/>
      <c r="X444" s="237"/>
      <c r="Y444" s="237"/>
      <c r="Z444" s="237"/>
    </row>
    <row r="445" spans="1:26" ht="24.75" customHeight="1" x14ac:dyDescent="0.25">
      <c r="A445" s="236"/>
      <c r="B445" s="237"/>
      <c r="C445" s="236"/>
      <c r="D445" s="238"/>
      <c r="E445" s="238"/>
      <c r="F445" s="238"/>
      <c r="G445" s="239"/>
      <c r="H445" s="241"/>
      <c r="I445" s="244"/>
      <c r="J445" s="241"/>
      <c r="K445" s="237"/>
      <c r="L445" s="237"/>
      <c r="M445" s="237"/>
      <c r="N445" s="237"/>
      <c r="O445" s="237"/>
      <c r="P445" s="237"/>
      <c r="Q445" s="237"/>
      <c r="R445" s="237"/>
      <c r="S445" s="237"/>
      <c r="T445" s="237"/>
      <c r="U445" s="237"/>
      <c r="V445" s="237"/>
      <c r="W445" s="237"/>
      <c r="X445" s="237"/>
      <c r="Y445" s="237"/>
      <c r="Z445" s="237"/>
    </row>
    <row r="446" spans="1:26" ht="24.75" customHeight="1" x14ac:dyDescent="0.25">
      <c r="A446" s="236"/>
      <c r="B446" s="237"/>
      <c r="C446" s="236"/>
      <c r="D446" s="238"/>
      <c r="E446" s="238"/>
      <c r="F446" s="238"/>
      <c r="G446" s="239"/>
      <c r="H446" s="241"/>
      <c r="I446" s="244"/>
      <c r="J446" s="241"/>
      <c r="K446" s="237"/>
      <c r="L446" s="237"/>
      <c r="M446" s="237"/>
      <c r="N446" s="237"/>
      <c r="O446" s="237"/>
      <c r="P446" s="237"/>
      <c r="Q446" s="237"/>
      <c r="R446" s="237"/>
      <c r="S446" s="237"/>
      <c r="T446" s="237"/>
      <c r="U446" s="237"/>
      <c r="V446" s="237"/>
      <c r="W446" s="237"/>
      <c r="X446" s="237"/>
      <c r="Y446" s="237"/>
      <c r="Z446" s="237"/>
    </row>
    <row r="447" spans="1:26" ht="24.75" customHeight="1" x14ac:dyDescent="0.25">
      <c r="A447" s="236"/>
      <c r="B447" s="237"/>
      <c r="C447" s="236"/>
      <c r="D447" s="238"/>
      <c r="E447" s="238"/>
      <c r="F447" s="238"/>
      <c r="G447" s="239"/>
      <c r="H447" s="241"/>
      <c r="I447" s="244"/>
      <c r="J447" s="241"/>
      <c r="K447" s="237"/>
      <c r="L447" s="237"/>
      <c r="M447" s="237"/>
      <c r="N447" s="237"/>
      <c r="O447" s="237"/>
      <c r="P447" s="237"/>
      <c r="Q447" s="237"/>
      <c r="R447" s="237"/>
      <c r="S447" s="237"/>
      <c r="T447" s="237"/>
      <c r="U447" s="237"/>
      <c r="V447" s="237"/>
      <c r="W447" s="237"/>
      <c r="X447" s="237"/>
      <c r="Y447" s="237"/>
      <c r="Z447" s="237"/>
    </row>
    <row r="448" spans="1:26" ht="24.75" customHeight="1" x14ac:dyDescent="0.25">
      <c r="A448" s="236"/>
      <c r="B448" s="237"/>
      <c r="C448" s="236"/>
      <c r="D448" s="238"/>
      <c r="E448" s="238"/>
      <c r="F448" s="238"/>
      <c r="G448" s="239"/>
      <c r="H448" s="241"/>
      <c r="I448" s="244"/>
      <c r="J448" s="241"/>
      <c r="K448" s="237"/>
      <c r="L448" s="237"/>
      <c r="M448" s="237"/>
      <c r="N448" s="237"/>
      <c r="O448" s="237"/>
      <c r="P448" s="237"/>
      <c r="Q448" s="237"/>
      <c r="R448" s="237"/>
      <c r="S448" s="237"/>
      <c r="T448" s="237"/>
      <c r="U448" s="237"/>
      <c r="V448" s="237"/>
      <c r="W448" s="237"/>
      <c r="X448" s="237"/>
      <c r="Y448" s="237"/>
      <c r="Z448" s="237"/>
    </row>
    <row r="449" spans="1:26" ht="24.75" customHeight="1" x14ac:dyDescent="0.25">
      <c r="A449" s="236"/>
      <c r="B449" s="237"/>
      <c r="C449" s="236"/>
      <c r="D449" s="238"/>
      <c r="E449" s="238"/>
      <c r="F449" s="238"/>
      <c r="G449" s="239"/>
      <c r="H449" s="241"/>
      <c r="I449" s="244"/>
      <c r="J449" s="241"/>
      <c r="K449" s="237"/>
      <c r="L449" s="237"/>
      <c r="M449" s="237"/>
      <c r="N449" s="237"/>
      <c r="O449" s="237"/>
      <c r="P449" s="237"/>
      <c r="Q449" s="237"/>
      <c r="R449" s="237"/>
      <c r="S449" s="237"/>
      <c r="T449" s="237"/>
      <c r="U449" s="237"/>
      <c r="V449" s="237"/>
      <c r="W449" s="237"/>
      <c r="X449" s="237"/>
      <c r="Y449" s="237"/>
      <c r="Z449" s="237"/>
    </row>
    <row r="450" spans="1:26" ht="24.75" customHeight="1" x14ac:dyDescent="0.25">
      <c r="A450" s="236"/>
      <c r="B450" s="237"/>
      <c r="C450" s="236"/>
      <c r="D450" s="238"/>
      <c r="E450" s="238"/>
      <c r="F450" s="238"/>
      <c r="G450" s="239"/>
      <c r="H450" s="241"/>
      <c r="I450" s="244"/>
      <c r="J450" s="241"/>
      <c r="K450" s="237"/>
      <c r="L450" s="237"/>
      <c r="M450" s="237"/>
      <c r="N450" s="237"/>
      <c r="O450" s="237"/>
      <c r="P450" s="237"/>
      <c r="Q450" s="237"/>
      <c r="R450" s="237"/>
      <c r="S450" s="237"/>
      <c r="T450" s="237"/>
      <c r="U450" s="237"/>
      <c r="V450" s="237"/>
      <c r="W450" s="237"/>
      <c r="X450" s="237"/>
      <c r="Y450" s="237"/>
      <c r="Z450" s="237"/>
    </row>
    <row r="451" spans="1:26" ht="24.75" customHeight="1" x14ac:dyDescent="0.25">
      <c r="A451" s="236"/>
      <c r="B451" s="237"/>
      <c r="C451" s="236"/>
      <c r="D451" s="238"/>
      <c r="E451" s="238"/>
      <c r="F451" s="238"/>
      <c r="G451" s="239"/>
      <c r="H451" s="241"/>
      <c r="I451" s="244"/>
      <c r="J451" s="241"/>
      <c r="K451" s="237"/>
      <c r="L451" s="237"/>
      <c r="M451" s="237"/>
      <c r="N451" s="237"/>
      <c r="O451" s="237"/>
      <c r="P451" s="237"/>
      <c r="Q451" s="237"/>
      <c r="R451" s="237"/>
      <c r="S451" s="237"/>
      <c r="T451" s="237"/>
      <c r="U451" s="237"/>
      <c r="V451" s="237"/>
      <c r="W451" s="237"/>
      <c r="X451" s="237"/>
      <c r="Y451" s="237"/>
      <c r="Z451" s="237"/>
    </row>
    <row r="452" spans="1:26" ht="24.75" customHeight="1" x14ac:dyDescent="0.25">
      <c r="A452" s="236"/>
      <c r="B452" s="237"/>
      <c r="C452" s="236"/>
      <c r="D452" s="238"/>
      <c r="E452" s="238"/>
      <c r="F452" s="238"/>
      <c r="G452" s="239"/>
      <c r="H452" s="241"/>
      <c r="I452" s="244"/>
      <c r="J452" s="241"/>
      <c r="K452" s="237"/>
      <c r="L452" s="237"/>
      <c r="M452" s="237"/>
      <c r="N452" s="237"/>
      <c r="O452" s="237"/>
      <c r="P452" s="237"/>
      <c r="Q452" s="237"/>
      <c r="R452" s="237"/>
      <c r="S452" s="237"/>
      <c r="T452" s="237"/>
      <c r="U452" s="237"/>
      <c r="V452" s="237"/>
      <c r="W452" s="237"/>
      <c r="X452" s="237"/>
      <c r="Y452" s="237"/>
      <c r="Z452" s="237"/>
    </row>
    <row r="453" spans="1:26" ht="24.75" customHeight="1" x14ac:dyDescent="0.25">
      <c r="A453" s="236"/>
      <c r="B453" s="237"/>
      <c r="C453" s="236"/>
      <c r="D453" s="238"/>
      <c r="E453" s="238"/>
      <c r="F453" s="238"/>
      <c r="G453" s="239"/>
      <c r="H453" s="241"/>
      <c r="I453" s="244"/>
      <c r="J453" s="241"/>
      <c r="K453" s="237"/>
      <c r="L453" s="237"/>
      <c r="M453" s="237"/>
      <c r="N453" s="237"/>
      <c r="O453" s="237"/>
      <c r="P453" s="237"/>
      <c r="Q453" s="237"/>
      <c r="R453" s="237"/>
      <c r="S453" s="237"/>
      <c r="T453" s="237"/>
      <c r="U453" s="237"/>
      <c r="V453" s="237"/>
      <c r="W453" s="237"/>
      <c r="X453" s="237"/>
      <c r="Y453" s="237"/>
      <c r="Z453" s="237"/>
    </row>
    <row r="454" spans="1:26" ht="24.75" customHeight="1" x14ac:dyDescent="0.25">
      <c r="A454" s="236"/>
      <c r="B454" s="237"/>
      <c r="C454" s="236"/>
      <c r="D454" s="238"/>
      <c r="E454" s="238"/>
      <c r="F454" s="238"/>
      <c r="G454" s="239"/>
      <c r="H454" s="241"/>
      <c r="I454" s="244"/>
      <c r="J454" s="241"/>
      <c r="K454" s="237"/>
      <c r="L454" s="237"/>
      <c r="M454" s="237"/>
      <c r="N454" s="237"/>
      <c r="O454" s="237"/>
      <c r="P454" s="237"/>
      <c r="Q454" s="237"/>
      <c r="R454" s="237"/>
      <c r="S454" s="237"/>
      <c r="T454" s="237"/>
      <c r="U454" s="237"/>
      <c r="V454" s="237"/>
      <c r="W454" s="237"/>
      <c r="X454" s="237"/>
      <c r="Y454" s="237"/>
      <c r="Z454" s="237"/>
    </row>
    <row r="455" spans="1:26" ht="24.75" customHeight="1" x14ac:dyDescent="0.25">
      <c r="A455" s="236"/>
      <c r="B455" s="237"/>
      <c r="C455" s="236"/>
      <c r="D455" s="238"/>
      <c r="E455" s="238"/>
      <c r="F455" s="238"/>
      <c r="G455" s="239"/>
      <c r="H455" s="241"/>
      <c r="I455" s="244"/>
      <c r="J455" s="241"/>
      <c r="K455" s="237"/>
      <c r="L455" s="237"/>
      <c r="M455" s="237"/>
      <c r="N455" s="237"/>
      <c r="O455" s="237"/>
      <c r="P455" s="237"/>
      <c r="Q455" s="237"/>
      <c r="R455" s="237"/>
      <c r="S455" s="237"/>
      <c r="T455" s="237"/>
      <c r="U455" s="237"/>
      <c r="V455" s="237"/>
      <c r="W455" s="237"/>
      <c r="X455" s="237"/>
      <c r="Y455" s="237"/>
      <c r="Z455" s="237"/>
    </row>
    <row r="456" spans="1:26" ht="24.75" customHeight="1" x14ac:dyDescent="0.25">
      <c r="A456" s="236"/>
      <c r="B456" s="237"/>
      <c r="C456" s="236"/>
      <c r="D456" s="238"/>
      <c r="E456" s="238"/>
      <c r="F456" s="238"/>
      <c r="G456" s="239"/>
      <c r="H456" s="241"/>
      <c r="I456" s="244"/>
      <c r="J456" s="241"/>
      <c r="K456" s="237"/>
      <c r="L456" s="237"/>
      <c r="M456" s="237"/>
      <c r="N456" s="237"/>
      <c r="O456" s="237"/>
      <c r="P456" s="237"/>
      <c r="Q456" s="237"/>
      <c r="R456" s="237"/>
      <c r="S456" s="237"/>
      <c r="T456" s="237"/>
      <c r="U456" s="237"/>
      <c r="V456" s="237"/>
      <c r="W456" s="237"/>
      <c r="X456" s="237"/>
      <c r="Y456" s="237"/>
      <c r="Z456" s="237"/>
    </row>
    <row r="457" spans="1:26" ht="24.75" customHeight="1" x14ac:dyDescent="0.25">
      <c r="A457" s="236"/>
      <c r="B457" s="237"/>
      <c r="C457" s="236"/>
      <c r="D457" s="238"/>
      <c r="E457" s="238"/>
      <c r="F457" s="238"/>
      <c r="G457" s="239"/>
      <c r="H457" s="241"/>
      <c r="I457" s="244"/>
      <c r="J457" s="241"/>
      <c r="K457" s="237"/>
      <c r="L457" s="237"/>
      <c r="M457" s="237"/>
      <c r="N457" s="237"/>
      <c r="O457" s="237"/>
      <c r="P457" s="237"/>
      <c r="Q457" s="237"/>
      <c r="R457" s="237"/>
      <c r="S457" s="237"/>
      <c r="T457" s="237"/>
      <c r="U457" s="237"/>
      <c r="V457" s="237"/>
      <c r="W457" s="237"/>
      <c r="X457" s="237"/>
      <c r="Y457" s="237"/>
      <c r="Z457" s="237"/>
    </row>
    <row r="458" spans="1:26" ht="24.75" customHeight="1" x14ac:dyDescent="0.25">
      <c r="A458" s="236"/>
      <c r="B458" s="237"/>
      <c r="C458" s="236"/>
      <c r="D458" s="238"/>
      <c r="E458" s="238"/>
      <c r="F458" s="238"/>
      <c r="G458" s="239"/>
      <c r="H458" s="241"/>
      <c r="I458" s="244"/>
      <c r="J458" s="241"/>
      <c r="K458" s="237"/>
      <c r="L458" s="237"/>
      <c r="M458" s="237"/>
      <c r="N458" s="237"/>
      <c r="O458" s="237"/>
      <c r="P458" s="237"/>
      <c r="Q458" s="237"/>
      <c r="R458" s="237"/>
      <c r="S458" s="237"/>
      <c r="T458" s="237"/>
      <c r="U458" s="237"/>
      <c r="V458" s="237"/>
      <c r="W458" s="237"/>
      <c r="X458" s="237"/>
      <c r="Y458" s="237"/>
      <c r="Z458" s="237"/>
    </row>
    <row r="459" spans="1:26" ht="24.75" customHeight="1" x14ac:dyDescent="0.25">
      <c r="A459" s="236"/>
      <c r="B459" s="237"/>
      <c r="C459" s="236"/>
      <c r="D459" s="238"/>
      <c r="E459" s="238"/>
      <c r="F459" s="238"/>
      <c r="G459" s="239"/>
      <c r="H459" s="241"/>
      <c r="I459" s="244"/>
      <c r="J459" s="241"/>
      <c r="K459" s="237"/>
      <c r="L459" s="237"/>
      <c r="M459" s="237"/>
      <c r="N459" s="237"/>
      <c r="O459" s="237"/>
      <c r="P459" s="237"/>
      <c r="Q459" s="237"/>
      <c r="R459" s="237"/>
      <c r="S459" s="237"/>
      <c r="T459" s="237"/>
      <c r="U459" s="237"/>
      <c r="V459" s="237"/>
      <c r="W459" s="237"/>
      <c r="X459" s="237"/>
      <c r="Y459" s="237"/>
      <c r="Z459" s="237"/>
    </row>
    <row r="460" spans="1:26" ht="24.75" customHeight="1" x14ac:dyDescent="0.25">
      <c r="A460" s="236"/>
      <c r="B460" s="237"/>
      <c r="C460" s="236"/>
      <c r="D460" s="238"/>
      <c r="E460" s="238"/>
      <c r="F460" s="238"/>
      <c r="G460" s="239"/>
      <c r="H460" s="241"/>
      <c r="I460" s="244"/>
      <c r="J460" s="241"/>
      <c r="K460" s="237"/>
      <c r="L460" s="237"/>
      <c r="M460" s="237"/>
      <c r="N460" s="237"/>
      <c r="O460" s="237"/>
      <c r="P460" s="237"/>
      <c r="Q460" s="237"/>
      <c r="R460" s="237"/>
      <c r="S460" s="237"/>
      <c r="T460" s="237"/>
      <c r="U460" s="237"/>
      <c r="V460" s="237"/>
      <c r="W460" s="237"/>
      <c r="X460" s="237"/>
      <c r="Y460" s="237"/>
      <c r="Z460" s="237"/>
    </row>
    <row r="461" spans="1:26" ht="24.75" customHeight="1" x14ac:dyDescent="0.25">
      <c r="A461" s="236"/>
      <c r="B461" s="237"/>
      <c r="C461" s="236"/>
      <c r="D461" s="238"/>
      <c r="E461" s="238"/>
      <c r="F461" s="238"/>
      <c r="G461" s="239"/>
      <c r="H461" s="241"/>
      <c r="I461" s="244"/>
      <c r="J461" s="241"/>
      <c r="K461" s="237"/>
      <c r="L461" s="237"/>
      <c r="M461" s="237"/>
      <c r="N461" s="237"/>
      <c r="O461" s="237"/>
      <c r="P461" s="237"/>
      <c r="Q461" s="237"/>
      <c r="R461" s="237"/>
      <c r="S461" s="237"/>
      <c r="T461" s="237"/>
      <c r="U461" s="237"/>
      <c r="V461" s="237"/>
      <c r="W461" s="237"/>
      <c r="X461" s="237"/>
      <c r="Y461" s="237"/>
      <c r="Z461" s="237"/>
    </row>
    <row r="462" spans="1:26" ht="24.75" customHeight="1" x14ac:dyDescent="0.25">
      <c r="A462" s="236"/>
      <c r="B462" s="237"/>
      <c r="C462" s="236"/>
      <c r="D462" s="238"/>
      <c r="E462" s="238"/>
      <c r="F462" s="238"/>
      <c r="G462" s="239"/>
      <c r="H462" s="241"/>
      <c r="I462" s="244"/>
      <c r="J462" s="241"/>
      <c r="K462" s="237"/>
      <c r="L462" s="237"/>
      <c r="M462" s="237"/>
      <c r="N462" s="237"/>
      <c r="O462" s="237"/>
      <c r="P462" s="237"/>
      <c r="Q462" s="237"/>
      <c r="R462" s="237"/>
      <c r="S462" s="237"/>
      <c r="T462" s="237"/>
      <c r="U462" s="237"/>
      <c r="V462" s="237"/>
      <c r="W462" s="237"/>
      <c r="X462" s="237"/>
      <c r="Y462" s="237"/>
      <c r="Z462" s="237"/>
    </row>
    <row r="463" spans="1:26" ht="24.75" customHeight="1" x14ac:dyDescent="0.25">
      <c r="A463" s="236"/>
      <c r="B463" s="237"/>
      <c r="C463" s="236"/>
      <c r="D463" s="238"/>
      <c r="E463" s="238"/>
      <c r="F463" s="238"/>
      <c r="G463" s="239"/>
      <c r="H463" s="241"/>
      <c r="I463" s="244"/>
      <c r="J463" s="241"/>
      <c r="K463" s="237"/>
      <c r="L463" s="237"/>
      <c r="M463" s="237"/>
      <c r="N463" s="237"/>
      <c r="O463" s="237"/>
      <c r="P463" s="237"/>
      <c r="Q463" s="237"/>
      <c r="R463" s="237"/>
      <c r="S463" s="237"/>
      <c r="T463" s="237"/>
      <c r="U463" s="237"/>
      <c r="V463" s="237"/>
      <c r="W463" s="237"/>
      <c r="X463" s="237"/>
      <c r="Y463" s="237"/>
      <c r="Z463" s="237"/>
    </row>
    <row r="464" spans="1:26" ht="24.75" customHeight="1" x14ac:dyDescent="0.25">
      <c r="A464" s="236"/>
      <c r="B464" s="237"/>
      <c r="C464" s="236"/>
      <c r="D464" s="238"/>
      <c r="E464" s="238"/>
      <c r="F464" s="238"/>
      <c r="G464" s="239"/>
      <c r="H464" s="241"/>
      <c r="I464" s="244"/>
      <c r="J464" s="241"/>
      <c r="K464" s="237"/>
      <c r="L464" s="237"/>
      <c r="M464" s="237"/>
      <c r="N464" s="237"/>
      <c r="O464" s="237"/>
      <c r="P464" s="237"/>
      <c r="Q464" s="237"/>
      <c r="R464" s="237"/>
      <c r="S464" s="237"/>
      <c r="T464" s="237"/>
      <c r="U464" s="237"/>
      <c r="V464" s="237"/>
      <c r="W464" s="237"/>
      <c r="X464" s="237"/>
      <c r="Y464" s="237"/>
      <c r="Z464" s="237"/>
    </row>
    <row r="465" spans="1:26" ht="24.75" customHeight="1" x14ac:dyDescent="0.25">
      <c r="A465" s="236"/>
      <c r="B465" s="237"/>
      <c r="C465" s="236"/>
      <c r="D465" s="238"/>
      <c r="E465" s="238"/>
      <c r="F465" s="238"/>
      <c r="G465" s="239"/>
      <c r="H465" s="241"/>
      <c r="I465" s="244"/>
      <c r="J465" s="241"/>
      <c r="K465" s="237"/>
      <c r="L465" s="237"/>
      <c r="M465" s="237"/>
      <c r="N465" s="237"/>
      <c r="O465" s="237"/>
      <c r="P465" s="237"/>
      <c r="Q465" s="237"/>
      <c r="R465" s="237"/>
      <c r="S465" s="237"/>
      <c r="T465" s="237"/>
      <c r="U465" s="237"/>
      <c r="V465" s="237"/>
      <c r="W465" s="237"/>
      <c r="X465" s="237"/>
      <c r="Y465" s="237"/>
      <c r="Z465" s="237"/>
    </row>
    <row r="466" spans="1:26" ht="24.75" customHeight="1" x14ac:dyDescent="0.25">
      <c r="A466" s="236"/>
      <c r="B466" s="237"/>
      <c r="C466" s="236"/>
      <c r="D466" s="238"/>
      <c r="E466" s="238"/>
      <c r="F466" s="238"/>
      <c r="G466" s="239"/>
      <c r="H466" s="241"/>
      <c r="I466" s="244"/>
      <c r="J466" s="241"/>
      <c r="K466" s="237"/>
      <c r="L466" s="237"/>
      <c r="M466" s="237"/>
      <c r="N466" s="237"/>
      <c r="O466" s="237"/>
      <c r="P466" s="237"/>
      <c r="Q466" s="237"/>
      <c r="R466" s="237"/>
      <c r="S466" s="237"/>
      <c r="T466" s="237"/>
      <c r="U466" s="237"/>
      <c r="V466" s="237"/>
      <c r="W466" s="237"/>
      <c r="X466" s="237"/>
      <c r="Y466" s="237"/>
      <c r="Z466" s="237"/>
    </row>
    <row r="467" spans="1:26" ht="24.75" customHeight="1" x14ac:dyDescent="0.25">
      <c r="A467" s="236"/>
      <c r="B467" s="237"/>
      <c r="C467" s="236"/>
      <c r="D467" s="238"/>
      <c r="E467" s="238"/>
      <c r="F467" s="238"/>
      <c r="G467" s="239"/>
      <c r="H467" s="241"/>
      <c r="I467" s="244"/>
      <c r="J467" s="241"/>
      <c r="K467" s="237"/>
      <c r="L467" s="237"/>
      <c r="M467" s="237"/>
      <c r="N467" s="237"/>
      <c r="O467" s="237"/>
      <c r="P467" s="237"/>
      <c r="Q467" s="237"/>
      <c r="R467" s="237"/>
      <c r="S467" s="237"/>
      <c r="T467" s="237"/>
      <c r="U467" s="237"/>
      <c r="V467" s="237"/>
      <c r="W467" s="237"/>
      <c r="X467" s="237"/>
      <c r="Y467" s="237"/>
      <c r="Z467" s="237"/>
    </row>
    <row r="468" spans="1:26" ht="24.75" customHeight="1" x14ac:dyDescent="0.25">
      <c r="A468" s="236"/>
      <c r="B468" s="237"/>
      <c r="C468" s="236"/>
      <c r="D468" s="238"/>
      <c r="E468" s="238"/>
      <c r="F468" s="238"/>
      <c r="G468" s="239"/>
      <c r="H468" s="241"/>
      <c r="I468" s="244"/>
      <c r="J468" s="241"/>
      <c r="K468" s="237"/>
      <c r="L468" s="237"/>
      <c r="M468" s="237"/>
      <c r="N468" s="237"/>
      <c r="O468" s="237"/>
      <c r="P468" s="237"/>
      <c r="Q468" s="237"/>
      <c r="R468" s="237"/>
      <c r="S468" s="237"/>
      <c r="T468" s="237"/>
      <c r="U468" s="237"/>
      <c r="V468" s="237"/>
      <c r="W468" s="237"/>
      <c r="X468" s="237"/>
      <c r="Y468" s="237"/>
      <c r="Z468" s="237"/>
    </row>
    <row r="469" spans="1:26" ht="24.75" customHeight="1" x14ac:dyDescent="0.25">
      <c r="A469" s="236"/>
      <c r="B469" s="237"/>
      <c r="C469" s="236"/>
      <c r="D469" s="238"/>
      <c r="E469" s="238"/>
      <c r="F469" s="238"/>
      <c r="G469" s="239"/>
      <c r="H469" s="241"/>
      <c r="I469" s="244"/>
      <c r="J469" s="241"/>
      <c r="K469" s="237"/>
      <c r="L469" s="237"/>
      <c r="M469" s="237"/>
      <c r="N469" s="237"/>
      <c r="O469" s="237"/>
      <c r="P469" s="237"/>
      <c r="Q469" s="237"/>
      <c r="R469" s="237"/>
      <c r="S469" s="237"/>
      <c r="T469" s="237"/>
      <c r="U469" s="237"/>
      <c r="V469" s="237"/>
      <c r="W469" s="237"/>
      <c r="X469" s="237"/>
      <c r="Y469" s="237"/>
      <c r="Z469" s="237"/>
    </row>
    <row r="470" spans="1:26" ht="24.75" customHeight="1" x14ac:dyDescent="0.25">
      <c r="A470" s="236"/>
      <c r="B470" s="237"/>
      <c r="C470" s="236"/>
      <c r="D470" s="238"/>
      <c r="E470" s="238"/>
      <c r="F470" s="238"/>
      <c r="G470" s="239"/>
      <c r="H470" s="241"/>
      <c r="I470" s="244"/>
      <c r="J470" s="241"/>
      <c r="K470" s="237"/>
      <c r="L470" s="237"/>
      <c r="M470" s="237"/>
      <c r="N470" s="237"/>
      <c r="O470" s="237"/>
      <c r="P470" s="237"/>
      <c r="Q470" s="237"/>
      <c r="R470" s="237"/>
      <c r="S470" s="237"/>
      <c r="T470" s="237"/>
      <c r="U470" s="237"/>
      <c r="V470" s="237"/>
      <c r="W470" s="237"/>
      <c r="X470" s="237"/>
      <c r="Y470" s="237"/>
      <c r="Z470" s="237"/>
    </row>
    <row r="471" spans="1:26" ht="24.75" customHeight="1" x14ac:dyDescent="0.25">
      <c r="A471" s="236"/>
      <c r="B471" s="237"/>
      <c r="C471" s="236"/>
      <c r="D471" s="238"/>
      <c r="E471" s="238"/>
      <c r="F471" s="238"/>
      <c r="G471" s="239"/>
      <c r="H471" s="241"/>
      <c r="I471" s="244"/>
      <c r="J471" s="241"/>
      <c r="K471" s="237"/>
      <c r="L471" s="237"/>
      <c r="M471" s="237"/>
      <c r="N471" s="237"/>
      <c r="O471" s="237"/>
      <c r="P471" s="237"/>
      <c r="Q471" s="237"/>
      <c r="R471" s="237"/>
      <c r="S471" s="237"/>
      <c r="T471" s="237"/>
      <c r="U471" s="237"/>
      <c r="V471" s="237"/>
      <c r="W471" s="237"/>
      <c r="X471" s="237"/>
      <c r="Y471" s="237"/>
      <c r="Z471" s="237"/>
    </row>
    <row r="472" spans="1:26" ht="24.75" customHeight="1" x14ac:dyDescent="0.25">
      <c r="A472" s="236"/>
      <c r="B472" s="237"/>
      <c r="C472" s="236"/>
      <c r="D472" s="238"/>
      <c r="E472" s="238"/>
      <c r="F472" s="238"/>
      <c r="G472" s="239"/>
      <c r="H472" s="241"/>
      <c r="I472" s="244"/>
      <c r="J472" s="241"/>
      <c r="K472" s="237"/>
      <c r="L472" s="237"/>
      <c r="M472" s="237"/>
      <c r="N472" s="237"/>
      <c r="O472" s="237"/>
      <c r="P472" s="237"/>
      <c r="Q472" s="237"/>
      <c r="R472" s="237"/>
      <c r="S472" s="237"/>
      <c r="T472" s="237"/>
      <c r="U472" s="237"/>
      <c r="V472" s="237"/>
      <c r="W472" s="237"/>
      <c r="X472" s="237"/>
      <c r="Y472" s="237"/>
      <c r="Z472" s="237"/>
    </row>
    <row r="473" spans="1:26" ht="24.75" customHeight="1" x14ac:dyDescent="0.25">
      <c r="A473" s="236"/>
      <c r="B473" s="237"/>
      <c r="C473" s="236"/>
      <c r="D473" s="238"/>
      <c r="E473" s="238"/>
      <c r="F473" s="238"/>
      <c r="G473" s="239"/>
      <c r="H473" s="241"/>
      <c r="I473" s="244"/>
      <c r="J473" s="241"/>
      <c r="K473" s="237"/>
      <c r="L473" s="237"/>
      <c r="M473" s="237"/>
      <c r="N473" s="237"/>
      <c r="O473" s="237"/>
      <c r="P473" s="237"/>
      <c r="Q473" s="237"/>
      <c r="R473" s="237"/>
      <c r="S473" s="237"/>
      <c r="T473" s="237"/>
      <c r="U473" s="237"/>
      <c r="V473" s="237"/>
      <c r="W473" s="237"/>
      <c r="X473" s="237"/>
      <c r="Y473" s="237"/>
      <c r="Z473" s="237"/>
    </row>
    <row r="474" spans="1:26" ht="24.75" customHeight="1" x14ac:dyDescent="0.25">
      <c r="A474" s="236"/>
      <c r="B474" s="237"/>
      <c r="C474" s="236"/>
      <c r="D474" s="238"/>
      <c r="E474" s="238"/>
      <c r="F474" s="238"/>
      <c r="G474" s="239"/>
      <c r="H474" s="241"/>
      <c r="I474" s="244"/>
      <c r="J474" s="241"/>
      <c r="K474" s="237"/>
      <c r="L474" s="237"/>
      <c r="M474" s="237"/>
      <c r="N474" s="237"/>
      <c r="O474" s="237"/>
      <c r="P474" s="237"/>
      <c r="Q474" s="237"/>
      <c r="R474" s="237"/>
      <c r="S474" s="237"/>
      <c r="T474" s="237"/>
      <c r="U474" s="237"/>
      <c r="V474" s="237"/>
      <c r="W474" s="237"/>
      <c r="X474" s="237"/>
      <c r="Y474" s="237"/>
      <c r="Z474" s="237"/>
    </row>
    <row r="475" spans="1:26" ht="24.75" customHeight="1" x14ac:dyDescent="0.25">
      <c r="A475" s="236"/>
      <c r="B475" s="237"/>
      <c r="C475" s="236"/>
      <c r="D475" s="238"/>
      <c r="E475" s="238"/>
      <c r="F475" s="238"/>
      <c r="G475" s="239"/>
      <c r="H475" s="241"/>
      <c r="I475" s="244"/>
      <c r="J475" s="241"/>
      <c r="K475" s="237"/>
      <c r="L475" s="237"/>
      <c r="M475" s="237"/>
      <c r="N475" s="237"/>
      <c r="O475" s="237"/>
      <c r="P475" s="237"/>
      <c r="Q475" s="237"/>
      <c r="R475" s="237"/>
      <c r="S475" s="237"/>
      <c r="T475" s="237"/>
      <c r="U475" s="237"/>
      <c r="V475" s="237"/>
      <c r="W475" s="237"/>
      <c r="X475" s="237"/>
      <c r="Y475" s="237"/>
      <c r="Z475" s="237"/>
    </row>
    <row r="476" spans="1:26" ht="24.75" customHeight="1" x14ac:dyDescent="0.25">
      <c r="A476" s="236"/>
      <c r="B476" s="237"/>
      <c r="C476" s="236"/>
      <c r="D476" s="238"/>
      <c r="E476" s="238"/>
      <c r="F476" s="238"/>
      <c r="G476" s="239"/>
      <c r="H476" s="241"/>
      <c r="I476" s="244"/>
      <c r="J476" s="241"/>
      <c r="K476" s="237"/>
      <c r="L476" s="237"/>
      <c r="M476" s="237"/>
      <c r="N476" s="237"/>
      <c r="O476" s="237"/>
      <c r="P476" s="237"/>
      <c r="Q476" s="237"/>
      <c r="R476" s="237"/>
      <c r="S476" s="237"/>
      <c r="T476" s="237"/>
      <c r="U476" s="237"/>
      <c r="V476" s="237"/>
      <c r="W476" s="237"/>
      <c r="X476" s="237"/>
      <c r="Y476" s="237"/>
      <c r="Z476" s="237"/>
    </row>
    <row r="477" spans="1:26" ht="24.75" customHeight="1" x14ac:dyDescent="0.25">
      <c r="A477" s="236"/>
      <c r="B477" s="237"/>
      <c r="C477" s="236"/>
      <c r="D477" s="238"/>
      <c r="E477" s="238"/>
      <c r="F477" s="238"/>
      <c r="G477" s="239"/>
      <c r="H477" s="241"/>
      <c r="I477" s="244"/>
      <c r="J477" s="241"/>
      <c r="K477" s="237"/>
      <c r="L477" s="237"/>
      <c r="M477" s="237"/>
      <c r="N477" s="237"/>
      <c r="O477" s="237"/>
      <c r="P477" s="237"/>
      <c r="Q477" s="237"/>
      <c r="R477" s="237"/>
      <c r="S477" s="237"/>
      <c r="T477" s="237"/>
      <c r="U477" s="237"/>
      <c r="V477" s="237"/>
      <c r="W477" s="237"/>
      <c r="X477" s="237"/>
      <c r="Y477" s="237"/>
      <c r="Z477" s="237"/>
    </row>
    <row r="478" spans="1:26" ht="24.75" customHeight="1" x14ac:dyDescent="0.25">
      <c r="A478" s="236"/>
      <c r="B478" s="237"/>
      <c r="C478" s="236"/>
      <c r="D478" s="238"/>
      <c r="E478" s="238"/>
      <c r="F478" s="238"/>
      <c r="G478" s="239"/>
      <c r="H478" s="241"/>
      <c r="I478" s="244"/>
      <c r="J478" s="241"/>
      <c r="K478" s="237"/>
      <c r="L478" s="237"/>
      <c r="M478" s="237"/>
      <c r="N478" s="237"/>
      <c r="O478" s="237"/>
      <c r="P478" s="237"/>
      <c r="Q478" s="237"/>
      <c r="R478" s="237"/>
      <c r="S478" s="237"/>
      <c r="T478" s="237"/>
      <c r="U478" s="237"/>
      <c r="V478" s="237"/>
      <c r="W478" s="237"/>
      <c r="X478" s="237"/>
      <c r="Y478" s="237"/>
      <c r="Z478" s="237"/>
    </row>
    <row r="479" spans="1:26" ht="24.75" customHeight="1" x14ac:dyDescent="0.25">
      <c r="A479" s="236"/>
      <c r="B479" s="237"/>
      <c r="C479" s="236"/>
      <c r="D479" s="238"/>
      <c r="E479" s="238"/>
      <c r="F479" s="238"/>
      <c r="G479" s="239"/>
      <c r="H479" s="241"/>
      <c r="I479" s="244"/>
      <c r="J479" s="241"/>
      <c r="K479" s="237"/>
      <c r="L479" s="237"/>
      <c r="M479" s="237"/>
      <c r="N479" s="237"/>
      <c r="O479" s="237"/>
      <c r="P479" s="237"/>
      <c r="Q479" s="237"/>
      <c r="R479" s="237"/>
      <c r="S479" s="237"/>
      <c r="T479" s="237"/>
      <c r="U479" s="237"/>
      <c r="V479" s="237"/>
      <c r="W479" s="237"/>
      <c r="X479" s="237"/>
      <c r="Y479" s="237"/>
      <c r="Z479" s="237"/>
    </row>
    <row r="480" spans="1:26" ht="24.75" customHeight="1" x14ac:dyDescent="0.25">
      <c r="A480" s="236"/>
      <c r="B480" s="237"/>
      <c r="C480" s="236"/>
      <c r="D480" s="238"/>
      <c r="E480" s="238"/>
      <c r="F480" s="238"/>
      <c r="G480" s="239"/>
      <c r="H480" s="241"/>
      <c r="I480" s="244"/>
      <c r="J480" s="241"/>
      <c r="K480" s="237"/>
      <c r="L480" s="237"/>
      <c r="M480" s="237"/>
      <c r="N480" s="237"/>
      <c r="O480" s="237"/>
      <c r="P480" s="237"/>
      <c r="Q480" s="237"/>
      <c r="R480" s="237"/>
      <c r="S480" s="237"/>
      <c r="T480" s="237"/>
      <c r="U480" s="237"/>
      <c r="V480" s="237"/>
      <c r="W480" s="237"/>
      <c r="X480" s="237"/>
      <c r="Y480" s="237"/>
      <c r="Z480" s="237"/>
    </row>
    <row r="481" spans="1:26" ht="24.75" customHeight="1" x14ac:dyDescent="0.25">
      <c r="A481" s="236"/>
      <c r="B481" s="237"/>
      <c r="C481" s="236"/>
      <c r="D481" s="238"/>
      <c r="E481" s="238"/>
      <c r="F481" s="238"/>
      <c r="G481" s="239"/>
      <c r="H481" s="241"/>
      <c r="I481" s="244"/>
      <c r="J481" s="241"/>
      <c r="K481" s="237"/>
      <c r="L481" s="237"/>
      <c r="M481" s="237"/>
      <c r="N481" s="237"/>
      <c r="O481" s="237"/>
      <c r="P481" s="237"/>
      <c r="Q481" s="237"/>
      <c r="R481" s="237"/>
      <c r="S481" s="237"/>
      <c r="T481" s="237"/>
      <c r="U481" s="237"/>
      <c r="V481" s="237"/>
      <c r="W481" s="237"/>
      <c r="X481" s="237"/>
      <c r="Y481" s="237"/>
      <c r="Z481" s="237"/>
    </row>
    <row r="482" spans="1:26" ht="24.75" customHeight="1" x14ac:dyDescent="0.25">
      <c r="A482" s="236"/>
      <c r="B482" s="237"/>
      <c r="C482" s="236"/>
      <c r="D482" s="238"/>
      <c r="E482" s="238"/>
      <c r="F482" s="238"/>
      <c r="G482" s="239"/>
      <c r="H482" s="241"/>
      <c r="I482" s="244"/>
      <c r="J482" s="241"/>
      <c r="K482" s="237"/>
      <c r="L482" s="237"/>
      <c r="M482" s="237"/>
      <c r="N482" s="237"/>
      <c r="O482" s="237"/>
      <c r="P482" s="237"/>
      <c r="Q482" s="237"/>
      <c r="R482" s="237"/>
      <c r="S482" s="237"/>
      <c r="T482" s="237"/>
      <c r="U482" s="237"/>
      <c r="V482" s="237"/>
      <c r="W482" s="237"/>
      <c r="X482" s="237"/>
      <c r="Y482" s="237"/>
      <c r="Z482" s="237"/>
    </row>
    <row r="483" spans="1:26" ht="24.75" customHeight="1" x14ac:dyDescent="0.25">
      <c r="A483" s="236"/>
      <c r="B483" s="237"/>
      <c r="C483" s="236"/>
      <c r="D483" s="238"/>
      <c r="E483" s="238"/>
      <c r="F483" s="238"/>
      <c r="G483" s="239"/>
      <c r="H483" s="241"/>
      <c r="I483" s="244"/>
      <c r="J483" s="241"/>
      <c r="K483" s="237"/>
      <c r="L483" s="237"/>
      <c r="M483" s="237"/>
      <c r="N483" s="237"/>
      <c r="O483" s="237"/>
      <c r="P483" s="237"/>
      <c r="Q483" s="237"/>
      <c r="R483" s="237"/>
      <c r="S483" s="237"/>
      <c r="T483" s="237"/>
      <c r="U483" s="237"/>
      <c r="V483" s="237"/>
      <c r="W483" s="237"/>
      <c r="X483" s="237"/>
      <c r="Y483" s="237"/>
      <c r="Z483" s="237"/>
    </row>
    <row r="484" spans="1:26" ht="24.75" customHeight="1" x14ac:dyDescent="0.25">
      <c r="A484" s="236"/>
      <c r="B484" s="237"/>
      <c r="C484" s="236"/>
      <c r="D484" s="238"/>
      <c r="E484" s="238"/>
      <c r="F484" s="238"/>
      <c r="G484" s="239"/>
      <c r="H484" s="241"/>
      <c r="I484" s="244"/>
      <c r="J484" s="241"/>
      <c r="K484" s="237"/>
      <c r="L484" s="237"/>
      <c r="M484" s="237"/>
      <c r="N484" s="237"/>
      <c r="O484" s="237"/>
      <c r="P484" s="237"/>
      <c r="Q484" s="237"/>
      <c r="R484" s="237"/>
      <c r="S484" s="237"/>
      <c r="T484" s="237"/>
      <c r="U484" s="237"/>
      <c r="V484" s="237"/>
      <c r="W484" s="237"/>
      <c r="X484" s="237"/>
      <c r="Y484" s="237"/>
      <c r="Z484" s="237"/>
    </row>
    <row r="485" spans="1:26" ht="24.75" customHeight="1" x14ac:dyDescent="0.25">
      <c r="A485" s="236"/>
      <c r="B485" s="237"/>
      <c r="C485" s="236"/>
      <c r="D485" s="238"/>
      <c r="E485" s="238"/>
      <c r="F485" s="238"/>
      <c r="G485" s="239"/>
      <c r="H485" s="241"/>
      <c r="I485" s="244"/>
      <c r="J485" s="241"/>
      <c r="K485" s="237"/>
      <c r="L485" s="237"/>
      <c r="M485" s="237"/>
      <c r="N485" s="237"/>
      <c r="O485" s="237"/>
      <c r="P485" s="237"/>
      <c r="Q485" s="237"/>
      <c r="R485" s="237"/>
      <c r="S485" s="237"/>
      <c r="T485" s="237"/>
      <c r="U485" s="237"/>
      <c r="V485" s="237"/>
      <c r="W485" s="237"/>
      <c r="X485" s="237"/>
      <c r="Y485" s="237"/>
      <c r="Z485" s="237"/>
    </row>
    <row r="486" spans="1:26" ht="24.75" customHeight="1" x14ac:dyDescent="0.25">
      <c r="A486" s="236"/>
      <c r="B486" s="237"/>
      <c r="C486" s="236"/>
      <c r="D486" s="238"/>
      <c r="E486" s="238"/>
      <c r="F486" s="238"/>
      <c r="G486" s="239"/>
      <c r="H486" s="241"/>
      <c r="I486" s="244"/>
      <c r="J486" s="241"/>
      <c r="K486" s="237"/>
      <c r="L486" s="237"/>
      <c r="M486" s="237"/>
      <c r="N486" s="237"/>
      <c r="O486" s="237"/>
      <c r="P486" s="237"/>
      <c r="Q486" s="237"/>
      <c r="R486" s="237"/>
      <c r="S486" s="237"/>
      <c r="T486" s="237"/>
      <c r="U486" s="237"/>
      <c r="V486" s="237"/>
      <c r="W486" s="237"/>
      <c r="X486" s="237"/>
      <c r="Y486" s="237"/>
      <c r="Z486" s="237"/>
    </row>
    <row r="487" spans="1:26" ht="24.75" customHeight="1" x14ac:dyDescent="0.25">
      <c r="A487" s="236"/>
      <c r="B487" s="237"/>
      <c r="C487" s="236"/>
      <c r="D487" s="238"/>
      <c r="E487" s="238"/>
      <c r="F487" s="238"/>
      <c r="G487" s="239"/>
      <c r="H487" s="241"/>
      <c r="I487" s="244"/>
      <c r="J487" s="241"/>
      <c r="K487" s="237"/>
      <c r="L487" s="237"/>
      <c r="M487" s="237"/>
      <c r="N487" s="237"/>
      <c r="O487" s="237"/>
      <c r="P487" s="237"/>
      <c r="Q487" s="237"/>
      <c r="R487" s="237"/>
      <c r="S487" s="237"/>
      <c r="T487" s="237"/>
      <c r="U487" s="237"/>
      <c r="V487" s="237"/>
      <c r="W487" s="237"/>
      <c r="X487" s="237"/>
      <c r="Y487" s="237"/>
      <c r="Z487" s="237"/>
    </row>
    <row r="488" spans="1:26" ht="24.75" customHeight="1" x14ac:dyDescent="0.25">
      <c r="A488" s="236"/>
      <c r="B488" s="237"/>
      <c r="C488" s="236"/>
      <c r="D488" s="238"/>
      <c r="E488" s="238"/>
      <c r="F488" s="238"/>
      <c r="G488" s="239"/>
      <c r="H488" s="241"/>
      <c r="I488" s="244"/>
      <c r="J488" s="241"/>
      <c r="K488" s="237"/>
      <c r="L488" s="237"/>
      <c r="M488" s="237"/>
      <c r="N488" s="237"/>
      <c r="O488" s="237"/>
      <c r="P488" s="237"/>
      <c r="Q488" s="237"/>
      <c r="R488" s="237"/>
      <c r="S488" s="237"/>
      <c r="T488" s="237"/>
      <c r="U488" s="237"/>
      <c r="V488" s="237"/>
      <c r="W488" s="237"/>
      <c r="X488" s="237"/>
      <c r="Y488" s="237"/>
      <c r="Z488" s="237"/>
    </row>
    <row r="489" spans="1:26" ht="24.75" customHeight="1" x14ac:dyDescent="0.25">
      <c r="A489" s="236"/>
      <c r="B489" s="237"/>
      <c r="C489" s="236"/>
      <c r="D489" s="238"/>
      <c r="E489" s="238"/>
      <c r="F489" s="238"/>
      <c r="G489" s="239"/>
      <c r="H489" s="241"/>
      <c r="I489" s="244"/>
      <c r="J489" s="241"/>
      <c r="K489" s="237"/>
      <c r="L489" s="237"/>
      <c r="M489" s="237"/>
      <c r="N489" s="237"/>
      <c r="O489" s="237"/>
      <c r="P489" s="237"/>
      <c r="Q489" s="237"/>
      <c r="R489" s="237"/>
      <c r="S489" s="237"/>
      <c r="T489" s="237"/>
      <c r="U489" s="237"/>
      <c r="V489" s="237"/>
      <c r="W489" s="237"/>
      <c r="X489" s="237"/>
      <c r="Y489" s="237"/>
      <c r="Z489" s="237"/>
    </row>
    <row r="490" spans="1:26" ht="24.75" customHeight="1" x14ac:dyDescent="0.25">
      <c r="A490" s="236"/>
      <c r="B490" s="237"/>
      <c r="C490" s="236"/>
      <c r="D490" s="238"/>
      <c r="E490" s="238"/>
      <c r="F490" s="238"/>
      <c r="G490" s="239"/>
      <c r="H490" s="241"/>
      <c r="I490" s="244"/>
      <c r="J490" s="241"/>
      <c r="K490" s="237"/>
      <c r="L490" s="237"/>
      <c r="M490" s="237"/>
      <c r="N490" s="237"/>
      <c r="O490" s="237"/>
      <c r="P490" s="237"/>
      <c r="Q490" s="237"/>
      <c r="R490" s="237"/>
      <c r="S490" s="237"/>
      <c r="T490" s="237"/>
      <c r="U490" s="237"/>
      <c r="V490" s="237"/>
      <c r="W490" s="237"/>
      <c r="X490" s="237"/>
      <c r="Y490" s="237"/>
      <c r="Z490" s="237"/>
    </row>
    <row r="491" spans="1:26" ht="24.75" customHeight="1" x14ac:dyDescent="0.25">
      <c r="A491" s="236"/>
      <c r="B491" s="237"/>
      <c r="C491" s="236"/>
      <c r="D491" s="238"/>
      <c r="E491" s="238"/>
      <c r="F491" s="238"/>
      <c r="G491" s="239"/>
      <c r="H491" s="241"/>
      <c r="I491" s="244"/>
      <c r="J491" s="241"/>
      <c r="K491" s="237"/>
      <c r="L491" s="237"/>
      <c r="M491" s="237"/>
      <c r="N491" s="237"/>
      <c r="O491" s="237"/>
      <c r="P491" s="237"/>
      <c r="Q491" s="237"/>
      <c r="R491" s="237"/>
      <c r="S491" s="237"/>
      <c r="T491" s="237"/>
      <c r="U491" s="237"/>
      <c r="V491" s="237"/>
      <c r="W491" s="237"/>
      <c r="X491" s="237"/>
      <c r="Y491" s="237"/>
      <c r="Z491" s="237"/>
    </row>
    <row r="492" spans="1:26" ht="24.75" customHeight="1" x14ac:dyDescent="0.25">
      <c r="A492" s="236"/>
      <c r="B492" s="237"/>
      <c r="C492" s="236"/>
      <c r="D492" s="238"/>
      <c r="E492" s="238"/>
      <c r="F492" s="238"/>
      <c r="G492" s="239"/>
      <c r="H492" s="241"/>
      <c r="I492" s="244"/>
      <c r="J492" s="241"/>
      <c r="K492" s="237"/>
      <c r="L492" s="237"/>
      <c r="M492" s="237"/>
      <c r="N492" s="237"/>
      <c r="O492" s="237"/>
      <c r="P492" s="237"/>
      <c r="Q492" s="237"/>
      <c r="R492" s="237"/>
      <c r="S492" s="237"/>
      <c r="T492" s="237"/>
      <c r="U492" s="237"/>
      <c r="V492" s="237"/>
      <c r="W492" s="237"/>
      <c r="X492" s="237"/>
      <c r="Y492" s="237"/>
      <c r="Z492" s="237"/>
    </row>
    <row r="493" spans="1:26" ht="24.75" customHeight="1" x14ac:dyDescent="0.25">
      <c r="A493" s="236"/>
      <c r="B493" s="237"/>
      <c r="C493" s="236"/>
      <c r="D493" s="238"/>
      <c r="E493" s="238"/>
      <c r="F493" s="238"/>
      <c r="G493" s="239"/>
      <c r="H493" s="241"/>
      <c r="I493" s="244"/>
      <c r="J493" s="241"/>
      <c r="K493" s="237"/>
      <c r="L493" s="237"/>
      <c r="M493" s="237"/>
      <c r="N493" s="237"/>
      <c r="O493" s="237"/>
      <c r="P493" s="237"/>
      <c r="Q493" s="237"/>
      <c r="R493" s="237"/>
      <c r="S493" s="237"/>
      <c r="T493" s="237"/>
      <c r="U493" s="237"/>
      <c r="V493" s="237"/>
      <c r="W493" s="237"/>
      <c r="X493" s="237"/>
      <c r="Y493" s="237"/>
      <c r="Z493" s="237"/>
    </row>
    <row r="494" spans="1:26" ht="24.75" customHeight="1" x14ac:dyDescent="0.25">
      <c r="A494" s="236"/>
      <c r="B494" s="237"/>
      <c r="C494" s="236"/>
      <c r="D494" s="238"/>
      <c r="E494" s="238"/>
      <c r="F494" s="238"/>
      <c r="G494" s="239"/>
      <c r="H494" s="241"/>
      <c r="I494" s="244"/>
      <c r="J494" s="241"/>
      <c r="K494" s="237"/>
      <c r="L494" s="237"/>
      <c r="M494" s="237"/>
      <c r="N494" s="237"/>
      <c r="O494" s="237"/>
      <c r="P494" s="237"/>
      <c r="Q494" s="237"/>
      <c r="R494" s="237"/>
      <c r="S494" s="237"/>
      <c r="T494" s="237"/>
      <c r="U494" s="237"/>
      <c r="V494" s="237"/>
      <c r="W494" s="237"/>
      <c r="X494" s="237"/>
      <c r="Y494" s="237"/>
      <c r="Z494" s="237"/>
    </row>
    <row r="495" spans="1:26" ht="24.75" customHeight="1" x14ac:dyDescent="0.25">
      <c r="A495" s="236"/>
      <c r="B495" s="237"/>
      <c r="C495" s="236"/>
      <c r="D495" s="238"/>
      <c r="E495" s="238"/>
      <c r="F495" s="238"/>
      <c r="G495" s="239"/>
      <c r="H495" s="241"/>
      <c r="I495" s="244"/>
      <c r="J495" s="241"/>
      <c r="K495" s="237"/>
      <c r="L495" s="237"/>
      <c r="M495" s="237"/>
      <c r="N495" s="237"/>
      <c r="O495" s="237"/>
      <c r="P495" s="237"/>
      <c r="Q495" s="237"/>
      <c r="R495" s="237"/>
      <c r="S495" s="237"/>
      <c r="T495" s="237"/>
      <c r="U495" s="237"/>
      <c r="V495" s="237"/>
      <c r="W495" s="237"/>
      <c r="X495" s="237"/>
      <c r="Y495" s="237"/>
      <c r="Z495" s="237"/>
    </row>
    <row r="496" spans="1:26" ht="24.75" customHeight="1" x14ac:dyDescent="0.25">
      <c r="A496" s="236"/>
      <c r="B496" s="237"/>
      <c r="C496" s="236"/>
      <c r="D496" s="238"/>
      <c r="E496" s="238"/>
      <c r="F496" s="238"/>
      <c r="G496" s="239"/>
      <c r="H496" s="241"/>
      <c r="I496" s="244"/>
      <c r="J496" s="241"/>
      <c r="K496" s="237"/>
      <c r="L496" s="237"/>
      <c r="M496" s="237"/>
      <c r="N496" s="237"/>
      <c r="O496" s="237"/>
      <c r="P496" s="237"/>
      <c r="Q496" s="237"/>
      <c r="R496" s="237"/>
      <c r="S496" s="237"/>
      <c r="T496" s="237"/>
      <c r="U496" s="237"/>
      <c r="V496" s="237"/>
      <c r="W496" s="237"/>
      <c r="X496" s="237"/>
      <c r="Y496" s="237"/>
      <c r="Z496" s="237"/>
    </row>
    <row r="497" spans="1:26" ht="24.75" customHeight="1" x14ac:dyDescent="0.25">
      <c r="A497" s="236"/>
      <c r="B497" s="237"/>
      <c r="C497" s="236"/>
      <c r="D497" s="238"/>
      <c r="E497" s="238"/>
      <c r="F497" s="238"/>
      <c r="G497" s="239"/>
      <c r="H497" s="241"/>
      <c r="I497" s="244"/>
      <c r="J497" s="241"/>
      <c r="K497" s="237"/>
      <c r="L497" s="237"/>
      <c r="M497" s="237"/>
      <c r="N497" s="237"/>
      <c r="O497" s="237"/>
      <c r="P497" s="237"/>
      <c r="Q497" s="237"/>
      <c r="R497" s="237"/>
      <c r="S497" s="237"/>
      <c r="T497" s="237"/>
      <c r="U497" s="237"/>
      <c r="V497" s="237"/>
      <c r="W497" s="237"/>
      <c r="X497" s="237"/>
      <c r="Y497" s="237"/>
      <c r="Z497" s="237"/>
    </row>
    <row r="498" spans="1:26" ht="24.75" customHeight="1" x14ac:dyDescent="0.25">
      <c r="A498" s="236"/>
      <c r="B498" s="237"/>
      <c r="C498" s="236"/>
      <c r="D498" s="238"/>
      <c r="E498" s="238"/>
      <c r="F498" s="238"/>
      <c r="G498" s="239"/>
      <c r="H498" s="241"/>
      <c r="I498" s="244"/>
      <c r="J498" s="241"/>
      <c r="K498" s="237"/>
      <c r="L498" s="237"/>
      <c r="M498" s="237"/>
      <c r="N498" s="237"/>
      <c r="O498" s="237"/>
      <c r="P498" s="237"/>
      <c r="Q498" s="237"/>
      <c r="R498" s="237"/>
      <c r="S498" s="237"/>
      <c r="T498" s="237"/>
      <c r="U498" s="237"/>
      <c r="V498" s="237"/>
      <c r="W498" s="237"/>
      <c r="X498" s="237"/>
      <c r="Y498" s="237"/>
      <c r="Z498" s="237"/>
    </row>
    <row r="499" spans="1:26" ht="24.75" customHeight="1" x14ac:dyDescent="0.25">
      <c r="A499" s="236"/>
      <c r="B499" s="237"/>
      <c r="C499" s="236"/>
      <c r="D499" s="238"/>
      <c r="E499" s="238"/>
      <c r="F499" s="238"/>
      <c r="G499" s="239"/>
      <c r="H499" s="241"/>
      <c r="I499" s="244"/>
      <c r="J499" s="241"/>
      <c r="K499" s="237"/>
      <c r="L499" s="237"/>
      <c r="M499" s="237"/>
      <c r="N499" s="237"/>
      <c r="O499" s="237"/>
      <c r="P499" s="237"/>
      <c r="Q499" s="237"/>
      <c r="R499" s="237"/>
      <c r="S499" s="237"/>
      <c r="T499" s="237"/>
      <c r="U499" s="237"/>
      <c r="V499" s="237"/>
      <c r="W499" s="237"/>
      <c r="X499" s="237"/>
      <c r="Y499" s="237"/>
      <c r="Z499" s="237"/>
    </row>
    <row r="500" spans="1:26" ht="24.75" customHeight="1" x14ac:dyDescent="0.25">
      <c r="A500" s="236"/>
      <c r="B500" s="237"/>
      <c r="C500" s="236"/>
      <c r="D500" s="238"/>
      <c r="E500" s="238"/>
      <c r="F500" s="238"/>
      <c r="G500" s="239"/>
      <c r="H500" s="241"/>
      <c r="I500" s="244"/>
      <c r="J500" s="241"/>
      <c r="K500" s="237"/>
      <c r="L500" s="237"/>
      <c r="M500" s="237"/>
      <c r="N500" s="237"/>
      <c r="O500" s="237"/>
      <c r="P500" s="237"/>
      <c r="Q500" s="237"/>
      <c r="R500" s="237"/>
      <c r="S500" s="237"/>
      <c r="T500" s="237"/>
      <c r="U500" s="237"/>
      <c r="V500" s="237"/>
      <c r="W500" s="237"/>
      <c r="X500" s="237"/>
      <c r="Y500" s="237"/>
      <c r="Z500" s="237"/>
    </row>
    <row r="501" spans="1:26" ht="24.75" customHeight="1" x14ac:dyDescent="0.25">
      <c r="A501" s="236"/>
      <c r="B501" s="237"/>
      <c r="C501" s="236"/>
      <c r="D501" s="238"/>
      <c r="E501" s="238"/>
      <c r="F501" s="238"/>
      <c r="G501" s="239"/>
      <c r="H501" s="241"/>
      <c r="I501" s="244"/>
      <c r="J501" s="241"/>
      <c r="K501" s="237"/>
      <c r="L501" s="237"/>
      <c r="M501" s="237"/>
      <c r="N501" s="237"/>
      <c r="O501" s="237"/>
      <c r="P501" s="237"/>
      <c r="Q501" s="237"/>
      <c r="R501" s="237"/>
      <c r="S501" s="237"/>
      <c r="T501" s="237"/>
      <c r="U501" s="237"/>
      <c r="V501" s="237"/>
      <c r="W501" s="237"/>
      <c r="X501" s="237"/>
      <c r="Y501" s="237"/>
      <c r="Z501" s="237"/>
    </row>
    <row r="502" spans="1:26" ht="24.75" customHeight="1" x14ac:dyDescent="0.25">
      <c r="A502" s="236"/>
      <c r="B502" s="237"/>
      <c r="C502" s="236"/>
      <c r="D502" s="238"/>
      <c r="E502" s="238"/>
      <c r="F502" s="238"/>
      <c r="G502" s="239"/>
      <c r="H502" s="241"/>
      <c r="I502" s="244"/>
      <c r="J502" s="241"/>
      <c r="K502" s="237"/>
      <c r="L502" s="237"/>
      <c r="M502" s="237"/>
      <c r="N502" s="237"/>
      <c r="O502" s="237"/>
      <c r="P502" s="237"/>
      <c r="Q502" s="237"/>
      <c r="R502" s="237"/>
      <c r="S502" s="237"/>
      <c r="T502" s="237"/>
      <c r="U502" s="237"/>
      <c r="V502" s="237"/>
      <c r="W502" s="237"/>
      <c r="X502" s="237"/>
      <c r="Y502" s="237"/>
      <c r="Z502" s="237"/>
    </row>
    <row r="503" spans="1:26" ht="24.75" customHeight="1" x14ac:dyDescent="0.25">
      <c r="A503" s="236"/>
      <c r="B503" s="237"/>
      <c r="C503" s="236"/>
      <c r="D503" s="238"/>
      <c r="E503" s="238"/>
      <c r="F503" s="238"/>
      <c r="G503" s="239"/>
      <c r="H503" s="241"/>
      <c r="I503" s="244"/>
      <c r="J503" s="241"/>
      <c r="K503" s="237"/>
      <c r="L503" s="237"/>
      <c r="M503" s="237"/>
      <c r="N503" s="237"/>
      <c r="O503" s="237"/>
      <c r="P503" s="237"/>
      <c r="Q503" s="237"/>
      <c r="R503" s="237"/>
      <c r="S503" s="237"/>
      <c r="T503" s="237"/>
      <c r="U503" s="237"/>
      <c r="V503" s="237"/>
      <c r="W503" s="237"/>
      <c r="X503" s="237"/>
      <c r="Y503" s="237"/>
      <c r="Z503" s="237"/>
    </row>
    <row r="504" spans="1:26" ht="24.75" customHeight="1" x14ac:dyDescent="0.25">
      <c r="A504" s="236"/>
      <c r="B504" s="237"/>
      <c r="C504" s="236"/>
      <c r="D504" s="238"/>
      <c r="E504" s="238"/>
      <c r="F504" s="238"/>
      <c r="G504" s="239"/>
      <c r="H504" s="241"/>
      <c r="I504" s="244"/>
      <c r="J504" s="241"/>
      <c r="K504" s="237"/>
      <c r="L504" s="237"/>
      <c r="M504" s="237"/>
      <c r="N504" s="237"/>
      <c r="O504" s="237"/>
      <c r="P504" s="237"/>
      <c r="Q504" s="237"/>
      <c r="R504" s="237"/>
      <c r="S504" s="237"/>
      <c r="T504" s="237"/>
      <c r="U504" s="237"/>
      <c r="V504" s="237"/>
      <c r="W504" s="237"/>
      <c r="X504" s="237"/>
      <c r="Y504" s="237"/>
      <c r="Z504" s="237"/>
    </row>
    <row r="505" spans="1:26" ht="24.75" customHeight="1" x14ac:dyDescent="0.25">
      <c r="A505" s="236"/>
      <c r="B505" s="237"/>
      <c r="C505" s="236"/>
      <c r="D505" s="238"/>
      <c r="E505" s="238"/>
      <c r="F505" s="238"/>
      <c r="G505" s="239"/>
      <c r="H505" s="241"/>
      <c r="I505" s="244"/>
      <c r="J505" s="241"/>
      <c r="K505" s="237"/>
      <c r="L505" s="237"/>
      <c r="M505" s="237"/>
      <c r="N505" s="237"/>
      <c r="O505" s="237"/>
      <c r="P505" s="237"/>
      <c r="Q505" s="237"/>
      <c r="R505" s="237"/>
      <c r="S505" s="237"/>
      <c r="T505" s="237"/>
      <c r="U505" s="237"/>
      <c r="V505" s="237"/>
      <c r="W505" s="237"/>
      <c r="X505" s="237"/>
      <c r="Y505" s="237"/>
      <c r="Z505" s="237"/>
    </row>
    <row r="506" spans="1:26" ht="24.75" customHeight="1" x14ac:dyDescent="0.25">
      <c r="A506" s="236"/>
      <c r="B506" s="237"/>
      <c r="C506" s="236"/>
      <c r="D506" s="238"/>
      <c r="E506" s="238"/>
      <c r="F506" s="238"/>
      <c r="G506" s="239"/>
      <c r="H506" s="241"/>
      <c r="I506" s="244"/>
      <c r="J506" s="241"/>
      <c r="K506" s="237"/>
      <c r="L506" s="237"/>
      <c r="M506" s="237"/>
      <c r="N506" s="237"/>
      <c r="O506" s="237"/>
      <c r="P506" s="237"/>
      <c r="Q506" s="237"/>
      <c r="R506" s="237"/>
      <c r="S506" s="237"/>
      <c r="T506" s="237"/>
      <c r="U506" s="237"/>
      <c r="V506" s="237"/>
      <c r="W506" s="237"/>
      <c r="X506" s="237"/>
      <c r="Y506" s="237"/>
      <c r="Z506" s="237"/>
    </row>
    <row r="507" spans="1:26" ht="24.75" customHeight="1" x14ac:dyDescent="0.25">
      <c r="A507" s="236"/>
      <c r="B507" s="237"/>
      <c r="C507" s="236"/>
      <c r="D507" s="238"/>
      <c r="E507" s="238"/>
      <c r="F507" s="238"/>
      <c r="G507" s="239"/>
      <c r="H507" s="241"/>
      <c r="I507" s="244"/>
      <c r="J507" s="241"/>
      <c r="K507" s="237"/>
      <c r="L507" s="237"/>
      <c r="M507" s="237"/>
      <c r="N507" s="237"/>
      <c r="O507" s="237"/>
      <c r="P507" s="237"/>
      <c r="Q507" s="237"/>
      <c r="R507" s="237"/>
      <c r="S507" s="237"/>
      <c r="T507" s="237"/>
      <c r="U507" s="237"/>
      <c r="V507" s="237"/>
      <c r="W507" s="237"/>
      <c r="X507" s="237"/>
      <c r="Y507" s="237"/>
      <c r="Z507" s="237"/>
    </row>
    <row r="508" spans="1:26" ht="24.75" customHeight="1" x14ac:dyDescent="0.25">
      <c r="A508" s="236"/>
      <c r="B508" s="237"/>
      <c r="C508" s="236"/>
      <c r="D508" s="238"/>
      <c r="E508" s="238"/>
      <c r="F508" s="238"/>
      <c r="G508" s="239"/>
      <c r="H508" s="241"/>
      <c r="I508" s="244"/>
      <c r="J508" s="241"/>
      <c r="K508" s="237"/>
      <c r="L508" s="237"/>
      <c r="M508" s="237"/>
      <c r="N508" s="237"/>
      <c r="O508" s="237"/>
      <c r="P508" s="237"/>
      <c r="Q508" s="237"/>
      <c r="R508" s="237"/>
      <c r="S508" s="237"/>
      <c r="T508" s="237"/>
      <c r="U508" s="237"/>
      <c r="V508" s="237"/>
      <c r="W508" s="237"/>
      <c r="X508" s="237"/>
      <c r="Y508" s="237"/>
      <c r="Z508" s="237"/>
    </row>
    <row r="509" spans="1:26" ht="24.75" customHeight="1" x14ac:dyDescent="0.25">
      <c r="A509" s="236"/>
      <c r="B509" s="237"/>
      <c r="C509" s="236"/>
      <c r="D509" s="238"/>
      <c r="E509" s="238"/>
      <c r="F509" s="238"/>
      <c r="G509" s="239"/>
      <c r="H509" s="241"/>
      <c r="I509" s="244"/>
      <c r="J509" s="241"/>
      <c r="K509" s="237"/>
      <c r="L509" s="237"/>
      <c r="M509" s="237"/>
      <c r="N509" s="237"/>
      <c r="O509" s="237"/>
      <c r="P509" s="237"/>
      <c r="Q509" s="237"/>
      <c r="R509" s="237"/>
      <c r="S509" s="237"/>
      <c r="T509" s="237"/>
      <c r="U509" s="237"/>
      <c r="V509" s="237"/>
      <c r="W509" s="237"/>
      <c r="X509" s="237"/>
      <c r="Y509" s="237"/>
      <c r="Z509" s="237"/>
    </row>
    <row r="510" spans="1:26" ht="24.75" customHeight="1" x14ac:dyDescent="0.25">
      <c r="A510" s="236"/>
      <c r="B510" s="237"/>
      <c r="C510" s="236"/>
      <c r="D510" s="238"/>
      <c r="E510" s="238"/>
      <c r="F510" s="238"/>
      <c r="G510" s="239"/>
      <c r="H510" s="241"/>
      <c r="I510" s="244"/>
      <c r="J510" s="241"/>
      <c r="K510" s="237"/>
      <c r="L510" s="237"/>
      <c r="M510" s="237"/>
      <c r="N510" s="237"/>
      <c r="O510" s="237"/>
      <c r="P510" s="237"/>
      <c r="Q510" s="237"/>
      <c r="R510" s="237"/>
      <c r="S510" s="237"/>
      <c r="T510" s="237"/>
      <c r="U510" s="237"/>
      <c r="V510" s="237"/>
      <c r="W510" s="237"/>
      <c r="X510" s="237"/>
      <c r="Y510" s="237"/>
      <c r="Z510" s="237"/>
    </row>
    <row r="511" spans="1:26" ht="24.75" customHeight="1" x14ac:dyDescent="0.25">
      <c r="A511" s="236"/>
      <c r="B511" s="237"/>
      <c r="C511" s="236"/>
      <c r="D511" s="238"/>
      <c r="E511" s="238"/>
      <c r="F511" s="238"/>
      <c r="G511" s="239"/>
      <c r="H511" s="241"/>
      <c r="I511" s="244"/>
      <c r="J511" s="241"/>
      <c r="K511" s="237"/>
      <c r="L511" s="237"/>
      <c r="M511" s="237"/>
      <c r="N511" s="237"/>
      <c r="O511" s="237"/>
      <c r="P511" s="237"/>
      <c r="Q511" s="237"/>
      <c r="R511" s="237"/>
      <c r="S511" s="237"/>
      <c r="T511" s="237"/>
      <c r="U511" s="237"/>
      <c r="V511" s="237"/>
      <c r="W511" s="237"/>
      <c r="X511" s="237"/>
      <c r="Y511" s="237"/>
      <c r="Z511" s="237"/>
    </row>
    <row r="512" spans="1:26" ht="24.75" customHeight="1" x14ac:dyDescent="0.25">
      <c r="A512" s="236"/>
      <c r="B512" s="237"/>
      <c r="C512" s="236"/>
      <c r="D512" s="238"/>
      <c r="E512" s="238"/>
      <c r="F512" s="238"/>
      <c r="G512" s="239"/>
      <c r="H512" s="241"/>
      <c r="I512" s="244"/>
      <c r="J512" s="241"/>
      <c r="K512" s="237"/>
      <c r="L512" s="237"/>
      <c r="M512" s="237"/>
      <c r="N512" s="237"/>
      <c r="O512" s="237"/>
      <c r="P512" s="237"/>
      <c r="Q512" s="237"/>
      <c r="R512" s="237"/>
      <c r="S512" s="237"/>
      <c r="T512" s="237"/>
      <c r="U512" s="237"/>
      <c r="V512" s="237"/>
      <c r="W512" s="237"/>
      <c r="X512" s="237"/>
      <c r="Y512" s="237"/>
      <c r="Z512" s="237"/>
    </row>
    <row r="513" spans="1:26" ht="24.75" customHeight="1" x14ac:dyDescent="0.25">
      <c r="A513" s="236"/>
      <c r="B513" s="237"/>
      <c r="C513" s="236"/>
      <c r="D513" s="238"/>
      <c r="E513" s="238"/>
      <c r="F513" s="238"/>
      <c r="G513" s="239"/>
      <c r="H513" s="241"/>
      <c r="I513" s="244"/>
      <c r="J513" s="241"/>
      <c r="K513" s="237"/>
      <c r="L513" s="237"/>
      <c r="M513" s="237"/>
      <c r="N513" s="237"/>
      <c r="O513" s="237"/>
      <c r="P513" s="237"/>
      <c r="Q513" s="237"/>
      <c r="R513" s="237"/>
      <c r="S513" s="237"/>
      <c r="T513" s="237"/>
      <c r="U513" s="237"/>
      <c r="V513" s="237"/>
      <c r="W513" s="237"/>
      <c r="X513" s="237"/>
      <c r="Y513" s="237"/>
      <c r="Z513" s="237"/>
    </row>
    <row r="514" spans="1:26" ht="24.75" customHeight="1" x14ac:dyDescent="0.25">
      <c r="A514" s="236"/>
      <c r="B514" s="237"/>
      <c r="C514" s="236"/>
      <c r="D514" s="238"/>
      <c r="E514" s="238"/>
      <c r="F514" s="238"/>
      <c r="G514" s="239"/>
      <c r="H514" s="241"/>
      <c r="I514" s="244"/>
      <c r="J514" s="241"/>
      <c r="K514" s="237"/>
      <c r="L514" s="237"/>
      <c r="M514" s="237"/>
      <c r="N514" s="237"/>
      <c r="O514" s="237"/>
      <c r="P514" s="237"/>
      <c r="Q514" s="237"/>
      <c r="R514" s="237"/>
      <c r="S514" s="237"/>
      <c r="T514" s="237"/>
      <c r="U514" s="237"/>
      <c r="V514" s="237"/>
      <c r="W514" s="237"/>
      <c r="X514" s="237"/>
      <c r="Y514" s="237"/>
      <c r="Z514" s="237"/>
    </row>
    <row r="515" spans="1:26" ht="24.75" customHeight="1" x14ac:dyDescent="0.25">
      <c r="A515" s="236"/>
      <c r="B515" s="237"/>
      <c r="C515" s="236"/>
      <c r="D515" s="238"/>
      <c r="E515" s="238"/>
      <c r="F515" s="238"/>
      <c r="G515" s="239"/>
      <c r="H515" s="241"/>
      <c r="I515" s="244"/>
      <c r="J515" s="241"/>
      <c r="K515" s="237"/>
      <c r="L515" s="237"/>
      <c r="M515" s="237"/>
      <c r="N515" s="237"/>
      <c r="O515" s="237"/>
      <c r="P515" s="237"/>
      <c r="Q515" s="237"/>
      <c r="R515" s="237"/>
      <c r="S515" s="237"/>
      <c r="T515" s="237"/>
      <c r="U515" s="237"/>
      <c r="V515" s="237"/>
      <c r="W515" s="237"/>
      <c r="X515" s="237"/>
      <c r="Y515" s="237"/>
      <c r="Z515" s="237"/>
    </row>
    <row r="516" spans="1:26" ht="24.75" customHeight="1" x14ac:dyDescent="0.25">
      <c r="A516" s="236"/>
      <c r="B516" s="237"/>
      <c r="C516" s="236"/>
      <c r="D516" s="238"/>
      <c r="E516" s="238"/>
      <c r="F516" s="238"/>
      <c r="G516" s="239"/>
      <c r="H516" s="241"/>
      <c r="I516" s="244"/>
      <c r="J516" s="241"/>
      <c r="K516" s="237"/>
      <c r="L516" s="237"/>
      <c r="M516" s="237"/>
      <c r="N516" s="237"/>
      <c r="O516" s="237"/>
      <c r="P516" s="237"/>
      <c r="Q516" s="237"/>
      <c r="R516" s="237"/>
      <c r="S516" s="237"/>
      <c r="T516" s="237"/>
      <c r="U516" s="237"/>
      <c r="V516" s="237"/>
      <c r="W516" s="237"/>
      <c r="X516" s="237"/>
      <c r="Y516" s="237"/>
      <c r="Z516" s="237"/>
    </row>
    <row r="517" spans="1:26" ht="24.75" customHeight="1" x14ac:dyDescent="0.25">
      <c r="A517" s="236"/>
      <c r="B517" s="237"/>
      <c r="C517" s="236"/>
      <c r="D517" s="238"/>
      <c r="E517" s="238"/>
      <c r="F517" s="238"/>
      <c r="G517" s="239"/>
      <c r="H517" s="241"/>
      <c r="I517" s="244"/>
      <c r="J517" s="241"/>
      <c r="K517" s="237"/>
      <c r="L517" s="237"/>
      <c r="M517" s="237"/>
      <c r="N517" s="237"/>
      <c r="O517" s="237"/>
      <c r="P517" s="237"/>
      <c r="Q517" s="237"/>
      <c r="R517" s="237"/>
      <c r="S517" s="237"/>
      <c r="T517" s="237"/>
      <c r="U517" s="237"/>
      <c r="V517" s="237"/>
      <c r="W517" s="237"/>
      <c r="X517" s="237"/>
      <c r="Y517" s="237"/>
      <c r="Z517" s="237"/>
    </row>
    <row r="518" spans="1:26" ht="24.75" customHeight="1" x14ac:dyDescent="0.25">
      <c r="A518" s="236"/>
      <c r="B518" s="237"/>
      <c r="C518" s="236"/>
      <c r="D518" s="238"/>
      <c r="E518" s="238"/>
      <c r="F518" s="238"/>
      <c r="G518" s="239"/>
      <c r="H518" s="241"/>
      <c r="I518" s="244"/>
      <c r="J518" s="241"/>
      <c r="K518" s="237"/>
      <c r="L518" s="237"/>
      <c r="M518" s="237"/>
      <c r="N518" s="237"/>
      <c r="O518" s="237"/>
      <c r="P518" s="237"/>
      <c r="Q518" s="237"/>
      <c r="R518" s="237"/>
      <c r="S518" s="237"/>
      <c r="T518" s="237"/>
      <c r="U518" s="237"/>
      <c r="V518" s="237"/>
      <c r="W518" s="237"/>
      <c r="X518" s="237"/>
      <c r="Y518" s="237"/>
      <c r="Z518" s="237"/>
    </row>
    <row r="519" spans="1:26" ht="24.75" customHeight="1" x14ac:dyDescent="0.25">
      <c r="A519" s="236"/>
      <c r="B519" s="237"/>
      <c r="C519" s="236"/>
      <c r="D519" s="238"/>
      <c r="E519" s="238"/>
      <c r="F519" s="238"/>
      <c r="G519" s="239"/>
      <c r="H519" s="241"/>
      <c r="I519" s="244"/>
      <c r="J519" s="241"/>
      <c r="K519" s="237"/>
      <c r="L519" s="237"/>
      <c r="M519" s="237"/>
      <c r="N519" s="237"/>
      <c r="O519" s="237"/>
      <c r="P519" s="237"/>
      <c r="Q519" s="237"/>
      <c r="R519" s="237"/>
      <c r="S519" s="237"/>
      <c r="T519" s="237"/>
      <c r="U519" s="237"/>
      <c r="V519" s="237"/>
      <c r="W519" s="237"/>
      <c r="X519" s="237"/>
      <c r="Y519" s="237"/>
      <c r="Z519" s="237"/>
    </row>
    <row r="520" spans="1:26" ht="24.75" customHeight="1" x14ac:dyDescent="0.25">
      <c r="A520" s="236"/>
      <c r="B520" s="237"/>
      <c r="C520" s="236"/>
      <c r="D520" s="238"/>
      <c r="E520" s="238"/>
      <c r="F520" s="238"/>
      <c r="G520" s="239"/>
      <c r="H520" s="241"/>
      <c r="I520" s="244"/>
      <c r="J520" s="241"/>
      <c r="K520" s="237"/>
      <c r="L520" s="237"/>
      <c r="M520" s="237"/>
      <c r="N520" s="237"/>
      <c r="O520" s="237"/>
      <c r="P520" s="237"/>
      <c r="Q520" s="237"/>
      <c r="R520" s="237"/>
      <c r="S520" s="237"/>
      <c r="T520" s="237"/>
      <c r="U520" s="237"/>
      <c r="V520" s="237"/>
      <c r="W520" s="237"/>
      <c r="X520" s="237"/>
      <c r="Y520" s="237"/>
      <c r="Z520" s="237"/>
    </row>
    <row r="521" spans="1:26" ht="24.75" customHeight="1" x14ac:dyDescent="0.25">
      <c r="A521" s="236"/>
      <c r="B521" s="237"/>
      <c r="C521" s="236"/>
      <c r="D521" s="238"/>
      <c r="E521" s="238"/>
      <c r="F521" s="238"/>
      <c r="G521" s="239"/>
      <c r="H521" s="241"/>
      <c r="I521" s="244"/>
      <c r="J521" s="241"/>
      <c r="K521" s="237"/>
      <c r="L521" s="237"/>
      <c r="M521" s="237"/>
      <c r="N521" s="237"/>
      <c r="O521" s="237"/>
      <c r="P521" s="237"/>
      <c r="Q521" s="237"/>
      <c r="R521" s="237"/>
      <c r="S521" s="237"/>
      <c r="T521" s="237"/>
      <c r="U521" s="237"/>
      <c r="V521" s="237"/>
      <c r="W521" s="237"/>
      <c r="X521" s="237"/>
      <c r="Y521" s="237"/>
      <c r="Z521" s="237"/>
    </row>
    <row r="522" spans="1:26" ht="24.75" customHeight="1" x14ac:dyDescent="0.25">
      <c r="A522" s="236"/>
      <c r="B522" s="237"/>
      <c r="C522" s="236"/>
      <c r="D522" s="238"/>
      <c r="E522" s="238"/>
      <c r="F522" s="238"/>
      <c r="G522" s="239"/>
      <c r="H522" s="241"/>
      <c r="I522" s="244"/>
      <c r="J522" s="241"/>
      <c r="K522" s="237"/>
      <c r="L522" s="237"/>
      <c r="M522" s="237"/>
      <c r="N522" s="237"/>
      <c r="O522" s="237"/>
      <c r="P522" s="237"/>
      <c r="Q522" s="237"/>
      <c r="R522" s="237"/>
      <c r="S522" s="237"/>
      <c r="T522" s="237"/>
      <c r="U522" s="237"/>
      <c r="V522" s="237"/>
      <c r="W522" s="237"/>
      <c r="X522" s="237"/>
      <c r="Y522" s="237"/>
      <c r="Z522" s="237"/>
    </row>
    <row r="523" spans="1:26" ht="24.75" customHeight="1" x14ac:dyDescent="0.25">
      <c r="A523" s="236"/>
      <c r="B523" s="237"/>
      <c r="C523" s="236"/>
      <c r="D523" s="238"/>
      <c r="E523" s="238"/>
      <c r="F523" s="238"/>
      <c r="G523" s="239"/>
      <c r="H523" s="241"/>
      <c r="I523" s="244"/>
      <c r="J523" s="241"/>
      <c r="K523" s="237"/>
      <c r="L523" s="237"/>
      <c r="M523" s="237"/>
      <c r="N523" s="237"/>
      <c r="O523" s="237"/>
      <c r="P523" s="237"/>
      <c r="Q523" s="237"/>
      <c r="R523" s="237"/>
      <c r="S523" s="237"/>
      <c r="T523" s="237"/>
      <c r="U523" s="237"/>
      <c r="V523" s="237"/>
      <c r="W523" s="237"/>
      <c r="X523" s="237"/>
      <c r="Y523" s="237"/>
      <c r="Z523" s="237"/>
    </row>
    <row r="524" spans="1:26" ht="24.75" customHeight="1" x14ac:dyDescent="0.25">
      <c r="A524" s="236"/>
      <c r="B524" s="237"/>
      <c r="C524" s="236"/>
      <c r="D524" s="238"/>
      <c r="E524" s="238"/>
      <c r="F524" s="238"/>
      <c r="G524" s="239"/>
      <c r="H524" s="241"/>
      <c r="I524" s="244"/>
      <c r="J524" s="241"/>
      <c r="K524" s="237"/>
      <c r="L524" s="237"/>
      <c r="M524" s="237"/>
      <c r="N524" s="237"/>
      <c r="O524" s="237"/>
      <c r="P524" s="237"/>
      <c r="Q524" s="237"/>
      <c r="R524" s="237"/>
      <c r="S524" s="237"/>
      <c r="T524" s="237"/>
      <c r="U524" s="237"/>
      <c r="V524" s="237"/>
      <c r="W524" s="237"/>
      <c r="X524" s="237"/>
      <c r="Y524" s="237"/>
      <c r="Z524" s="237"/>
    </row>
    <row r="525" spans="1:26" ht="24.75" customHeight="1" x14ac:dyDescent="0.25">
      <c r="A525" s="236"/>
      <c r="B525" s="237"/>
      <c r="C525" s="236"/>
      <c r="D525" s="238"/>
      <c r="E525" s="238"/>
      <c r="F525" s="238"/>
      <c r="G525" s="239"/>
      <c r="H525" s="241"/>
      <c r="I525" s="244"/>
      <c r="J525" s="241"/>
      <c r="K525" s="237"/>
      <c r="L525" s="237"/>
      <c r="M525" s="237"/>
      <c r="N525" s="237"/>
      <c r="O525" s="237"/>
      <c r="P525" s="237"/>
      <c r="Q525" s="237"/>
      <c r="R525" s="237"/>
      <c r="S525" s="237"/>
      <c r="T525" s="237"/>
      <c r="U525" s="237"/>
      <c r="V525" s="237"/>
      <c r="W525" s="237"/>
      <c r="X525" s="237"/>
      <c r="Y525" s="237"/>
      <c r="Z525" s="237"/>
    </row>
    <row r="526" spans="1:26" ht="24.75" customHeight="1" x14ac:dyDescent="0.25">
      <c r="A526" s="236"/>
      <c r="B526" s="237"/>
      <c r="C526" s="236"/>
      <c r="D526" s="238"/>
      <c r="E526" s="238"/>
      <c r="F526" s="238"/>
      <c r="G526" s="239"/>
      <c r="H526" s="241"/>
      <c r="I526" s="244"/>
      <c r="J526" s="241"/>
      <c r="K526" s="237"/>
      <c r="L526" s="237"/>
      <c r="M526" s="237"/>
      <c r="N526" s="237"/>
      <c r="O526" s="237"/>
      <c r="P526" s="237"/>
      <c r="Q526" s="237"/>
      <c r="R526" s="237"/>
      <c r="S526" s="237"/>
      <c r="T526" s="237"/>
      <c r="U526" s="237"/>
      <c r="V526" s="237"/>
      <c r="W526" s="237"/>
      <c r="X526" s="237"/>
      <c r="Y526" s="237"/>
      <c r="Z526" s="237"/>
    </row>
    <row r="527" spans="1:26" ht="24.75" customHeight="1" x14ac:dyDescent="0.25">
      <c r="A527" s="236"/>
      <c r="B527" s="237"/>
      <c r="C527" s="236"/>
      <c r="D527" s="238"/>
      <c r="E527" s="238"/>
      <c r="F527" s="238"/>
      <c r="G527" s="239"/>
      <c r="H527" s="241"/>
      <c r="I527" s="244"/>
      <c r="J527" s="241"/>
      <c r="K527" s="237"/>
      <c r="L527" s="237"/>
      <c r="M527" s="237"/>
      <c r="N527" s="237"/>
      <c r="O527" s="237"/>
      <c r="P527" s="237"/>
      <c r="Q527" s="237"/>
      <c r="R527" s="237"/>
      <c r="S527" s="237"/>
      <c r="T527" s="237"/>
      <c r="U527" s="237"/>
      <c r="V527" s="237"/>
      <c r="W527" s="237"/>
      <c r="X527" s="237"/>
      <c r="Y527" s="237"/>
      <c r="Z527" s="237"/>
    </row>
    <row r="528" spans="1:26" ht="24.75" customHeight="1" x14ac:dyDescent="0.25">
      <c r="A528" s="236"/>
      <c r="B528" s="237"/>
      <c r="C528" s="236"/>
      <c r="D528" s="238"/>
      <c r="E528" s="238"/>
      <c r="F528" s="238"/>
      <c r="G528" s="239"/>
      <c r="H528" s="241"/>
      <c r="I528" s="244"/>
      <c r="J528" s="241"/>
      <c r="K528" s="237"/>
      <c r="L528" s="237"/>
      <c r="M528" s="237"/>
      <c r="N528" s="237"/>
      <c r="O528" s="237"/>
      <c r="P528" s="237"/>
      <c r="Q528" s="237"/>
      <c r="R528" s="237"/>
      <c r="S528" s="237"/>
      <c r="T528" s="237"/>
      <c r="U528" s="237"/>
      <c r="V528" s="237"/>
      <c r="W528" s="237"/>
      <c r="X528" s="237"/>
      <c r="Y528" s="237"/>
      <c r="Z528" s="237"/>
    </row>
    <row r="529" spans="1:26" ht="24.75" customHeight="1" x14ac:dyDescent="0.25">
      <c r="A529" s="236"/>
      <c r="B529" s="237"/>
      <c r="C529" s="236"/>
      <c r="D529" s="238"/>
      <c r="E529" s="238"/>
      <c r="F529" s="238"/>
      <c r="G529" s="239"/>
      <c r="H529" s="241"/>
      <c r="I529" s="244"/>
      <c r="J529" s="241"/>
      <c r="K529" s="237"/>
      <c r="L529" s="237"/>
      <c r="M529" s="237"/>
      <c r="N529" s="237"/>
      <c r="O529" s="237"/>
      <c r="P529" s="237"/>
      <c r="Q529" s="237"/>
      <c r="R529" s="237"/>
      <c r="S529" s="237"/>
      <c r="T529" s="237"/>
      <c r="U529" s="237"/>
      <c r="V529" s="237"/>
      <c r="W529" s="237"/>
      <c r="X529" s="237"/>
      <c r="Y529" s="237"/>
      <c r="Z529" s="237"/>
    </row>
    <row r="530" spans="1:26" ht="24.75" customHeight="1" x14ac:dyDescent="0.25">
      <c r="A530" s="236"/>
      <c r="B530" s="237"/>
      <c r="C530" s="236"/>
      <c r="D530" s="238"/>
      <c r="E530" s="238"/>
      <c r="F530" s="238"/>
      <c r="G530" s="239"/>
      <c r="H530" s="241"/>
      <c r="I530" s="244"/>
      <c r="J530" s="241"/>
      <c r="K530" s="237"/>
      <c r="L530" s="237"/>
      <c r="M530" s="237"/>
      <c r="N530" s="237"/>
      <c r="O530" s="237"/>
      <c r="P530" s="237"/>
      <c r="Q530" s="237"/>
      <c r="R530" s="237"/>
      <c r="S530" s="237"/>
      <c r="T530" s="237"/>
      <c r="U530" s="237"/>
      <c r="V530" s="237"/>
      <c r="W530" s="237"/>
      <c r="X530" s="237"/>
      <c r="Y530" s="237"/>
      <c r="Z530" s="237"/>
    </row>
    <row r="531" spans="1:26" ht="24.75" customHeight="1" x14ac:dyDescent="0.25">
      <c r="A531" s="236"/>
      <c r="B531" s="237"/>
      <c r="C531" s="236"/>
      <c r="D531" s="238"/>
      <c r="E531" s="238"/>
      <c r="F531" s="238"/>
      <c r="G531" s="239"/>
      <c r="H531" s="241"/>
      <c r="I531" s="244"/>
      <c r="J531" s="241"/>
      <c r="K531" s="237"/>
      <c r="L531" s="237"/>
      <c r="M531" s="237"/>
      <c r="N531" s="237"/>
      <c r="O531" s="237"/>
      <c r="P531" s="237"/>
      <c r="Q531" s="237"/>
      <c r="R531" s="237"/>
      <c r="S531" s="237"/>
      <c r="T531" s="237"/>
      <c r="U531" s="237"/>
      <c r="V531" s="237"/>
      <c r="W531" s="237"/>
      <c r="X531" s="237"/>
      <c r="Y531" s="237"/>
      <c r="Z531" s="237"/>
    </row>
    <row r="532" spans="1:26" ht="24.75" customHeight="1" x14ac:dyDescent="0.25">
      <c r="A532" s="236"/>
      <c r="B532" s="237"/>
      <c r="C532" s="236"/>
      <c r="D532" s="238"/>
      <c r="E532" s="238"/>
      <c r="F532" s="238"/>
      <c r="G532" s="239"/>
      <c r="H532" s="241"/>
      <c r="I532" s="244"/>
      <c r="J532" s="241"/>
      <c r="K532" s="237"/>
      <c r="L532" s="237"/>
      <c r="M532" s="237"/>
      <c r="N532" s="237"/>
      <c r="O532" s="237"/>
      <c r="P532" s="237"/>
      <c r="Q532" s="237"/>
      <c r="R532" s="237"/>
      <c r="S532" s="237"/>
      <c r="T532" s="237"/>
      <c r="U532" s="237"/>
      <c r="V532" s="237"/>
      <c r="W532" s="237"/>
      <c r="X532" s="237"/>
      <c r="Y532" s="237"/>
      <c r="Z532" s="237"/>
    </row>
    <row r="533" spans="1:26" ht="24.75" customHeight="1" x14ac:dyDescent="0.25">
      <c r="A533" s="236"/>
      <c r="B533" s="237"/>
      <c r="C533" s="236"/>
      <c r="D533" s="238"/>
      <c r="E533" s="238"/>
      <c r="F533" s="238"/>
      <c r="G533" s="239"/>
      <c r="H533" s="241"/>
      <c r="I533" s="244"/>
      <c r="J533" s="241"/>
      <c r="K533" s="237"/>
      <c r="L533" s="237"/>
      <c r="M533" s="237"/>
      <c r="N533" s="237"/>
      <c r="O533" s="237"/>
      <c r="P533" s="237"/>
      <c r="Q533" s="237"/>
      <c r="R533" s="237"/>
      <c r="S533" s="237"/>
      <c r="T533" s="237"/>
      <c r="U533" s="237"/>
      <c r="V533" s="237"/>
      <c r="W533" s="237"/>
      <c r="X533" s="237"/>
      <c r="Y533" s="237"/>
      <c r="Z533" s="237"/>
    </row>
    <row r="534" spans="1:26" ht="24.75" customHeight="1" x14ac:dyDescent="0.25">
      <c r="A534" s="236"/>
      <c r="B534" s="237"/>
      <c r="C534" s="236"/>
      <c r="D534" s="238"/>
      <c r="E534" s="238"/>
      <c r="F534" s="238"/>
      <c r="G534" s="239"/>
      <c r="H534" s="241"/>
      <c r="I534" s="244"/>
      <c r="J534" s="241"/>
      <c r="K534" s="237"/>
      <c r="L534" s="237"/>
      <c r="M534" s="237"/>
      <c r="N534" s="237"/>
      <c r="O534" s="237"/>
      <c r="P534" s="237"/>
      <c r="Q534" s="237"/>
      <c r="R534" s="237"/>
      <c r="S534" s="237"/>
      <c r="T534" s="237"/>
      <c r="U534" s="237"/>
      <c r="V534" s="237"/>
      <c r="W534" s="237"/>
      <c r="X534" s="237"/>
      <c r="Y534" s="237"/>
      <c r="Z534" s="237"/>
    </row>
    <row r="535" spans="1:26" ht="24.75" customHeight="1" x14ac:dyDescent="0.25">
      <c r="A535" s="236"/>
      <c r="B535" s="237"/>
      <c r="C535" s="236"/>
      <c r="D535" s="238"/>
      <c r="E535" s="238"/>
      <c r="F535" s="238"/>
      <c r="G535" s="239"/>
      <c r="H535" s="241"/>
      <c r="I535" s="244"/>
      <c r="J535" s="241"/>
      <c r="K535" s="237"/>
      <c r="L535" s="237"/>
      <c r="M535" s="237"/>
      <c r="N535" s="237"/>
      <c r="O535" s="237"/>
      <c r="P535" s="237"/>
      <c r="Q535" s="237"/>
      <c r="R535" s="237"/>
      <c r="S535" s="237"/>
      <c r="T535" s="237"/>
      <c r="U535" s="237"/>
      <c r="V535" s="237"/>
      <c r="W535" s="237"/>
      <c r="X535" s="237"/>
      <c r="Y535" s="237"/>
      <c r="Z535" s="237"/>
    </row>
    <row r="536" spans="1:26" ht="24.75" customHeight="1" x14ac:dyDescent="0.25">
      <c r="A536" s="236"/>
      <c r="B536" s="237"/>
      <c r="C536" s="236"/>
      <c r="D536" s="238"/>
      <c r="E536" s="238"/>
      <c r="F536" s="238"/>
      <c r="G536" s="239"/>
      <c r="H536" s="241"/>
      <c r="I536" s="244"/>
      <c r="J536" s="241"/>
      <c r="K536" s="237"/>
      <c r="L536" s="237"/>
      <c r="M536" s="237"/>
      <c r="N536" s="237"/>
      <c r="O536" s="237"/>
      <c r="P536" s="237"/>
      <c r="Q536" s="237"/>
      <c r="R536" s="237"/>
      <c r="S536" s="237"/>
      <c r="T536" s="237"/>
      <c r="U536" s="237"/>
      <c r="V536" s="237"/>
      <c r="W536" s="237"/>
      <c r="X536" s="237"/>
      <c r="Y536" s="237"/>
      <c r="Z536" s="237"/>
    </row>
    <row r="537" spans="1:26" ht="24.75" customHeight="1" x14ac:dyDescent="0.25">
      <c r="A537" s="236"/>
      <c r="B537" s="237"/>
      <c r="C537" s="236"/>
      <c r="D537" s="238"/>
      <c r="E537" s="238"/>
      <c r="F537" s="238"/>
      <c r="G537" s="239"/>
      <c r="H537" s="241"/>
      <c r="I537" s="244"/>
      <c r="J537" s="241"/>
      <c r="K537" s="237"/>
      <c r="L537" s="237"/>
      <c r="M537" s="237"/>
      <c r="N537" s="237"/>
      <c r="O537" s="237"/>
      <c r="P537" s="237"/>
      <c r="Q537" s="237"/>
      <c r="R537" s="237"/>
      <c r="S537" s="237"/>
      <c r="T537" s="237"/>
      <c r="U537" s="237"/>
      <c r="V537" s="237"/>
      <c r="W537" s="237"/>
      <c r="X537" s="237"/>
      <c r="Y537" s="237"/>
      <c r="Z537" s="237"/>
    </row>
    <row r="538" spans="1:26" ht="24.75" customHeight="1" x14ac:dyDescent="0.25">
      <c r="A538" s="236"/>
      <c r="B538" s="237"/>
      <c r="C538" s="236"/>
      <c r="D538" s="238"/>
      <c r="E538" s="238"/>
      <c r="F538" s="238"/>
      <c r="G538" s="239"/>
      <c r="H538" s="241"/>
      <c r="I538" s="244"/>
      <c r="J538" s="241"/>
      <c r="K538" s="237"/>
      <c r="L538" s="237"/>
      <c r="M538" s="237"/>
      <c r="N538" s="237"/>
      <c r="O538" s="237"/>
      <c r="P538" s="237"/>
      <c r="Q538" s="237"/>
      <c r="R538" s="237"/>
      <c r="S538" s="237"/>
      <c r="T538" s="237"/>
      <c r="U538" s="237"/>
      <c r="V538" s="237"/>
      <c r="W538" s="237"/>
      <c r="X538" s="237"/>
      <c r="Y538" s="237"/>
      <c r="Z538" s="237"/>
    </row>
    <row r="539" spans="1:26" ht="24.75" customHeight="1" x14ac:dyDescent="0.25">
      <c r="A539" s="236"/>
      <c r="B539" s="237"/>
      <c r="C539" s="236"/>
      <c r="D539" s="238"/>
      <c r="E539" s="238"/>
      <c r="F539" s="238"/>
      <c r="G539" s="239"/>
      <c r="H539" s="241"/>
      <c r="I539" s="244"/>
      <c r="J539" s="241"/>
      <c r="K539" s="237"/>
      <c r="L539" s="237"/>
      <c r="M539" s="237"/>
      <c r="N539" s="237"/>
      <c r="O539" s="237"/>
      <c r="P539" s="237"/>
      <c r="Q539" s="237"/>
      <c r="R539" s="237"/>
      <c r="S539" s="237"/>
      <c r="T539" s="237"/>
      <c r="U539" s="237"/>
      <c r="V539" s="237"/>
      <c r="W539" s="237"/>
      <c r="X539" s="237"/>
      <c r="Y539" s="237"/>
      <c r="Z539" s="237"/>
    </row>
    <row r="540" spans="1:26" ht="24.75" customHeight="1" x14ac:dyDescent="0.25">
      <c r="A540" s="236"/>
      <c r="B540" s="237"/>
      <c r="C540" s="236"/>
      <c r="D540" s="238"/>
      <c r="E540" s="238"/>
      <c r="F540" s="238"/>
      <c r="G540" s="239"/>
      <c r="H540" s="241"/>
      <c r="I540" s="244"/>
      <c r="J540" s="241"/>
      <c r="K540" s="237"/>
      <c r="L540" s="237"/>
      <c r="M540" s="237"/>
      <c r="N540" s="237"/>
      <c r="O540" s="237"/>
      <c r="P540" s="237"/>
      <c r="Q540" s="237"/>
      <c r="R540" s="237"/>
      <c r="S540" s="237"/>
      <c r="T540" s="237"/>
      <c r="U540" s="237"/>
      <c r="V540" s="237"/>
      <c r="W540" s="237"/>
      <c r="X540" s="237"/>
      <c r="Y540" s="237"/>
      <c r="Z540" s="237"/>
    </row>
    <row r="541" spans="1:26" ht="24.75" customHeight="1" x14ac:dyDescent="0.25">
      <c r="A541" s="236"/>
      <c r="B541" s="237"/>
      <c r="C541" s="236"/>
      <c r="D541" s="238"/>
      <c r="E541" s="238"/>
      <c r="F541" s="238"/>
      <c r="G541" s="239"/>
      <c r="H541" s="241"/>
      <c r="I541" s="244"/>
      <c r="J541" s="241"/>
      <c r="K541" s="237"/>
      <c r="L541" s="237"/>
      <c r="M541" s="237"/>
      <c r="N541" s="237"/>
      <c r="O541" s="237"/>
      <c r="P541" s="237"/>
      <c r="Q541" s="237"/>
      <c r="R541" s="237"/>
      <c r="S541" s="237"/>
      <c r="T541" s="237"/>
      <c r="U541" s="237"/>
      <c r="V541" s="237"/>
      <c r="W541" s="237"/>
      <c r="X541" s="237"/>
      <c r="Y541" s="237"/>
      <c r="Z541" s="237"/>
    </row>
    <row r="542" spans="1:26" ht="24.75" customHeight="1" x14ac:dyDescent="0.25">
      <c r="A542" s="236"/>
      <c r="B542" s="237"/>
      <c r="C542" s="236"/>
      <c r="D542" s="238"/>
      <c r="E542" s="238"/>
      <c r="F542" s="238"/>
      <c r="G542" s="239"/>
      <c r="H542" s="241"/>
      <c r="I542" s="244"/>
      <c r="J542" s="241"/>
      <c r="K542" s="237"/>
      <c r="L542" s="237"/>
      <c r="M542" s="237"/>
      <c r="N542" s="237"/>
      <c r="O542" s="237"/>
      <c r="P542" s="237"/>
      <c r="Q542" s="237"/>
      <c r="R542" s="237"/>
      <c r="S542" s="237"/>
      <c r="T542" s="237"/>
      <c r="U542" s="237"/>
      <c r="V542" s="237"/>
      <c r="W542" s="237"/>
      <c r="X542" s="237"/>
      <c r="Y542" s="237"/>
      <c r="Z542" s="237"/>
    </row>
    <row r="543" spans="1:26" ht="24.75" customHeight="1" x14ac:dyDescent="0.25">
      <c r="A543" s="236"/>
      <c r="B543" s="237"/>
      <c r="C543" s="236"/>
      <c r="D543" s="238"/>
      <c r="E543" s="238"/>
      <c r="F543" s="238"/>
      <c r="G543" s="239"/>
      <c r="H543" s="241"/>
      <c r="I543" s="244"/>
      <c r="J543" s="241"/>
      <c r="K543" s="237"/>
      <c r="L543" s="237"/>
      <c r="M543" s="237"/>
      <c r="N543" s="237"/>
      <c r="O543" s="237"/>
      <c r="P543" s="237"/>
      <c r="Q543" s="237"/>
      <c r="R543" s="237"/>
      <c r="S543" s="237"/>
      <c r="T543" s="237"/>
      <c r="U543" s="237"/>
      <c r="V543" s="237"/>
      <c r="W543" s="237"/>
      <c r="X543" s="237"/>
      <c r="Y543" s="237"/>
      <c r="Z543" s="237"/>
    </row>
    <row r="544" spans="1:26" ht="24.75" customHeight="1" x14ac:dyDescent="0.25">
      <c r="A544" s="236"/>
      <c r="B544" s="237"/>
      <c r="C544" s="236"/>
      <c r="D544" s="238"/>
      <c r="E544" s="238"/>
      <c r="F544" s="238"/>
      <c r="G544" s="239"/>
      <c r="H544" s="241"/>
      <c r="I544" s="244"/>
      <c r="J544" s="241"/>
      <c r="K544" s="237"/>
      <c r="L544" s="237"/>
      <c r="M544" s="237"/>
      <c r="N544" s="237"/>
      <c r="O544" s="237"/>
      <c r="P544" s="237"/>
      <c r="Q544" s="237"/>
      <c r="R544" s="237"/>
      <c r="S544" s="237"/>
      <c r="T544" s="237"/>
      <c r="U544" s="237"/>
      <c r="V544" s="237"/>
      <c r="W544" s="237"/>
      <c r="X544" s="237"/>
      <c r="Y544" s="237"/>
      <c r="Z544" s="237"/>
    </row>
    <row r="545" spans="1:26" ht="24.75" customHeight="1" x14ac:dyDescent="0.25">
      <c r="A545" s="236"/>
      <c r="B545" s="237"/>
      <c r="C545" s="236"/>
      <c r="D545" s="238"/>
      <c r="E545" s="238"/>
      <c r="F545" s="238"/>
      <c r="G545" s="239"/>
      <c r="H545" s="241"/>
      <c r="I545" s="244"/>
      <c r="J545" s="241"/>
      <c r="K545" s="237"/>
      <c r="L545" s="237"/>
      <c r="M545" s="237"/>
      <c r="N545" s="237"/>
      <c r="O545" s="237"/>
      <c r="P545" s="237"/>
      <c r="Q545" s="237"/>
      <c r="R545" s="237"/>
      <c r="S545" s="237"/>
      <c r="T545" s="237"/>
      <c r="U545" s="237"/>
      <c r="V545" s="237"/>
      <c r="W545" s="237"/>
      <c r="X545" s="237"/>
      <c r="Y545" s="237"/>
      <c r="Z545" s="237"/>
    </row>
    <row r="546" spans="1:26" ht="24.75" customHeight="1" x14ac:dyDescent="0.25">
      <c r="A546" s="236"/>
      <c r="B546" s="237"/>
      <c r="C546" s="236"/>
      <c r="D546" s="238"/>
      <c r="E546" s="238"/>
      <c r="F546" s="238"/>
      <c r="G546" s="239"/>
      <c r="H546" s="241"/>
      <c r="I546" s="244"/>
      <c r="J546" s="241"/>
      <c r="K546" s="237"/>
      <c r="L546" s="237"/>
      <c r="M546" s="237"/>
      <c r="N546" s="237"/>
      <c r="O546" s="237"/>
      <c r="P546" s="237"/>
      <c r="Q546" s="237"/>
      <c r="R546" s="237"/>
      <c r="S546" s="237"/>
      <c r="T546" s="237"/>
      <c r="U546" s="237"/>
      <c r="V546" s="237"/>
      <c r="W546" s="237"/>
      <c r="X546" s="237"/>
      <c r="Y546" s="237"/>
      <c r="Z546" s="237"/>
    </row>
    <row r="547" spans="1:26" ht="24.75" customHeight="1" x14ac:dyDescent="0.25">
      <c r="A547" s="236"/>
      <c r="B547" s="237"/>
      <c r="C547" s="236"/>
      <c r="D547" s="238"/>
      <c r="E547" s="238"/>
      <c r="F547" s="238"/>
      <c r="G547" s="239"/>
      <c r="H547" s="241"/>
      <c r="I547" s="244"/>
      <c r="J547" s="241"/>
      <c r="K547" s="237"/>
      <c r="L547" s="237"/>
      <c r="M547" s="237"/>
      <c r="N547" s="237"/>
      <c r="O547" s="237"/>
      <c r="P547" s="237"/>
      <c r="Q547" s="237"/>
      <c r="R547" s="237"/>
      <c r="S547" s="237"/>
      <c r="T547" s="237"/>
      <c r="U547" s="237"/>
      <c r="V547" s="237"/>
      <c r="W547" s="237"/>
      <c r="X547" s="237"/>
      <c r="Y547" s="237"/>
      <c r="Z547" s="237"/>
    </row>
    <row r="548" spans="1:26" ht="24.75" customHeight="1" x14ac:dyDescent="0.25">
      <c r="A548" s="236"/>
      <c r="B548" s="237"/>
      <c r="C548" s="236"/>
      <c r="D548" s="238"/>
      <c r="E548" s="238"/>
      <c r="F548" s="238"/>
      <c r="G548" s="239"/>
      <c r="H548" s="241"/>
      <c r="I548" s="244"/>
      <c r="J548" s="241"/>
      <c r="K548" s="237"/>
      <c r="L548" s="237"/>
      <c r="M548" s="237"/>
      <c r="N548" s="237"/>
      <c r="O548" s="237"/>
      <c r="P548" s="237"/>
      <c r="Q548" s="237"/>
      <c r="R548" s="237"/>
      <c r="S548" s="237"/>
      <c r="T548" s="237"/>
      <c r="U548" s="237"/>
      <c r="V548" s="237"/>
      <c r="W548" s="237"/>
      <c r="X548" s="237"/>
      <c r="Y548" s="237"/>
      <c r="Z548" s="237"/>
    </row>
    <row r="549" spans="1:26" ht="24.75" customHeight="1" x14ac:dyDescent="0.25">
      <c r="A549" s="236"/>
      <c r="B549" s="237"/>
      <c r="C549" s="236"/>
      <c r="D549" s="238"/>
      <c r="E549" s="238"/>
      <c r="F549" s="238"/>
      <c r="G549" s="239"/>
      <c r="H549" s="241"/>
      <c r="I549" s="244"/>
      <c r="J549" s="241"/>
      <c r="K549" s="237"/>
      <c r="L549" s="237"/>
      <c r="M549" s="237"/>
      <c r="N549" s="237"/>
      <c r="O549" s="237"/>
      <c r="P549" s="237"/>
      <c r="Q549" s="237"/>
      <c r="R549" s="237"/>
      <c r="S549" s="237"/>
      <c r="T549" s="237"/>
      <c r="U549" s="237"/>
      <c r="V549" s="237"/>
      <c r="W549" s="237"/>
      <c r="X549" s="237"/>
      <c r="Y549" s="237"/>
      <c r="Z549" s="237"/>
    </row>
    <row r="550" spans="1:26" ht="24.75" customHeight="1" x14ac:dyDescent="0.25">
      <c r="A550" s="236"/>
      <c r="B550" s="237"/>
      <c r="C550" s="236"/>
      <c r="D550" s="238"/>
      <c r="E550" s="238"/>
      <c r="F550" s="238"/>
      <c r="G550" s="239"/>
      <c r="H550" s="241"/>
      <c r="I550" s="244"/>
      <c r="J550" s="241"/>
      <c r="K550" s="237"/>
      <c r="L550" s="237"/>
      <c r="M550" s="237"/>
      <c r="N550" s="237"/>
      <c r="O550" s="237"/>
      <c r="P550" s="237"/>
      <c r="Q550" s="237"/>
      <c r="R550" s="237"/>
      <c r="S550" s="237"/>
      <c r="T550" s="237"/>
      <c r="U550" s="237"/>
      <c r="V550" s="237"/>
      <c r="W550" s="237"/>
      <c r="X550" s="237"/>
      <c r="Y550" s="237"/>
      <c r="Z550" s="237"/>
    </row>
    <row r="551" spans="1:26" ht="24.75" customHeight="1" x14ac:dyDescent="0.25">
      <c r="A551" s="236"/>
      <c r="B551" s="237"/>
      <c r="C551" s="236"/>
      <c r="D551" s="238"/>
      <c r="E551" s="238"/>
      <c r="F551" s="238"/>
      <c r="G551" s="239"/>
      <c r="H551" s="241"/>
      <c r="I551" s="244"/>
      <c r="J551" s="241"/>
      <c r="K551" s="237"/>
      <c r="L551" s="237"/>
      <c r="M551" s="237"/>
      <c r="N551" s="237"/>
      <c r="O551" s="237"/>
      <c r="P551" s="237"/>
      <c r="Q551" s="237"/>
      <c r="R551" s="237"/>
      <c r="S551" s="237"/>
      <c r="T551" s="237"/>
      <c r="U551" s="237"/>
      <c r="V551" s="237"/>
      <c r="W551" s="237"/>
      <c r="X551" s="237"/>
      <c r="Y551" s="237"/>
      <c r="Z551" s="237"/>
    </row>
    <row r="552" spans="1:26" ht="24.75" customHeight="1" x14ac:dyDescent="0.25">
      <c r="A552" s="236"/>
      <c r="B552" s="237"/>
      <c r="C552" s="236"/>
      <c r="D552" s="238"/>
      <c r="E552" s="238"/>
      <c r="F552" s="238"/>
      <c r="G552" s="239"/>
      <c r="H552" s="241"/>
      <c r="I552" s="244"/>
      <c r="J552" s="241"/>
      <c r="K552" s="237"/>
      <c r="L552" s="237"/>
      <c r="M552" s="237"/>
      <c r="N552" s="237"/>
      <c r="O552" s="237"/>
      <c r="P552" s="237"/>
      <c r="Q552" s="237"/>
      <c r="R552" s="237"/>
      <c r="S552" s="237"/>
      <c r="T552" s="237"/>
      <c r="U552" s="237"/>
      <c r="V552" s="237"/>
      <c r="W552" s="237"/>
      <c r="X552" s="237"/>
      <c r="Y552" s="237"/>
      <c r="Z552" s="237"/>
    </row>
    <row r="553" spans="1:26" ht="24.75" customHeight="1" x14ac:dyDescent="0.25">
      <c r="A553" s="236"/>
      <c r="B553" s="237"/>
      <c r="C553" s="236"/>
      <c r="D553" s="238"/>
      <c r="E553" s="238"/>
      <c r="F553" s="238"/>
      <c r="G553" s="239"/>
      <c r="H553" s="241"/>
      <c r="I553" s="244"/>
      <c r="J553" s="241"/>
      <c r="K553" s="237"/>
      <c r="L553" s="237"/>
      <c r="M553" s="237"/>
      <c r="N553" s="237"/>
      <c r="O553" s="237"/>
      <c r="P553" s="237"/>
      <c r="Q553" s="237"/>
      <c r="R553" s="237"/>
      <c r="S553" s="237"/>
      <c r="T553" s="237"/>
      <c r="U553" s="237"/>
      <c r="V553" s="237"/>
      <c r="W553" s="237"/>
      <c r="X553" s="237"/>
      <c r="Y553" s="237"/>
      <c r="Z553" s="237"/>
    </row>
    <row r="554" spans="1:26" ht="24.75" customHeight="1" x14ac:dyDescent="0.25">
      <c r="A554" s="236"/>
      <c r="B554" s="237"/>
      <c r="C554" s="236"/>
      <c r="D554" s="238"/>
      <c r="E554" s="238"/>
      <c r="F554" s="238"/>
      <c r="G554" s="239"/>
      <c r="H554" s="241"/>
      <c r="I554" s="244"/>
      <c r="J554" s="241"/>
      <c r="K554" s="237"/>
      <c r="L554" s="237"/>
      <c r="M554" s="237"/>
      <c r="N554" s="237"/>
      <c r="O554" s="237"/>
      <c r="P554" s="237"/>
      <c r="Q554" s="237"/>
      <c r="R554" s="237"/>
      <c r="S554" s="237"/>
      <c r="T554" s="237"/>
      <c r="U554" s="237"/>
      <c r="V554" s="237"/>
      <c r="W554" s="237"/>
      <c r="X554" s="237"/>
      <c r="Y554" s="237"/>
      <c r="Z554" s="237"/>
    </row>
    <row r="555" spans="1:26" ht="24.75" customHeight="1" x14ac:dyDescent="0.25">
      <c r="A555" s="236"/>
      <c r="B555" s="237"/>
      <c r="C555" s="236"/>
      <c r="D555" s="238"/>
      <c r="E555" s="238"/>
      <c r="F555" s="238"/>
      <c r="G555" s="239"/>
      <c r="H555" s="241"/>
      <c r="I555" s="244"/>
      <c r="J555" s="241"/>
      <c r="K555" s="237"/>
      <c r="L555" s="237"/>
      <c r="M555" s="237"/>
      <c r="N555" s="237"/>
      <c r="O555" s="237"/>
      <c r="P555" s="237"/>
      <c r="Q555" s="237"/>
      <c r="R555" s="237"/>
      <c r="S555" s="237"/>
      <c r="T555" s="237"/>
      <c r="U555" s="237"/>
      <c r="V555" s="237"/>
      <c r="W555" s="237"/>
      <c r="X555" s="237"/>
      <c r="Y555" s="237"/>
      <c r="Z555" s="237"/>
    </row>
    <row r="556" spans="1:26" ht="24.75" customHeight="1" x14ac:dyDescent="0.25">
      <c r="A556" s="236"/>
      <c r="B556" s="237"/>
      <c r="C556" s="236"/>
      <c r="D556" s="238"/>
      <c r="E556" s="238"/>
      <c r="F556" s="238"/>
      <c r="G556" s="239"/>
      <c r="H556" s="241"/>
      <c r="I556" s="244"/>
      <c r="J556" s="241"/>
      <c r="K556" s="237"/>
      <c r="L556" s="237"/>
      <c r="M556" s="237"/>
      <c r="N556" s="237"/>
      <c r="O556" s="237"/>
      <c r="P556" s="237"/>
      <c r="Q556" s="237"/>
      <c r="R556" s="237"/>
      <c r="S556" s="237"/>
      <c r="T556" s="237"/>
      <c r="U556" s="237"/>
      <c r="V556" s="237"/>
      <c r="W556" s="237"/>
      <c r="X556" s="237"/>
      <c r="Y556" s="237"/>
      <c r="Z556" s="237"/>
    </row>
    <row r="557" spans="1:26" ht="24.75" customHeight="1" x14ac:dyDescent="0.25">
      <c r="A557" s="236"/>
      <c r="B557" s="237"/>
      <c r="C557" s="236"/>
      <c r="D557" s="238"/>
      <c r="E557" s="238"/>
      <c r="F557" s="238"/>
      <c r="G557" s="239"/>
      <c r="H557" s="241"/>
      <c r="I557" s="244"/>
      <c r="J557" s="241"/>
      <c r="K557" s="237"/>
      <c r="L557" s="237"/>
      <c r="M557" s="237"/>
      <c r="N557" s="237"/>
      <c r="O557" s="237"/>
      <c r="P557" s="237"/>
      <c r="Q557" s="237"/>
      <c r="R557" s="237"/>
      <c r="S557" s="237"/>
      <c r="T557" s="237"/>
      <c r="U557" s="237"/>
      <c r="V557" s="237"/>
      <c r="W557" s="237"/>
      <c r="X557" s="237"/>
      <c r="Y557" s="237"/>
      <c r="Z557" s="237"/>
    </row>
    <row r="558" spans="1:26" ht="24.75" customHeight="1" x14ac:dyDescent="0.25">
      <c r="A558" s="236"/>
      <c r="B558" s="237"/>
      <c r="C558" s="236"/>
      <c r="D558" s="238"/>
      <c r="E558" s="238"/>
      <c r="F558" s="238"/>
      <c r="G558" s="239"/>
      <c r="H558" s="241"/>
      <c r="I558" s="244"/>
      <c r="J558" s="241"/>
      <c r="K558" s="237"/>
      <c r="L558" s="237"/>
      <c r="M558" s="237"/>
      <c r="N558" s="237"/>
      <c r="O558" s="237"/>
      <c r="P558" s="237"/>
      <c r="Q558" s="237"/>
      <c r="R558" s="237"/>
      <c r="S558" s="237"/>
      <c r="T558" s="237"/>
      <c r="U558" s="237"/>
      <c r="V558" s="237"/>
      <c r="W558" s="237"/>
      <c r="X558" s="237"/>
      <c r="Y558" s="237"/>
      <c r="Z558" s="237"/>
    </row>
    <row r="559" spans="1:26" ht="24.75" customHeight="1" x14ac:dyDescent="0.25">
      <c r="A559" s="236"/>
      <c r="B559" s="237"/>
      <c r="C559" s="236"/>
      <c r="D559" s="238"/>
      <c r="E559" s="238"/>
      <c r="F559" s="238"/>
      <c r="G559" s="239"/>
      <c r="H559" s="241"/>
      <c r="I559" s="244"/>
      <c r="J559" s="241"/>
      <c r="K559" s="237"/>
      <c r="L559" s="237"/>
      <c r="M559" s="237"/>
      <c r="N559" s="237"/>
      <c r="O559" s="237"/>
      <c r="P559" s="237"/>
      <c r="Q559" s="237"/>
      <c r="R559" s="237"/>
      <c r="S559" s="237"/>
      <c r="T559" s="237"/>
      <c r="U559" s="237"/>
      <c r="V559" s="237"/>
      <c r="W559" s="237"/>
      <c r="X559" s="237"/>
      <c r="Y559" s="237"/>
      <c r="Z559" s="237"/>
    </row>
    <row r="560" spans="1:26" ht="24.75" customHeight="1" x14ac:dyDescent="0.25">
      <c r="A560" s="236"/>
      <c r="B560" s="237"/>
      <c r="C560" s="236"/>
      <c r="D560" s="238"/>
      <c r="E560" s="238"/>
      <c r="F560" s="238"/>
      <c r="G560" s="239"/>
      <c r="H560" s="241"/>
      <c r="I560" s="244"/>
      <c r="J560" s="241"/>
      <c r="K560" s="237"/>
      <c r="L560" s="237"/>
      <c r="M560" s="237"/>
      <c r="N560" s="237"/>
      <c r="O560" s="237"/>
      <c r="P560" s="237"/>
      <c r="Q560" s="237"/>
      <c r="R560" s="237"/>
      <c r="S560" s="237"/>
      <c r="T560" s="237"/>
      <c r="U560" s="237"/>
      <c r="V560" s="237"/>
      <c r="W560" s="237"/>
      <c r="X560" s="237"/>
      <c r="Y560" s="237"/>
      <c r="Z560" s="237"/>
    </row>
    <row r="561" spans="1:26" ht="24.75" customHeight="1" x14ac:dyDescent="0.25">
      <c r="A561" s="236"/>
      <c r="B561" s="237"/>
      <c r="C561" s="236"/>
      <c r="D561" s="238"/>
      <c r="E561" s="238"/>
      <c r="F561" s="238"/>
      <c r="G561" s="239"/>
      <c r="H561" s="241"/>
      <c r="I561" s="244"/>
      <c r="J561" s="241"/>
      <c r="K561" s="237"/>
      <c r="L561" s="237"/>
      <c r="M561" s="237"/>
      <c r="N561" s="237"/>
      <c r="O561" s="237"/>
      <c r="P561" s="237"/>
      <c r="Q561" s="237"/>
      <c r="R561" s="237"/>
      <c r="S561" s="237"/>
      <c r="T561" s="237"/>
      <c r="U561" s="237"/>
      <c r="V561" s="237"/>
      <c r="W561" s="237"/>
      <c r="X561" s="237"/>
      <c r="Y561" s="237"/>
      <c r="Z561" s="237"/>
    </row>
    <row r="562" spans="1:26" ht="24.75" customHeight="1" x14ac:dyDescent="0.25">
      <c r="A562" s="236"/>
      <c r="B562" s="237"/>
      <c r="C562" s="236"/>
      <c r="D562" s="238"/>
      <c r="E562" s="238"/>
      <c r="F562" s="238"/>
      <c r="G562" s="239"/>
      <c r="H562" s="241"/>
      <c r="I562" s="244"/>
      <c r="J562" s="241"/>
      <c r="K562" s="237"/>
      <c r="L562" s="237"/>
      <c r="M562" s="237"/>
      <c r="N562" s="237"/>
      <c r="O562" s="237"/>
      <c r="P562" s="237"/>
      <c r="Q562" s="237"/>
      <c r="R562" s="237"/>
      <c r="S562" s="237"/>
      <c r="T562" s="237"/>
      <c r="U562" s="237"/>
      <c r="V562" s="237"/>
      <c r="W562" s="237"/>
      <c r="X562" s="237"/>
      <c r="Y562" s="237"/>
      <c r="Z562" s="237"/>
    </row>
    <row r="563" spans="1:26" ht="24.75" customHeight="1" x14ac:dyDescent="0.25">
      <c r="A563" s="236"/>
      <c r="B563" s="237"/>
      <c r="C563" s="236"/>
      <c r="D563" s="238"/>
      <c r="E563" s="238"/>
      <c r="F563" s="238"/>
      <c r="G563" s="239"/>
      <c r="H563" s="241"/>
      <c r="I563" s="244"/>
      <c r="J563" s="241"/>
      <c r="K563" s="237"/>
      <c r="L563" s="237"/>
      <c r="M563" s="237"/>
      <c r="N563" s="237"/>
      <c r="O563" s="237"/>
      <c r="P563" s="237"/>
      <c r="Q563" s="237"/>
      <c r="R563" s="237"/>
      <c r="S563" s="237"/>
      <c r="T563" s="237"/>
      <c r="U563" s="237"/>
      <c r="V563" s="237"/>
      <c r="W563" s="237"/>
      <c r="X563" s="237"/>
      <c r="Y563" s="237"/>
      <c r="Z563" s="237"/>
    </row>
    <row r="564" spans="1:26" ht="24.75" customHeight="1" x14ac:dyDescent="0.25">
      <c r="A564" s="236"/>
      <c r="B564" s="237"/>
      <c r="C564" s="236"/>
      <c r="D564" s="238"/>
      <c r="E564" s="238"/>
      <c r="F564" s="238"/>
      <c r="G564" s="239"/>
      <c r="H564" s="241"/>
      <c r="I564" s="244"/>
      <c r="J564" s="241"/>
      <c r="K564" s="237"/>
      <c r="L564" s="237"/>
      <c r="M564" s="237"/>
      <c r="N564" s="237"/>
      <c r="O564" s="237"/>
      <c r="P564" s="237"/>
      <c r="Q564" s="237"/>
      <c r="R564" s="237"/>
      <c r="S564" s="237"/>
      <c r="T564" s="237"/>
      <c r="U564" s="237"/>
      <c r="V564" s="237"/>
      <c r="W564" s="237"/>
      <c r="X564" s="237"/>
      <c r="Y564" s="237"/>
      <c r="Z564" s="237"/>
    </row>
    <row r="565" spans="1:26" ht="24.75" customHeight="1" x14ac:dyDescent="0.25">
      <c r="A565" s="236"/>
      <c r="B565" s="237"/>
      <c r="C565" s="236"/>
      <c r="D565" s="238"/>
      <c r="E565" s="238"/>
      <c r="F565" s="238"/>
      <c r="G565" s="239"/>
      <c r="H565" s="241"/>
      <c r="I565" s="244"/>
      <c r="J565" s="241"/>
      <c r="K565" s="237"/>
      <c r="L565" s="237"/>
      <c r="M565" s="237"/>
      <c r="N565" s="237"/>
      <c r="O565" s="237"/>
      <c r="P565" s="237"/>
      <c r="Q565" s="237"/>
      <c r="R565" s="237"/>
      <c r="S565" s="237"/>
      <c r="T565" s="237"/>
      <c r="U565" s="237"/>
      <c r="V565" s="237"/>
      <c r="W565" s="237"/>
      <c r="X565" s="237"/>
      <c r="Y565" s="237"/>
      <c r="Z565" s="237"/>
    </row>
    <row r="566" spans="1:26" ht="24.75" customHeight="1" x14ac:dyDescent="0.25">
      <c r="A566" s="236"/>
      <c r="B566" s="237"/>
      <c r="C566" s="236"/>
      <c r="D566" s="238"/>
      <c r="E566" s="238"/>
      <c r="F566" s="238"/>
      <c r="G566" s="239"/>
      <c r="H566" s="241"/>
      <c r="I566" s="244"/>
      <c r="J566" s="241"/>
      <c r="K566" s="237"/>
      <c r="L566" s="237"/>
      <c r="M566" s="237"/>
      <c r="N566" s="237"/>
      <c r="O566" s="237"/>
      <c r="P566" s="237"/>
      <c r="Q566" s="237"/>
      <c r="R566" s="237"/>
      <c r="S566" s="237"/>
      <c r="T566" s="237"/>
      <c r="U566" s="237"/>
      <c r="V566" s="237"/>
      <c r="W566" s="237"/>
      <c r="X566" s="237"/>
      <c r="Y566" s="237"/>
      <c r="Z566" s="237"/>
    </row>
    <row r="567" spans="1:26" ht="24.75" customHeight="1" x14ac:dyDescent="0.25">
      <c r="A567" s="236"/>
      <c r="B567" s="237"/>
      <c r="C567" s="236"/>
      <c r="D567" s="238"/>
      <c r="E567" s="238"/>
      <c r="F567" s="238"/>
      <c r="G567" s="239"/>
      <c r="H567" s="241"/>
      <c r="I567" s="244"/>
      <c r="J567" s="241"/>
      <c r="K567" s="237"/>
      <c r="L567" s="237"/>
      <c r="M567" s="237"/>
      <c r="N567" s="237"/>
      <c r="O567" s="237"/>
      <c r="P567" s="237"/>
      <c r="Q567" s="237"/>
      <c r="R567" s="237"/>
      <c r="S567" s="237"/>
      <c r="T567" s="237"/>
      <c r="U567" s="237"/>
      <c r="V567" s="237"/>
      <c r="W567" s="237"/>
      <c r="X567" s="237"/>
      <c r="Y567" s="237"/>
      <c r="Z567" s="237"/>
    </row>
    <row r="568" spans="1:26" ht="24.75" customHeight="1" x14ac:dyDescent="0.25">
      <c r="A568" s="236"/>
      <c r="B568" s="237"/>
      <c r="C568" s="236"/>
      <c r="D568" s="238"/>
      <c r="E568" s="238"/>
      <c r="F568" s="238"/>
      <c r="G568" s="239"/>
      <c r="H568" s="241"/>
      <c r="I568" s="244"/>
      <c r="J568" s="241"/>
      <c r="K568" s="237"/>
      <c r="L568" s="237"/>
      <c r="M568" s="237"/>
      <c r="N568" s="237"/>
      <c r="O568" s="237"/>
      <c r="P568" s="237"/>
      <c r="Q568" s="237"/>
      <c r="R568" s="237"/>
      <c r="S568" s="237"/>
      <c r="T568" s="237"/>
      <c r="U568" s="237"/>
      <c r="V568" s="237"/>
      <c r="W568" s="237"/>
      <c r="X568" s="237"/>
      <c r="Y568" s="237"/>
      <c r="Z568" s="237"/>
    </row>
    <row r="569" spans="1:26" ht="24.75" customHeight="1" x14ac:dyDescent="0.25">
      <c r="A569" s="236"/>
      <c r="B569" s="237"/>
      <c r="C569" s="236"/>
      <c r="D569" s="238"/>
      <c r="E569" s="238"/>
      <c r="F569" s="238"/>
      <c r="G569" s="239"/>
      <c r="H569" s="241"/>
      <c r="I569" s="244"/>
      <c r="J569" s="241"/>
      <c r="K569" s="237"/>
      <c r="L569" s="237"/>
      <c r="M569" s="237"/>
      <c r="N569" s="237"/>
      <c r="O569" s="237"/>
      <c r="P569" s="237"/>
      <c r="Q569" s="237"/>
      <c r="R569" s="237"/>
      <c r="S569" s="237"/>
      <c r="T569" s="237"/>
      <c r="U569" s="237"/>
      <c r="V569" s="237"/>
      <c r="W569" s="237"/>
      <c r="X569" s="237"/>
      <c r="Y569" s="237"/>
      <c r="Z569" s="237"/>
    </row>
    <row r="570" spans="1:26" ht="24.75" customHeight="1" x14ac:dyDescent="0.25">
      <c r="A570" s="236"/>
      <c r="B570" s="237"/>
      <c r="C570" s="236"/>
      <c r="D570" s="238"/>
      <c r="E570" s="238"/>
      <c r="F570" s="238"/>
      <c r="G570" s="239"/>
      <c r="H570" s="241"/>
      <c r="I570" s="244"/>
      <c r="J570" s="241"/>
      <c r="K570" s="237"/>
      <c r="L570" s="237"/>
      <c r="M570" s="237"/>
      <c r="N570" s="237"/>
      <c r="O570" s="237"/>
      <c r="P570" s="237"/>
      <c r="Q570" s="237"/>
      <c r="R570" s="237"/>
      <c r="S570" s="237"/>
      <c r="T570" s="237"/>
      <c r="U570" s="237"/>
      <c r="V570" s="237"/>
      <c r="W570" s="237"/>
      <c r="X570" s="237"/>
      <c r="Y570" s="237"/>
      <c r="Z570" s="237"/>
    </row>
    <row r="571" spans="1:26" ht="24.75" customHeight="1" x14ac:dyDescent="0.25">
      <c r="A571" s="236"/>
      <c r="B571" s="237"/>
      <c r="C571" s="236"/>
      <c r="D571" s="238"/>
      <c r="E571" s="238"/>
      <c r="F571" s="238"/>
      <c r="G571" s="239"/>
      <c r="H571" s="241"/>
      <c r="I571" s="244"/>
      <c r="J571" s="241"/>
      <c r="K571" s="237"/>
      <c r="L571" s="237"/>
      <c r="M571" s="237"/>
      <c r="N571" s="237"/>
      <c r="O571" s="237"/>
      <c r="P571" s="237"/>
      <c r="Q571" s="237"/>
      <c r="R571" s="237"/>
      <c r="S571" s="237"/>
      <c r="T571" s="237"/>
      <c r="U571" s="237"/>
      <c r="V571" s="237"/>
      <c r="W571" s="237"/>
      <c r="X571" s="237"/>
      <c r="Y571" s="237"/>
      <c r="Z571" s="237"/>
    </row>
    <row r="572" spans="1:26" ht="24.75" customHeight="1" x14ac:dyDescent="0.25">
      <c r="A572" s="236"/>
      <c r="B572" s="237"/>
      <c r="C572" s="236"/>
      <c r="D572" s="238"/>
      <c r="E572" s="238"/>
      <c r="F572" s="238"/>
      <c r="G572" s="239"/>
      <c r="H572" s="241"/>
      <c r="I572" s="244"/>
      <c r="J572" s="241"/>
      <c r="K572" s="237"/>
      <c r="L572" s="237"/>
      <c r="M572" s="237"/>
      <c r="N572" s="237"/>
      <c r="O572" s="237"/>
      <c r="P572" s="237"/>
      <c r="Q572" s="237"/>
      <c r="R572" s="237"/>
      <c r="S572" s="237"/>
      <c r="T572" s="237"/>
      <c r="U572" s="237"/>
      <c r="V572" s="237"/>
      <c r="W572" s="237"/>
      <c r="X572" s="237"/>
      <c r="Y572" s="237"/>
      <c r="Z572" s="237"/>
    </row>
    <row r="573" spans="1:26" ht="24.75" customHeight="1" x14ac:dyDescent="0.25">
      <c r="A573" s="236"/>
      <c r="B573" s="237"/>
      <c r="C573" s="236"/>
      <c r="D573" s="238"/>
      <c r="E573" s="238"/>
      <c r="F573" s="238"/>
      <c r="G573" s="239"/>
      <c r="H573" s="241"/>
      <c r="I573" s="244"/>
      <c r="J573" s="241"/>
      <c r="K573" s="237"/>
      <c r="L573" s="237"/>
      <c r="M573" s="237"/>
      <c r="N573" s="237"/>
      <c r="O573" s="237"/>
      <c r="P573" s="237"/>
      <c r="Q573" s="237"/>
      <c r="R573" s="237"/>
      <c r="S573" s="237"/>
      <c r="T573" s="237"/>
      <c r="U573" s="237"/>
      <c r="V573" s="237"/>
      <c r="W573" s="237"/>
      <c r="X573" s="237"/>
      <c r="Y573" s="237"/>
      <c r="Z573" s="237"/>
    </row>
    <row r="574" spans="1:26" ht="24.75" customHeight="1" x14ac:dyDescent="0.25">
      <c r="A574" s="236"/>
      <c r="B574" s="237"/>
      <c r="C574" s="236"/>
      <c r="D574" s="238"/>
      <c r="E574" s="238"/>
      <c r="F574" s="238"/>
      <c r="G574" s="239"/>
      <c r="H574" s="241"/>
      <c r="I574" s="244"/>
      <c r="J574" s="241"/>
      <c r="K574" s="237"/>
      <c r="L574" s="237"/>
      <c r="M574" s="237"/>
      <c r="N574" s="237"/>
      <c r="O574" s="237"/>
      <c r="P574" s="237"/>
      <c r="Q574" s="237"/>
      <c r="R574" s="237"/>
      <c r="S574" s="237"/>
      <c r="T574" s="237"/>
      <c r="U574" s="237"/>
      <c r="V574" s="237"/>
      <c r="W574" s="237"/>
      <c r="X574" s="237"/>
      <c r="Y574" s="237"/>
      <c r="Z574" s="237"/>
    </row>
    <row r="575" spans="1:26" ht="24.75" customHeight="1" x14ac:dyDescent="0.25">
      <c r="A575" s="236"/>
      <c r="B575" s="237"/>
      <c r="C575" s="236"/>
      <c r="D575" s="238"/>
      <c r="E575" s="238"/>
      <c r="F575" s="238"/>
      <c r="G575" s="239"/>
      <c r="H575" s="241"/>
      <c r="I575" s="244"/>
      <c r="J575" s="241"/>
      <c r="K575" s="237"/>
      <c r="L575" s="237"/>
      <c r="M575" s="237"/>
      <c r="N575" s="237"/>
      <c r="O575" s="237"/>
      <c r="P575" s="237"/>
      <c r="Q575" s="237"/>
      <c r="R575" s="237"/>
      <c r="S575" s="237"/>
      <c r="T575" s="237"/>
      <c r="U575" s="237"/>
      <c r="V575" s="237"/>
      <c r="W575" s="237"/>
      <c r="X575" s="237"/>
      <c r="Y575" s="237"/>
      <c r="Z575" s="237"/>
    </row>
    <row r="576" spans="1:26" ht="24.75" customHeight="1" x14ac:dyDescent="0.25">
      <c r="A576" s="236"/>
      <c r="B576" s="237"/>
      <c r="C576" s="236"/>
      <c r="D576" s="238"/>
      <c r="E576" s="238"/>
      <c r="F576" s="238"/>
      <c r="G576" s="239"/>
      <c r="H576" s="241"/>
      <c r="I576" s="244"/>
      <c r="J576" s="241"/>
      <c r="K576" s="237"/>
      <c r="L576" s="237"/>
      <c r="M576" s="237"/>
      <c r="N576" s="237"/>
      <c r="O576" s="237"/>
      <c r="P576" s="237"/>
      <c r="Q576" s="237"/>
      <c r="R576" s="237"/>
      <c r="S576" s="237"/>
      <c r="T576" s="237"/>
      <c r="U576" s="237"/>
      <c r="V576" s="237"/>
      <c r="W576" s="237"/>
      <c r="X576" s="237"/>
      <c r="Y576" s="237"/>
      <c r="Z576" s="237"/>
    </row>
    <row r="577" spans="1:26" ht="24.75" customHeight="1" x14ac:dyDescent="0.25">
      <c r="A577" s="236"/>
      <c r="B577" s="237"/>
      <c r="C577" s="236"/>
      <c r="D577" s="238"/>
      <c r="E577" s="238"/>
      <c r="F577" s="238"/>
      <c r="G577" s="239"/>
      <c r="H577" s="241"/>
      <c r="I577" s="244"/>
      <c r="J577" s="241"/>
      <c r="K577" s="237"/>
      <c r="L577" s="237"/>
      <c r="M577" s="237"/>
      <c r="N577" s="237"/>
      <c r="O577" s="237"/>
      <c r="P577" s="237"/>
      <c r="Q577" s="237"/>
      <c r="R577" s="237"/>
      <c r="S577" s="237"/>
      <c r="T577" s="237"/>
      <c r="U577" s="237"/>
      <c r="V577" s="237"/>
      <c r="W577" s="237"/>
      <c r="X577" s="237"/>
      <c r="Y577" s="237"/>
      <c r="Z577" s="237"/>
    </row>
    <row r="578" spans="1:26" ht="24.75" customHeight="1" x14ac:dyDescent="0.25">
      <c r="A578" s="236"/>
      <c r="B578" s="237"/>
      <c r="C578" s="236"/>
      <c r="D578" s="238"/>
      <c r="E578" s="238"/>
      <c r="F578" s="238"/>
      <c r="G578" s="239"/>
      <c r="H578" s="241"/>
      <c r="I578" s="244"/>
      <c r="J578" s="241"/>
      <c r="K578" s="237"/>
      <c r="L578" s="237"/>
      <c r="M578" s="237"/>
      <c r="N578" s="237"/>
      <c r="O578" s="237"/>
      <c r="P578" s="237"/>
      <c r="Q578" s="237"/>
      <c r="R578" s="237"/>
      <c r="S578" s="237"/>
      <c r="T578" s="237"/>
      <c r="U578" s="237"/>
      <c r="V578" s="237"/>
      <c r="W578" s="237"/>
      <c r="X578" s="237"/>
      <c r="Y578" s="237"/>
      <c r="Z578" s="237"/>
    </row>
    <row r="579" spans="1:26" ht="24.75" customHeight="1" x14ac:dyDescent="0.25">
      <c r="A579" s="236"/>
      <c r="B579" s="237"/>
      <c r="C579" s="236"/>
      <c r="D579" s="238"/>
      <c r="E579" s="238"/>
      <c r="F579" s="238"/>
      <c r="G579" s="239"/>
      <c r="H579" s="241"/>
      <c r="I579" s="244"/>
      <c r="J579" s="241"/>
      <c r="K579" s="237"/>
      <c r="L579" s="237"/>
      <c r="M579" s="237"/>
      <c r="N579" s="237"/>
      <c r="O579" s="237"/>
      <c r="P579" s="237"/>
      <c r="Q579" s="237"/>
      <c r="R579" s="237"/>
      <c r="S579" s="237"/>
      <c r="T579" s="237"/>
      <c r="U579" s="237"/>
      <c r="V579" s="237"/>
      <c r="W579" s="237"/>
      <c r="X579" s="237"/>
      <c r="Y579" s="237"/>
      <c r="Z579" s="237"/>
    </row>
    <row r="580" spans="1:26" ht="24.75" customHeight="1" x14ac:dyDescent="0.25">
      <c r="A580" s="236"/>
      <c r="B580" s="237"/>
      <c r="C580" s="236"/>
      <c r="D580" s="238"/>
      <c r="E580" s="238"/>
      <c r="F580" s="238"/>
      <c r="G580" s="239"/>
      <c r="H580" s="241"/>
      <c r="I580" s="244"/>
      <c r="J580" s="241"/>
      <c r="K580" s="237"/>
      <c r="L580" s="237"/>
      <c r="M580" s="237"/>
      <c r="N580" s="237"/>
      <c r="O580" s="237"/>
      <c r="P580" s="237"/>
      <c r="Q580" s="237"/>
      <c r="R580" s="237"/>
      <c r="S580" s="237"/>
      <c r="T580" s="237"/>
      <c r="U580" s="237"/>
      <c r="V580" s="237"/>
      <c r="W580" s="237"/>
      <c r="X580" s="237"/>
      <c r="Y580" s="237"/>
      <c r="Z580" s="237"/>
    </row>
    <row r="581" spans="1:26" ht="24.75" customHeight="1" x14ac:dyDescent="0.25">
      <c r="A581" s="236"/>
      <c r="B581" s="237"/>
      <c r="C581" s="236"/>
      <c r="D581" s="238"/>
      <c r="E581" s="238"/>
      <c r="F581" s="238"/>
      <c r="G581" s="239"/>
      <c r="H581" s="241"/>
      <c r="I581" s="244"/>
      <c r="J581" s="241"/>
      <c r="K581" s="237"/>
      <c r="L581" s="237"/>
      <c r="M581" s="237"/>
      <c r="N581" s="237"/>
      <c r="O581" s="237"/>
      <c r="P581" s="237"/>
      <c r="Q581" s="237"/>
      <c r="R581" s="237"/>
      <c r="S581" s="237"/>
      <c r="T581" s="237"/>
      <c r="U581" s="237"/>
      <c r="V581" s="237"/>
      <c r="W581" s="237"/>
      <c r="X581" s="237"/>
      <c r="Y581" s="237"/>
      <c r="Z581" s="237"/>
    </row>
    <row r="582" spans="1:26" ht="24.75" customHeight="1" x14ac:dyDescent="0.25">
      <c r="A582" s="236"/>
      <c r="B582" s="237"/>
      <c r="C582" s="236"/>
      <c r="D582" s="238"/>
      <c r="E582" s="238"/>
      <c r="F582" s="238"/>
      <c r="G582" s="239"/>
      <c r="H582" s="241"/>
      <c r="I582" s="244"/>
      <c r="J582" s="241"/>
      <c r="K582" s="237"/>
      <c r="L582" s="237"/>
      <c r="M582" s="237"/>
      <c r="N582" s="237"/>
      <c r="O582" s="237"/>
      <c r="P582" s="237"/>
      <c r="Q582" s="237"/>
      <c r="R582" s="237"/>
      <c r="S582" s="237"/>
      <c r="T582" s="237"/>
      <c r="U582" s="237"/>
      <c r="V582" s="237"/>
      <c r="W582" s="237"/>
      <c r="X582" s="237"/>
      <c r="Y582" s="237"/>
      <c r="Z582" s="237"/>
    </row>
    <row r="583" spans="1:26" ht="24.75" customHeight="1" x14ac:dyDescent="0.25">
      <c r="A583" s="236"/>
      <c r="B583" s="237"/>
      <c r="C583" s="236"/>
      <c r="D583" s="238"/>
      <c r="E583" s="238"/>
      <c r="F583" s="238"/>
      <c r="G583" s="239"/>
      <c r="H583" s="241"/>
      <c r="I583" s="244"/>
      <c r="J583" s="241"/>
      <c r="K583" s="237"/>
      <c r="L583" s="237"/>
      <c r="M583" s="237"/>
      <c r="N583" s="237"/>
      <c r="O583" s="237"/>
      <c r="P583" s="237"/>
      <c r="Q583" s="237"/>
      <c r="R583" s="237"/>
      <c r="S583" s="237"/>
      <c r="T583" s="237"/>
      <c r="U583" s="237"/>
      <c r="V583" s="237"/>
      <c r="W583" s="237"/>
      <c r="X583" s="237"/>
      <c r="Y583" s="237"/>
      <c r="Z583" s="237"/>
    </row>
    <row r="584" spans="1:26" ht="24.75" customHeight="1" x14ac:dyDescent="0.25">
      <c r="A584" s="236"/>
      <c r="B584" s="237"/>
      <c r="C584" s="236"/>
      <c r="D584" s="238"/>
      <c r="E584" s="238"/>
      <c r="F584" s="238"/>
      <c r="G584" s="239"/>
      <c r="H584" s="241"/>
      <c r="I584" s="244"/>
      <c r="J584" s="241"/>
      <c r="K584" s="237"/>
      <c r="L584" s="237"/>
      <c r="M584" s="237"/>
      <c r="N584" s="237"/>
      <c r="O584" s="237"/>
      <c r="P584" s="237"/>
      <c r="Q584" s="237"/>
      <c r="R584" s="237"/>
      <c r="S584" s="237"/>
      <c r="T584" s="237"/>
      <c r="U584" s="237"/>
      <c r="V584" s="237"/>
      <c r="W584" s="237"/>
      <c r="X584" s="237"/>
      <c r="Y584" s="237"/>
      <c r="Z584" s="237"/>
    </row>
    <row r="585" spans="1:26" ht="24.75" customHeight="1" x14ac:dyDescent="0.25">
      <c r="A585" s="236"/>
      <c r="B585" s="237"/>
      <c r="C585" s="236"/>
      <c r="D585" s="238"/>
      <c r="E585" s="238"/>
      <c r="F585" s="238"/>
      <c r="G585" s="239"/>
      <c r="H585" s="241"/>
      <c r="I585" s="244"/>
      <c r="J585" s="241"/>
      <c r="K585" s="237"/>
      <c r="L585" s="237"/>
      <c r="M585" s="237"/>
      <c r="N585" s="237"/>
      <c r="O585" s="237"/>
      <c r="P585" s="237"/>
      <c r="Q585" s="237"/>
      <c r="R585" s="237"/>
      <c r="S585" s="237"/>
      <c r="T585" s="237"/>
      <c r="U585" s="237"/>
      <c r="V585" s="237"/>
      <c r="W585" s="237"/>
      <c r="X585" s="237"/>
      <c r="Y585" s="237"/>
      <c r="Z585" s="237"/>
    </row>
    <row r="586" spans="1:26" ht="24.75" customHeight="1" x14ac:dyDescent="0.25">
      <c r="A586" s="236"/>
      <c r="B586" s="237"/>
      <c r="C586" s="236"/>
      <c r="D586" s="238"/>
      <c r="E586" s="238"/>
      <c r="F586" s="238"/>
      <c r="G586" s="239"/>
      <c r="H586" s="241"/>
      <c r="I586" s="244"/>
      <c r="J586" s="241"/>
      <c r="K586" s="237"/>
      <c r="L586" s="237"/>
      <c r="M586" s="237"/>
      <c r="N586" s="237"/>
      <c r="O586" s="237"/>
      <c r="P586" s="237"/>
      <c r="Q586" s="237"/>
      <c r="R586" s="237"/>
      <c r="S586" s="237"/>
      <c r="T586" s="237"/>
      <c r="U586" s="237"/>
      <c r="V586" s="237"/>
      <c r="W586" s="237"/>
      <c r="X586" s="237"/>
      <c r="Y586" s="237"/>
      <c r="Z586" s="237"/>
    </row>
    <row r="587" spans="1:26" ht="24.75" customHeight="1" x14ac:dyDescent="0.25">
      <c r="A587" s="236"/>
      <c r="B587" s="237"/>
      <c r="C587" s="236"/>
      <c r="D587" s="238"/>
      <c r="E587" s="238"/>
      <c r="F587" s="238"/>
      <c r="G587" s="239"/>
      <c r="H587" s="241"/>
      <c r="I587" s="244"/>
      <c r="J587" s="241"/>
      <c r="K587" s="237"/>
      <c r="L587" s="237"/>
      <c r="M587" s="237"/>
      <c r="N587" s="237"/>
      <c r="O587" s="237"/>
      <c r="P587" s="237"/>
      <c r="Q587" s="237"/>
      <c r="R587" s="237"/>
      <c r="S587" s="237"/>
      <c r="T587" s="237"/>
      <c r="U587" s="237"/>
      <c r="V587" s="237"/>
      <c r="W587" s="237"/>
      <c r="X587" s="237"/>
      <c r="Y587" s="237"/>
      <c r="Z587" s="237"/>
    </row>
    <row r="588" spans="1:26" ht="24.75" customHeight="1" x14ac:dyDescent="0.25">
      <c r="A588" s="236"/>
      <c r="B588" s="237"/>
      <c r="C588" s="236"/>
      <c r="D588" s="238"/>
      <c r="E588" s="238"/>
      <c r="F588" s="238"/>
      <c r="G588" s="239"/>
      <c r="H588" s="241"/>
      <c r="I588" s="244"/>
      <c r="J588" s="241"/>
      <c r="K588" s="237"/>
      <c r="L588" s="237"/>
      <c r="M588" s="237"/>
      <c r="N588" s="237"/>
      <c r="O588" s="237"/>
      <c r="P588" s="237"/>
      <c r="Q588" s="237"/>
      <c r="R588" s="237"/>
      <c r="S588" s="237"/>
      <c r="T588" s="237"/>
      <c r="U588" s="237"/>
      <c r="V588" s="237"/>
      <c r="W588" s="237"/>
      <c r="X588" s="237"/>
      <c r="Y588" s="237"/>
      <c r="Z588" s="237"/>
    </row>
    <row r="589" spans="1:26" ht="24.75" customHeight="1" x14ac:dyDescent="0.25">
      <c r="A589" s="236"/>
      <c r="B589" s="237"/>
      <c r="C589" s="236"/>
      <c r="D589" s="238"/>
      <c r="E589" s="238"/>
      <c r="F589" s="238"/>
      <c r="G589" s="239"/>
      <c r="H589" s="241"/>
      <c r="I589" s="244"/>
      <c r="J589" s="241"/>
      <c r="K589" s="237"/>
      <c r="L589" s="237"/>
      <c r="M589" s="237"/>
      <c r="N589" s="237"/>
      <c r="O589" s="237"/>
      <c r="P589" s="237"/>
      <c r="Q589" s="237"/>
      <c r="R589" s="237"/>
      <c r="S589" s="237"/>
      <c r="T589" s="237"/>
      <c r="U589" s="237"/>
      <c r="V589" s="237"/>
      <c r="W589" s="237"/>
      <c r="X589" s="237"/>
      <c r="Y589" s="237"/>
      <c r="Z589" s="237"/>
    </row>
    <row r="590" spans="1:26" ht="24.75" customHeight="1" x14ac:dyDescent="0.25">
      <c r="A590" s="236"/>
      <c r="B590" s="237"/>
      <c r="C590" s="236"/>
      <c r="D590" s="238"/>
      <c r="E590" s="238"/>
      <c r="F590" s="238"/>
      <c r="G590" s="239"/>
      <c r="H590" s="241"/>
      <c r="I590" s="244"/>
      <c r="J590" s="241"/>
      <c r="K590" s="237"/>
      <c r="L590" s="237"/>
      <c r="M590" s="237"/>
      <c r="N590" s="237"/>
      <c r="O590" s="237"/>
      <c r="P590" s="237"/>
      <c r="Q590" s="237"/>
      <c r="R590" s="237"/>
      <c r="S590" s="237"/>
      <c r="T590" s="237"/>
      <c r="U590" s="237"/>
      <c r="V590" s="237"/>
      <c r="W590" s="237"/>
      <c r="X590" s="237"/>
      <c r="Y590" s="237"/>
      <c r="Z590" s="237"/>
    </row>
    <row r="591" spans="1:26" ht="24.75" customHeight="1" x14ac:dyDescent="0.25">
      <c r="A591" s="236"/>
      <c r="B591" s="237"/>
      <c r="C591" s="236"/>
      <c r="D591" s="238"/>
      <c r="E591" s="238"/>
      <c r="F591" s="238"/>
      <c r="G591" s="239"/>
      <c r="H591" s="241"/>
      <c r="I591" s="244"/>
      <c r="J591" s="241"/>
      <c r="K591" s="237"/>
      <c r="L591" s="237"/>
      <c r="M591" s="237"/>
      <c r="N591" s="237"/>
      <c r="O591" s="237"/>
      <c r="P591" s="237"/>
      <c r="Q591" s="237"/>
      <c r="R591" s="237"/>
      <c r="S591" s="237"/>
      <c r="T591" s="237"/>
      <c r="U591" s="237"/>
      <c r="V591" s="237"/>
      <c r="W591" s="237"/>
      <c r="X591" s="237"/>
      <c r="Y591" s="237"/>
      <c r="Z591" s="237"/>
    </row>
    <row r="592" spans="1:26" ht="24.75" customHeight="1" x14ac:dyDescent="0.25">
      <c r="A592" s="236"/>
      <c r="B592" s="237"/>
      <c r="C592" s="236"/>
      <c r="D592" s="238"/>
      <c r="E592" s="238"/>
      <c r="F592" s="238"/>
      <c r="G592" s="239"/>
      <c r="H592" s="241"/>
      <c r="I592" s="244"/>
      <c r="J592" s="241"/>
      <c r="K592" s="237"/>
      <c r="L592" s="237"/>
      <c r="M592" s="237"/>
      <c r="N592" s="237"/>
      <c r="O592" s="237"/>
      <c r="P592" s="237"/>
      <c r="Q592" s="237"/>
      <c r="R592" s="237"/>
      <c r="S592" s="237"/>
      <c r="T592" s="237"/>
      <c r="U592" s="237"/>
      <c r="V592" s="237"/>
      <c r="W592" s="237"/>
      <c r="X592" s="237"/>
      <c r="Y592" s="237"/>
      <c r="Z592" s="237"/>
    </row>
    <row r="593" spans="1:26" ht="24.75" customHeight="1" x14ac:dyDescent="0.25">
      <c r="A593" s="236"/>
      <c r="B593" s="237"/>
      <c r="C593" s="236"/>
      <c r="D593" s="238"/>
      <c r="E593" s="238"/>
      <c r="F593" s="238"/>
      <c r="G593" s="239"/>
      <c r="H593" s="241"/>
      <c r="I593" s="244"/>
      <c r="J593" s="241"/>
      <c r="K593" s="237"/>
      <c r="L593" s="237"/>
      <c r="M593" s="237"/>
      <c r="N593" s="237"/>
      <c r="O593" s="237"/>
      <c r="P593" s="237"/>
      <c r="Q593" s="237"/>
      <c r="R593" s="237"/>
      <c r="S593" s="237"/>
      <c r="T593" s="237"/>
      <c r="U593" s="237"/>
      <c r="V593" s="237"/>
      <c r="W593" s="237"/>
      <c r="X593" s="237"/>
      <c r="Y593" s="237"/>
      <c r="Z593" s="237"/>
    </row>
    <row r="594" spans="1:26" ht="24.75" customHeight="1" x14ac:dyDescent="0.25">
      <c r="A594" s="236"/>
      <c r="B594" s="237"/>
      <c r="C594" s="236"/>
      <c r="D594" s="238"/>
      <c r="E594" s="238"/>
      <c r="F594" s="238"/>
      <c r="G594" s="239"/>
      <c r="H594" s="241"/>
      <c r="I594" s="244"/>
      <c r="J594" s="241"/>
      <c r="K594" s="237"/>
      <c r="L594" s="237"/>
      <c r="M594" s="237"/>
      <c r="N594" s="237"/>
      <c r="O594" s="237"/>
      <c r="P594" s="237"/>
      <c r="Q594" s="237"/>
      <c r="R594" s="237"/>
      <c r="S594" s="237"/>
      <c r="T594" s="237"/>
      <c r="U594" s="237"/>
      <c r="V594" s="237"/>
      <c r="W594" s="237"/>
      <c r="X594" s="237"/>
      <c r="Y594" s="237"/>
      <c r="Z594" s="237"/>
    </row>
    <row r="595" spans="1:26" ht="24.75" customHeight="1" x14ac:dyDescent="0.25">
      <c r="A595" s="236"/>
      <c r="B595" s="237"/>
      <c r="C595" s="236"/>
      <c r="D595" s="238"/>
      <c r="E595" s="238"/>
      <c r="F595" s="238"/>
      <c r="G595" s="239"/>
      <c r="H595" s="241"/>
      <c r="I595" s="244"/>
      <c r="J595" s="241"/>
      <c r="K595" s="237"/>
      <c r="L595" s="237"/>
      <c r="M595" s="237"/>
      <c r="N595" s="237"/>
      <c r="O595" s="237"/>
      <c r="P595" s="237"/>
      <c r="Q595" s="237"/>
      <c r="R595" s="237"/>
      <c r="S595" s="237"/>
      <c r="T595" s="237"/>
      <c r="U595" s="237"/>
      <c r="V595" s="237"/>
      <c r="W595" s="237"/>
      <c r="X595" s="237"/>
      <c r="Y595" s="237"/>
      <c r="Z595" s="237"/>
    </row>
    <row r="596" spans="1:26" ht="24.75" customHeight="1" x14ac:dyDescent="0.25">
      <c r="A596" s="236"/>
      <c r="B596" s="237"/>
      <c r="C596" s="236"/>
      <c r="D596" s="238"/>
      <c r="E596" s="238"/>
      <c r="F596" s="238"/>
      <c r="G596" s="239"/>
      <c r="H596" s="241"/>
      <c r="I596" s="244"/>
      <c r="J596" s="241"/>
      <c r="K596" s="237"/>
      <c r="L596" s="237"/>
      <c r="M596" s="237"/>
      <c r="N596" s="237"/>
      <c r="O596" s="237"/>
      <c r="P596" s="237"/>
      <c r="Q596" s="237"/>
      <c r="R596" s="237"/>
      <c r="S596" s="237"/>
      <c r="T596" s="237"/>
      <c r="U596" s="237"/>
      <c r="V596" s="237"/>
      <c r="W596" s="237"/>
      <c r="X596" s="237"/>
      <c r="Y596" s="237"/>
      <c r="Z596" s="237"/>
    </row>
    <row r="597" spans="1:26" ht="24.75" customHeight="1" x14ac:dyDescent="0.25">
      <c r="A597" s="236"/>
      <c r="B597" s="237"/>
      <c r="C597" s="236"/>
      <c r="D597" s="238"/>
      <c r="E597" s="238"/>
      <c r="F597" s="238"/>
      <c r="G597" s="239"/>
      <c r="H597" s="241"/>
      <c r="I597" s="244"/>
      <c r="J597" s="241"/>
      <c r="K597" s="237"/>
      <c r="L597" s="237"/>
      <c r="M597" s="237"/>
      <c r="N597" s="237"/>
      <c r="O597" s="237"/>
      <c r="P597" s="237"/>
      <c r="Q597" s="237"/>
      <c r="R597" s="237"/>
      <c r="S597" s="237"/>
      <c r="T597" s="237"/>
      <c r="U597" s="237"/>
      <c r="V597" s="237"/>
      <c r="W597" s="237"/>
      <c r="X597" s="237"/>
      <c r="Y597" s="237"/>
      <c r="Z597" s="237"/>
    </row>
    <row r="598" spans="1:26" ht="24.75" customHeight="1" x14ac:dyDescent="0.25">
      <c r="A598" s="236"/>
      <c r="B598" s="237"/>
      <c r="C598" s="236"/>
      <c r="D598" s="238"/>
      <c r="E598" s="238"/>
      <c r="F598" s="238"/>
      <c r="G598" s="239"/>
      <c r="H598" s="241"/>
      <c r="I598" s="244"/>
      <c r="J598" s="241"/>
      <c r="K598" s="237"/>
      <c r="L598" s="237"/>
      <c r="M598" s="237"/>
      <c r="N598" s="237"/>
      <c r="O598" s="237"/>
      <c r="P598" s="237"/>
      <c r="Q598" s="237"/>
      <c r="R598" s="237"/>
      <c r="S598" s="237"/>
      <c r="T598" s="237"/>
      <c r="U598" s="237"/>
      <c r="V598" s="237"/>
      <c r="W598" s="237"/>
      <c r="X598" s="237"/>
      <c r="Y598" s="237"/>
      <c r="Z598" s="237"/>
    </row>
    <row r="599" spans="1:26" ht="24.75" customHeight="1" x14ac:dyDescent="0.25">
      <c r="A599" s="236"/>
      <c r="B599" s="237"/>
      <c r="C599" s="236"/>
      <c r="D599" s="238"/>
      <c r="E599" s="238"/>
      <c r="F599" s="238"/>
      <c r="G599" s="239"/>
      <c r="H599" s="241"/>
      <c r="I599" s="244"/>
      <c r="J599" s="241"/>
      <c r="K599" s="237"/>
      <c r="L599" s="237"/>
      <c r="M599" s="237"/>
      <c r="N599" s="237"/>
      <c r="O599" s="237"/>
      <c r="P599" s="237"/>
      <c r="Q599" s="237"/>
      <c r="R599" s="237"/>
      <c r="S599" s="237"/>
      <c r="T599" s="237"/>
      <c r="U599" s="237"/>
      <c r="V599" s="237"/>
      <c r="W599" s="237"/>
      <c r="X599" s="237"/>
      <c r="Y599" s="237"/>
      <c r="Z599" s="237"/>
    </row>
    <row r="600" spans="1:26" ht="24.75" customHeight="1" x14ac:dyDescent="0.25">
      <c r="A600" s="236"/>
      <c r="B600" s="237"/>
      <c r="C600" s="236"/>
      <c r="D600" s="238"/>
      <c r="E600" s="238"/>
      <c r="F600" s="238"/>
      <c r="G600" s="239"/>
      <c r="H600" s="241"/>
      <c r="I600" s="244"/>
      <c r="J600" s="241"/>
      <c r="K600" s="237"/>
      <c r="L600" s="237"/>
      <c r="M600" s="237"/>
      <c r="N600" s="237"/>
      <c r="O600" s="237"/>
      <c r="P600" s="237"/>
      <c r="Q600" s="237"/>
      <c r="R600" s="237"/>
      <c r="S600" s="237"/>
      <c r="T600" s="237"/>
      <c r="U600" s="237"/>
      <c r="V600" s="237"/>
      <c r="W600" s="237"/>
      <c r="X600" s="237"/>
      <c r="Y600" s="237"/>
      <c r="Z600" s="237"/>
    </row>
    <row r="601" spans="1:26" ht="24.75" customHeight="1" x14ac:dyDescent="0.25">
      <c r="A601" s="236"/>
      <c r="B601" s="237"/>
      <c r="C601" s="236"/>
      <c r="D601" s="238"/>
      <c r="E601" s="238"/>
      <c r="F601" s="238"/>
      <c r="G601" s="239"/>
      <c r="H601" s="241"/>
      <c r="I601" s="244"/>
      <c r="J601" s="241"/>
      <c r="K601" s="237"/>
      <c r="L601" s="237"/>
      <c r="M601" s="237"/>
      <c r="N601" s="237"/>
      <c r="O601" s="237"/>
      <c r="P601" s="237"/>
      <c r="Q601" s="237"/>
      <c r="R601" s="237"/>
      <c r="S601" s="237"/>
      <c r="T601" s="237"/>
      <c r="U601" s="237"/>
      <c r="V601" s="237"/>
      <c r="W601" s="237"/>
      <c r="X601" s="237"/>
      <c r="Y601" s="237"/>
      <c r="Z601" s="237"/>
    </row>
    <row r="602" spans="1:26" ht="24.75" customHeight="1" x14ac:dyDescent="0.25">
      <c r="A602" s="236"/>
      <c r="B602" s="237"/>
      <c r="C602" s="236"/>
      <c r="D602" s="238"/>
      <c r="E602" s="238"/>
      <c r="F602" s="238"/>
      <c r="G602" s="239"/>
      <c r="H602" s="241"/>
      <c r="I602" s="244"/>
      <c r="J602" s="241"/>
      <c r="K602" s="237"/>
      <c r="L602" s="237"/>
      <c r="M602" s="237"/>
      <c r="N602" s="237"/>
      <c r="O602" s="237"/>
      <c r="P602" s="237"/>
      <c r="Q602" s="237"/>
      <c r="R602" s="237"/>
      <c r="S602" s="237"/>
      <c r="T602" s="237"/>
      <c r="U602" s="237"/>
      <c r="V602" s="237"/>
      <c r="W602" s="237"/>
      <c r="X602" s="237"/>
      <c r="Y602" s="237"/>
      <c r="Z602" s="237"/>
    </row>
    <row r="603" spans="1:26" ht="24.75" customHeight="1" x14ac:dyDescent="0.25">
      <c r="A603" s="236"/>
      <c r="B603" s="237"/>
      <c r="C603" s="236"/>
      <c r="D603" s="238"/>
      <c r="E603" s="238"/>
      <c r="F603" s="238"/>
      <c r="G603" s="239"/>
      <c r="H603" s="241"/>
      <c r="I603" s="244"/>
      <c r="J603" s="241"/>
      <c r="K603" s="237"/>
      <c r="L603" s="237"/>
      <c r="M603" s="237"/>
      <c r="N603" s="237"/>
      <c r="O603" s="237"/>
      <c r="P603" s="237"/>
      <c r="Q603" s="237"/>
      <c r="R603" s="237"/>
      <c r="S603" s="237"/>
      <c r="T603" s="237"/>
      <c r="U603" s="237"/>
      <c r="V603" s="237"/>
      <c r="W603" s="237"/>
      <c r="X603" s="237"/>
      <c r="Y603" s="237"/>
      <c r="Z603" s="237"/>
    </row>
    <row r="604" spans="1:26" ht="24.75" customHeight="1" x14ac:dyDescent="0.25">
      <c r="A604" s="236"/>
      <c r="B604" s="237"/>
      <c r="C604" s="236"/>
      <c r="D604" s="238"/>
      <c r="E604" s="238"/>
      <c r="F604" s="238"/>
      <c r="G604" s="239"/>
      <c r="H604" s="241"/>
      <c r="I604" s="244"/>
      <c r="J604" s="241"/>
      <c r="K604" s="237"/>
      <c r="L604" s="237"/>
      <c r="M604" s="237"/>
      <c r="N604" s="237"/>
      <c r="O604" s="237"/>
      <c r="P604" s="237"/>
      <c r="Q604" s="237"/>
      <c r="R604" s="237"/>
      <c r="S604" s="237"/>
      <c r="T604" s="237"/>
      <c r="U604" s="237"/>
      <c r="V604" s="237"/>
      <c r="W604" s="237"/>
      <c r="X604" s="237"/>
      <c r="Y604" s="237"/>
      <c r="Z604" s="237"/>
    </row>
    <row r="605" spans="1:26" ht="24.75" customHeight="1" x14ac:dyDescent="0.25">
      <c r="A605" s="236"/>
      <c r="B605" s="237"/>
      <c r="C605" s="236"/>
      <c r="D605" s="238"/>
      <c r="E605" s="238"/>
      <c r="F605" s="238"/>
      <c r="G605" s="239"/>
      <c r="H605" s="241"/>
      <c r="I605" s="244"/>
      <c r="J605" s="241"/>
      <c r="K605" s="237"/>
      <c r="L605" s="237"/>
      <c r="M605" s="237"/>
      <c r="N605" s="237"/>
      <c r="O605" s="237"/>
      <c r="P605" s="237"/>
      <c r="Q605" s="237"/>
      <c r="R605" s="237"/>
      <c r="S605" s="237"/>
      <c r="T605" s="237"/>
      <c r="U605" s="237"/>
      <c r="V605" s="237"/>
      <c r="W605" s="237"/>
      <c r="X605" s="237"/>
      <c r="Y605" s="237"/>
      <c r="Z605" s="237"/>
    </row>
    <row r="606" spans="1:26" ht="24.75" customHeight="1" x14ac:dyDescent="0.25">
      <c r="A606" s="236"/>
      <c r="B606" s="237"/>
      <c r="C606" s="236"/>
      <c r="D606" s="238"/>
      <c r="E606" s="238"/>
      <c r="F606" s="238"/>
      <c r="G606" s="239"/>
      <c r="H606" s="241"/>
      <c r="I606" s="244"/>
      <c r="J606" s="241"/>
      <c r="K606" s="237"/>
      <c r="L606" s="237"/>
      <c r="M606" s="237"/>
      <c r="N606" s="237"/>
      <c r="O606" s="237"/>
      <c r="P606" s="237"/>
      <c r="Q606" s="237"/>
      <c r="R606" s="237"/>
      <c r="S606" s="237"/>
      <c r="T606" s="237"/>
      <c r="U606" s="237"/>
      <c r="V606" s="237"/>
      <c r="W606" s="237"/>
      <c r="X606" s="237"/>
      <c r="Y606" s="237"/>
      <c r="Z606" s="237"/>
    </row>
    <row r="607" spans="1:26" ht="24.75" customHeight="1" x14ac:dyDescent="0.25">
      <c r="A607" s="236"/>
      <c r="B607" s="237"/>
      <c r="C607" s="236"/>
      <c r="D607" s="238"/>
      <c r="E607" s="238"/>
      <c r="F607" s="238"/>
      <c r="G607" s="239"/>
      <c r="H607" s="241"/>
      <c r="I607" s="244"/>
      <c r="J607" s="241"/>
      <c r="K607" s="237"/>
      <c r="L607" s="237"/>
      <c r="M607" s="237"/>
      <c r="N607" s="237"/>
      <c r="O607" s="237"/>
      <c r="P607" s="237"/>
      <c r="Q607" s="237"/>
      <c r="R607" s="237"/>
      <c r="S607" s="237"/>
      <c r="T607" s="237"/>
      <c r="U607" s="237"/>
      <c r="V607" s="237"/>
      <c r="W607" s="237"/>
      <c r="X607" s="237"/>
      <c r="Y607" s="237"/>
      <c r="Z607" s="237"/>
    </row>
    <row r="608" spans="1:26" ht="24.75" customHeight="1" x14ac:dyDescent="0.25">
      <c r="A608" s="236"/>
      <c r="B608" s="237"/>
      <c r="C608" s="236"/>
      <c r="D608" s="238"/>
      <c r="E608" s="238"/>
      <c r="F608" s="238"/>
      <c r="G608" s="239"/>
      <c r="H608" s="241"/>
      <c r="I608" s="244"/>
      <c r="J608" s="241"/>
      <c r="K608" s="237"/>
      <c r="L608" s="237"/>
      <c r="M608" s="237"/>
      <c r="N608" s="237"/>
      <c r="O608" s="237"/>
      <c r="P608" s="237"/>
      <c r="Q608" s="237"/>
      <c r="R608" s="237"/>
      <c r="S608" s="237"/>
      <c r="T608" s="237"/>
      <c r="U608" s="237"/>
      <c r="V608" s="237"/>
      <c r="W608" s="237"/>
      <c r="X608" s="237"/>
      <c r="Y608" s="237"/>
      <c r="Z608" s="237"/>
    </row>
    <row r="609" spans="1:26" ht="24.75" customHeight="1" x14ac:dyDescent="0.25">
      <c r="A609" s="236"/>
      <c r="B609" s="237"/>
      <c r="C609" s="236"/>
      <c r="D609" s="238"/>
      <c r="E609" s="238"/>
      <c r="F609" s="238"/>
      <c r="G609" s="239"/>
      <c r="H609" s="241"/>
      <c r="I609" s="244"/>
      <c r="J609" s="241"/>
      <c r="K609" s="237"/>
      <c r="L609" s="237"/>
      <c r="M609" s="237"/>
      <c r="N609" s="237"/>
      <c r="O609" s="237"/>
      <c r="P609" s="237"/>
      <c r="Q609" s="237"/>
      <c r="R609" s="237"/>
      <c r="S609" s="237"/>
      <c r="T609" s="237"/>
      <c r="U609" s="237"/>
      <c r="V609" s="237"/>
      <c r="W609" s="237"/>
      <c r="X609" s="237"/>
      <c r="Y609" s="237"/>
      <c r="Z609" s="237"/>
    </row>
    <row r="610" spans="1:26" ht="24.75" customHeight="1" x14ac:dyDescent="0.25">
      <c r="A610" s="236"/>
      <c r="B610" s="237"/>
      <c r="C610" s="236"/>
      <c r="D610" s="238"/>
      <c r="E610" s="238"/>
      <c r="F610" s="238"/>
      <c r="G610" s="239"/>
      <c r="H610" s="241"/>
      <c r="I610" s="244"/>
      <c r="J610" s="241"/>
      <c r="K610" s="237"/>
      <c r="L610" s="237"/>
      <c r="M610" s="237"/>
      <c r="N610" s="237"/>
      <c r="O610" s="237"/>
      <c r="P610" s="237"/>
      <c r="Q610" s="237"/>
      <c r="R610" s="237"/>
      <c r="S610" s="237"/>
      <c r="T610" s="237"/>
      <c r="U610" s="237"/>
      <c r="V610" s="237"/>
      <c r="W610" s="237"/>
      <c r="X610" s="237"/>
      <c r="Y610" s="237"/>
      <c r="Z610" s="237"/>
    </row>
    <row r="611" spans="1:26" ht="24.75" customHeight="1" x14ac:dyDescent="0.25">
      <c r="A611" s="236"/>
      <c r="B611" s="237"/>
      <c r="C611" s="236"/>
      <c r="D611" s="238"/>
      <c r="E611" s="238"/>
      <c r="F611" s="238"/>
      <c r="G611" s="239"/>
      <c r="H611" s="241"/>
      <c r="I611" s="244"/>
      <c r="J611" s="241"/>
      <c r="K611" s="237"/>
      <c r="L611" s="237"/>
      <c r="M611" s="237"/>
      <c r="N611" s="237"/>
      <c r="O611" s="237"/>
      <c r="P611" s="237"/>
      <c r="Q611" s="237"/>
      <c r="R611" s="237"/>
      <c r="S611" s="237"/>
      <c r="T611" s="237"/>
      <c r="U611" s="237"/>
      <c r="V611" s="237"/>
      <c r="W611" s="237"/>
      <c r="X611" s="237"/>
      <c r="Y611" s="237"/>
      <c r="Z611" s="237"/>
    </row>
    <row r="612" spans="1:26" ht="24.75" customHeight="1" x14ac:dyDescent="0.25">
      <c r="A612" s="236"/>
      <c r="B612" s="237"/>
      <c r="C612" s="236"/>
      <c r="D612" s="238"/>
      <c r="E612" s="238"/>
      <c r="F612" s="238"/>
      <c r="G612" s="239"/>
      <c r="H612" s="241"/>
      <c r="I612" s="244"/>
      <c r="J612" s="241"/>
      <c r="K612" s="237"/>
      <c r="L612" s="237"/>
      <c r="M612" s="237"/>
      <c r="N612" s="237"/>
      <c r="O612" s="237"/>
      <c r="P612" s="237"/>
      <c r="Q612" s="237"/>
      <c r="R612" s="237"/>
      <c r="S612" s="237"/>
      <c r="T612" s="237"/>
      <c r="U612" s="237"/>
      <c r="V612" s="237"/>
      <c r="W612" s="237"/>
      <c r="X612" s="237"/>
      <c r="Y612" s="237"/>
      <c r="Z612" s="237"/>
    </row>
    <row r="613" spans="1:26" ht="24.75" customHeight="1" x14ac:dyDescent="0.25">
      <c r="A613" s="236"/>
      <c r="B613" s="237"/>
      <c r="C613" s="236"/>
      <c r="D613" s="238"/>
      <c r="E613" s="238"/>
      <c r="F613" s="238"/>
      <c r="G613" s="239"/>
      <c r="H613" s="241"/>
      <c r="I613" s="244"/>
      <c r="J613" s="241"/>
      <c r="K613" s="237"/>
      <c r="L613" s="237"/>
      <c r="M613" s="237"/>
      <c r="N613" s="237"/>
      <c r="O613" s="237"/>
      <c r="P613" s="237"/>
      <c r="Q613" s="237"/>
      <c r="R613" s="237"/>
      <c r="S613" s="237"/>
      <c r="T613" s="237"/>
      <c r="U613" s="237"/>
      <c r="V613" s="237"/>
      <c r="W613" s="237"/>
      <c r="X613" s="237"/>
      <c r="Y613" s="237"/>
      <c r="Z613" s="237"/>
    </row>
    <row r="614" spans="1:26" ht="24.75" customHeight="1" x14ac:dyDescent="0.25">
      <c r="A614" s="236"/>
      <c r="B614" s="237"/>
      <c r="C614" s="236"/>
      <c r="D614" s="238"/>
      <c r="E614" s="238"/>
      <c r="F614" s="238"/>
      <c r="G614" s="239"/>
      <c r="H614" s="241"/>
      <c r="I614" s="244"/>
      <c r="J614" s="241"/>
      <c r="K614" s="237"/>
      <c r="L614" s="237"/>
      <c r="M614" s="237"/>
      <c r="N614" s="237"/>
      <c r="O614" s="237"/>
      <c r="P614" s="237"/>
      <c r="Q614" s="237"/>
      <c r="R614" s="237"/>
      <c r="S614" s="237"/>
      <c r="T614" s="237"/>
      <c r="U614" s="237"/>
      <c r="V614" s="237"/>
      <c r="W614" s="237"/>
      <c r="X614" s="237"/>
      <c r="Y614" s="237"/>
      <c r="Z614" s="237"/>
    </row>
    <row r="615" spans="1:26" ht="24.75" customHeight="1" x14ac:dyDescent="0.25">
      <c r="A615" s="236"/>
      <c r="B615" s="237"/>
      <c r="C615" s="236"/>
      <c r="D615" s="238"/>
      <c r="E615" s="238"/>
      <c r="F615" s="238"/>
      <c r="G615" s="239"/>
      <c r="H615" s="241"/>
      <c r="I615" s="244"/>
      <c r="J615" s="241"/>
      <c r="K615" s="237"/>
      <c r="L615" s="237"/>
      <c r="M615" s="237"/>
      <c r="N615" s="237"/>
      <c r="O615" s="237"/>
      <c r="P615" s="237"/>
      <c r="Q615" s="237"/>
      <c r="R615" s="237"/>
      <c r="S615" s="237"/>
      <c r="T615" s="237"/>
      <c r="U615" s="237"/>
      <c r="V615" s="237"/>
      <c r="W615" s="237"/>
      <c r="X615" s="237"/>
      <c r="Y615" s="237"/>
      <c r="Z615" s="237"/>
    </row>
    <row r="616" spans="1:26" ht="24.75" customHeight="1" x14ac:dyDescent="0.25">
      <c r="A616" s="236"/>
      <c r="B616" s="237"/>
      <c r="C616" s="236"/>
      <c r="D616" s="238"/>
      <c r="E616" s="238"/>
      <c r="F616" s="238"/>
      <c r="G616" s="239"/>
      <c r="H616" s="241"/>
      <c r="I616" s="244"/>
      <c r="J616" s="241"/>
      <c r="K616" s="237"/>
      <c r="L616" s="237"/>
      <c r="M616" s="237"/>
      <c r="N616" s="237"/>
      <c r="O616" s="237"/>
      <c r="P616" s="237"/>
      <c r="Q616" s="237"/>
      <c r="R616" s="237"/>
      <c r="S616" s="237"/>
      <c r="T616" s="237"/>
      <c r="U616" s="237"/>
      <c r="V616" s="237"/>
      <c r="W616" s="237"/>
      <c r="X616" s="237"/>
      <c r="Y616" s="237"/>
      <c r="Z616" s="237"/>
    </row>
    <row r="617" spans="1:26" ht="24.75" customHeight="1" x14ac:dyDescent="0.25">
      <c r="A617" s="236"/>
      <c r="B617" s="237"/>
      <c r="C617" s="236"/>
      <c r="D617" s="238"/>
      <c r="E617" s="238"/>
      <c r="F617" s="238"/>
      <c r="G617" s="239"/>
      <c r="H617" s="241"/>
      <c r="I617" s="244"/>
      <c r="J617" s="241"/>
      <c r="K617" s="237"/>
      <c r="L617" s="237"/>
      <c r="M617" s="237"/>
      <c r="N617" s="237"/>
      <c r="O617" s="237"/>
      <c r="P617" s="237"/>
      <c r="Q617" s="237"/>
      <c r="R617" s="237"/>
      <c r="S617" s="237"/>
      <c r="T617" s="237"/>
      <c r="U617" s="237"/>
      <c r="V617" s="237"/>
      <c r="W617" s="237"/>
      <c r="X617" s="237"/>
      <c r="Y617" s="237"/>
      <c r="Z617" s="237"/>
    </row>
    <row r="618" spans="1:26" ht="24.75" customHeight="1" x14ac:dyDescent="0.25">
      <c r="A618" s="236"/>
      <c r="B618" s="237"/>
      <c r="C618" s="236"/>
      <c r="D618" s="238"/>
      <c r="E618" s="238"/>
      <c r="F618" s="238"/>
      <c r="G618" s="239"/>
      <c r="H618" s="241"/>
      <c r="I618" s="244"/>
      <c r="J618" s="241"/>
      <c r="K618" s="237"/>
      <c r="L618" s="237"/>
      <c r="M618" s="237"/>
      <c r="N618" s="237"/>
      <c r="O618" s="237"/>
      <c r="P618" s="237"/>
      <c r="Q618" s="237"/>
      <c r="R618" s="237"/>
      <c r="S618" s="237"/>
      <c r="T618" s="237"/>
      <c r="U618" s="237"/>
      <c r="V618" s="237"/>
      <c r="W618" s="237"/>
      <c r="X618" s="237"/>
      <c r="Y618" s="237"/>
      <c r="Z618" s="237"/>
    </row>
    <row r="619" spans="1:26" ht="24.75" customHeight="1" x14ac:dyDescent="0.25">
      <c r="A619" s="236"/>
      <c r="B619" s="237"/>
      <c r="C619" s="236"/>
      <c r="D619" s="238"/>
      <c r="E619" s="238"/>
      <c r="F619" s="238"/>
      <c r="G619" s="239"/>
      <c r="H619" s="241"/>
      <c r="I619" s="244"/>
      <c r="J619" s="241"/>
      <c r="K619" s="237"/>
      <c r="L619" s="237"/>
      <c r="M619" s="237"/>
      <c r="N619" s="237"/>
      <c r="O619" s="237"/>
      <c r="P619" s="237"/>
      <c r="Q619" s="237"/>
      <c r="R619" s="237"/>
      <c r="S619" s="237"/>
      <c r="T619" s="237"/>
      <c r="U619" s="237"/>
      <c r="V619" s="237"/>
      <c r="W619" s="237"/>
      <c r="X619" s="237"/>
      <c r="Y619" s="237"/>
      <c r="Z619" s="237"/>
    </row>
    <row r="620" spans="1:26" ht="24.75" customHeight="1" x14ac:dyDescent="0.25">
      <c r="A620" s="236"/>
      <c r="B620" s="237"/>
      <c r="C620" s="236"/>
      <c r="D620" s="238"/>
      <c r="E620" s="238"/>
      <c r="F620" s="238"/>
      <c r="G620" s="239"/>
      <c r="H620" s="241"/>
      <c r="I620" s="244"/>
      <c r="J620" s="241"/>
      <c r="K620" s="237"/>
      <c r="L620" s="237"/>
      <c r="M620" s="237"/>
      <c r="N620" s="237"/>
      <c r="O620" s="237"/>
      <c r="P620" s="237"/>
      <c r="Q620" s="237"/>
      <c r="R620" s="237"/>
      <c r="S620" s="237"/>
      <c r="T620" s="237"/>
      <c r="U620" s="237"/>
      <c r="V620" s="237"/>
      <c r="W620" s="237"/>
      <c r="X620" s="237"/>
      <c r="Y620" s="237"/>
      <c r="Z620" s="237"/>
    </row>
    <row r="621" spans="1:26" ht="24.75" customHeight="1" x14ac:dyDescent="0.25">
      <c r="A621" s="236"/>
      <c r="B621" s="237"/>
      <c r="C621" s="236"/>
      <c r="D621" s="238"/>
      <c r="E621" s="238"/>
      <c r="F621" s="238"/>
      <c r="G621" s="239"/>
      <c r="H621" s="241"/>
      <c r="I621" s="244"/>
      <c r="J621" s="241"/>
      <c r="K621" s="237"/>
      <c r="L621" s="237"/>
      <c r="M621" s="237"/>
      <c r="N621" s="237"/>
      <c r="O621" s="237"/>
      <c r="P621" s="237"/>
      <c r="Q621" s="237"/>
      <c r="R621" s="237"/>
      <c r="S621" s="237"/>
      <c r="T621" s="237"/>
      <c r="U621" s="237"/>
      <c r="V621" s="237"/>
      <c r="W621" s="237"/>
      <c r="X621" s="237"/>
      <c r="Y621" s="237"/>
      <c r="Z621" s="237"/>
    </row>
    <row r="622" spans="1:26" ht="24.75" customHeight="1" x14ac:dyDescent="0.25">
      <c r="A622" s="236"/>
      <c r="B622" s="237"/>
      <c r="C622" s="236"/>
      <c r="D622" s="238"/>
      <c r="E622" s="238"/>
      <c r="F622" s="238"/>
      <c r="G622" s="239"/>
      <c r="H622" s="241"/>
      <c r="I622" s="244"/>
      <c r="J622" s="241"/>
      <c r="K622" s="237"/>
      <c r="L622" s="237"/>
      <c r="M622" s="237"/>
      <c r="N622" s="237"/>
      <c r="O622" s="237"/>
      <c r="P622" s="237"/>
      <c r="Q622" s="237"/>
      <c r="R622" s="237"/>
      <c r="S622" s="237"/>
      <c r="T622" s="237"/>
      <c r="U622" s="237"/>
      <c r="V622" s="237"/>
      <c r="W622" s="237"/>
      <c r="X622" s="237"/>
      <c r="Y622" s="237"/>
      <c r="Z622" s="237"/>
    </row>
    <row r="623" spans="1:26" ht="24.75" customHeight="1" x14ac:dyDescent="0.25">
      <c r="A623" s="236"/>
      <c r="B623" s="237"/>
      <c r="C623" s="236"/>
      <c r="D623" s="238"/>
      <c r="E623" s="238"/>
      <c r="F623" s="238"/>
      <c r="G623" s="239"/>
      <c r="H623" s="241"/>
      <c r="I623" s="244"/>
      <c r="J623" s="241"/>
      <c r="K623" s="237"/>
      <c r="L623" s="237"/>
      <c r="M623" s="237"/>
      <c r="N623" s="237"/>
      <c r="O623" s="237"/>
      <c r="P623" s="237"/>
      <c r="Q623" s="237"/>
      <c r="R623" s="237"/>
      <c r="S623" s="237"/>
      <c r="T623" s="237"/>
      <c r="U623" s="237"/>
      <c r="V623" s="237"/>
      <c r="W623" s="237"/>
      <c r="X623" s="237"/>
      <c r="Y623" s="237"/>
      <c r="Z623" s="237"/>
    </row>
    <row r="624" spans="1:26" ht="24.75" customHeight="1" x14ac:dyDescent="0.25">
      <c r="A624" s="236"/>
      <c r="B624" s="237"/>
      <c r="C624" s="236"/>
      <c r="D624" s="238"/>
      <c r="E624" s="238"/>
      <c r="F624" s="238"/>
      <c r="G624" s="239"/>
      <c r="H624" s="241"/>
      <c r="I624" s="244"/>
      <c r="J624" s="241"/>
      <c r="K624" s="237"/>
      <c r="L624" s="237"/>
      <c r="M624" s="237"/>
      <c r="N624" s="237"/>
      <c r="O624" s="237"/>
      <c r="P624" s="237"/>
      <c r="Q624" s="237"/>
      <c r="R624" s="237"/>
      <c r="S624" s="237"/>
      <c r="T624" s="237"/>
      <c r="U624" s="237"/>
      <c r="V624" s="237"/>
      <c r="W624" s="237"/>
      <c r="X624" s="237"/>
      <c r="Y624" s="237"/>
      <c r="Z624" s="237"/>
    </row>
    <row r="625" spans="1:26" ht="24.75" customHeight="1" x14ac:dyDescent="0.25">
      <c r="A625" s="236"/>
      <c r="B625" s="237"/>
      <c r="C625" s="236"/>
      <c r="D625" s="238"/>
      <c r="E625" s="238"/>
      <c r="F625" s="238"/>
      <c r="G625" s="239"/>
      <c r="H625" s="241"/>
      <c r="I625" s="244"/>
      <c r="J625" s="241"/>
      <c r="K625" s="237"/>
      <c r="L625" s="237"/>
      <c r="M625" s="237"/>
      <c r="N625" s="237"/>
      <c r="O625" s="237"/>
      <c r="P625" s="237"/>
      <c r="Q625" s="237"/>
      <c r="R625" s="237"/>
      <c r="S625" s="237"/>
      <c r="T625" s="237"/>
      <c r="U625" s="237"/>
      <c r="V625" s="237"/>
      <c r="W625" s="237"/>
      <c r="X625" s="237"/>
      <c r="Y625" s="237"/>
      <c r="Z625" s="237"/>
    </row>
    <row r="626" spans="1:26" ht="24.75" customHeight="1" x14ac:dyDescent="0.25">
      <c r="A626" s="236"/>
      <c r="B626" s="237"/>
      <c r="C626" s="236"/>
      <c r="D626" s="238"/>
      <c r="E626" s="238"/>
      <c r="F626" s="238"/>
      <c r="G626" s="239"/>
      <c r="H626" s="241"/>
      <c r="I626" s="244"/>
      <c r="J626" s="241"/>
      <c r="K626" s="237"/>
      <c r="L626" s="237"/>
      <c r="M626" s="237"/>
      <c r="N626" s="237"/>
      <c r="O626" s="237"/>
      <c r="P626" s="237"/>
      <c r="Q626" s="237"/>
      <c r="R626" s="237"/>
      <c r="S626" s="237"/>
      <c r="T626" s="237"/>
      <c r="U626" s="237"/>
      <c r="V626" s="237"/>
      <c r="W626" s="237"/>
      <c r="X626" s="237"/>
      <c r="Y626" s="237"/>
      <c r="Z626" s="237"/>
    </row>
    <row r="627" spans="1:26" ht="24.75" customHeight="1" x14ac:dyDescent="0.25">
      <c r="A627" s="236"/>
      <c r="B627" s="237"/>
      <c r="C627" s="236"/>
      <c r="D627" s="238"/>
      <c r="E627" s="238"/>
      <c r="F627" s="238"/>
      <c r="G627" s="239"/>
      <c r="H627" s="241"/>
      <c r="I627" s="244"/>
      <c r="J627" s="241"/>
      <c r="K627" s="237"/>
      <c r="L627" s="237"/>
      <c r="M627" s="237"/>
      <c r="N627" s="237"/>
      <c r="O627" s="237"/>
      <c r="P627" s="237"/>
      <c r="Q627" s="237"/>
      <c r="R627" s="237"/>
      <c r="S627" s="237"/>
      <c r="T627" s="237"/>
      <c r="U627" s="237"/>
      <c r="V627" s="237"/>
      <c r="W627" s="237"/>
      <c r="X627" s="237"/>
      <c r="Y627" s="237"/>
      <c r="Z627" s="237"/>
    </row>
    <row r="628" spans="1:26" ht="24.75" customHeight="1" x14ac:dyDescent="0.25">
      <c r="A628" s="236"/>
      <c r="B628" s="237"/>
      <c r="C628" s="236"/>
      <c r="D628" s="238"/>
      <c r="E628" s="238"/>
      <c r="F628" s="238"/>
      <c r="G628" s="239"/>
      <c r="H628" s="241"/>
      <c r="I628" s="244"/>
      <c r="J628" s="241"/>
      <c r="K628" s="237"/>
      <c r="L628" s="237"/>
      <c r="M628" s="237"/>
      <c r="N628" s="237"/>
      <c r="O628" s="237"/>
      <c r="P628" s="237"/>
      <c r="Q628" s="237"/>
      <c r="R628" s="237"/>
      <c r="S628" s="237"/>
      <c r="T628" s="237"/>
      <c r="U628" s="237"/>
      <c r="V628" s="237"/>
      <c r="W628" s="237"/>
      <c r="X628" s="237"/>
      <c r="Y628" s="237"/>
      <c r="Z628" s="237"/>
    </row>
    <row r="629" spans="1:26" ht="24.75" customHeight="1" x14ac:dyDescent="0.25">
      <c r="A629" s="236"/>
      <c r="B629" s="237"/>
      <c r="C629" s="236"/>
      <c r="D629" s="238"/>
      <c r="E629" s="238"/>
      <c r="F629" s="238"/>
      <c r="G629" s="239"/>
      <c r="H629" s="241"/>
      <c r="I629" s="244"/>
      <c r="J629" s="241"/>
      <c r="K629" s="237"/>
      <c r="L629" s="237"/>
      <c r="M629" s="237"/>
      <c r="N629" s="237"/>
      <c r="O629" s="237"/>
      <c r="P629" s="237"/>
      <c r="Q629" s="237"/>
      <c r="R629" s="237"/>
      <c r="S629" s="237"/>
      <c r="T629" s="237"/>
      <c r="U629" s="237"/>
      <c r="V629" s="237"/>
      <c r="W629" s="237"/>
      <c r="X629" s="237"/>
      <c r="Y629" s="237"/>
      <c r="Z629" s="237"/>
    </row>
    <row r="630" spans="1:26" ht="24.75" customHeight="1" x14ac:dyDescent="0.25">
      <c r="A630" s="236"/>
      <c r="B630" s="237"/>
      <c r="C630" s="236"/>
      <c r="D630" s="238"/>
      <c r="E630" s="238"/>
      <c r="F630" s="238"/>
      <c r="G630" s="239"/>
      <c r="H630" s="241"/>
      <c r="I630" s="244"/>
      <c r="J630" s="241"/>
      <c r="K630" s="237"/>
      <c r="L630" s="237"/>
      <c r="M630" s="237"/>
      <c r="N630" s="237"/>
      <c r="O630" s="237"/>
      <c r="P630" s="237"/>
      <c r="Q630" s="237"/>
      <c r="R630" s="237"/>
      <c r="S630" s="237"/>
      <c r="T630" s="237"/>
      <c r="U630" s="237"/>
      <c r="V630" s="237"/>
      <c r="W630" s="237"/>
      <c r="X630" s="237"/>
      <c r="Y630" s="237"/>
      <c r="Z630" s="237"/>
    </row>
    <row r="631" spans="1:26" ht="24.75" customHeight="1" x14ac:dyDescent="0.25">
      <c r="A631" s="236"/>
      <c r="B631" s="237"/>
      <c r="C631" s="236"/>
      <c r="D631" s="238"/>
      <c r="E631" s="238"/>
      <c r="F631" s="238"/>
      <c r="G631" s="239"/>
      <c r="H631" s="241"/>
      <c r="I631" s="244"/>
      <c r="J631" s="241"/>
      <c r="K631" s="237"/>
      <c r="L631" s="237"/>
      <c r="M631" s="237"/>
      <c r="N631" s="237"/>
      <c r="O631" s="237"/>
      <c r="P631" s="237"/>
      <c r="Q631" s="237"/>
      <c r="R631" s="237"/>
      <c r="S631" s="237"/>
      <c r="T631" s="237"/>
      <c r="U631" s="237"/>
      <c r="V631" s="237"/>
      <c r="W631" s="237"/>
      <c r="X631" s="237"/>
      <c r="Y631" s="237"/>
      <c r="Z631" s="237"/>
    </row>
    <row r="632" spans="1:26" ht="24.75" customHeight="1" x14ac:dyDescent="0.25">
      <c r="A632" s="236"/>
      <c r="B632" s="237"/>
      <c r="C632" s="236"/>
      <c r="D632" s="238"/>
      <c r="E632" s="238"/>
      <c r="F632" s="238"/>
      <c r="G632" s="239"/>
      <c r="H632" s="241"/>
      <c r="I632" s="244"/>
      <c r="J632" s="241"/>
      <c r="K632" s="237"/>
      <c r="L632" s="237"/>
      <c r="M632" s="237"/>
      <c r="N632" s="237"/>
      <c r="O632" s="237"/>
      <c r="P632" s="237"/>
      <c r="Q632" s="237"/>
      <c r="R632" s="237"/>
      <c r="S632" s="237"/>
      <c r="T632" s="237"/>
      <c r="U632" s="237"/>
      <c r="V632" s="237"/>
      <c r="W632" s="237"/>
      <c r="X632" s="237"/>
      <c r="Y632" s="237"/>
      <c r="Z632" s="237"/>
    </row>
    <row r="633" spans="1:26" ht="24.75" customHeight="1" x14ac:dyDescent="0.25">
      <c r="A633" s="236"/>
      <c r="B633" s="237"/>
      <c r="C633" s="236"/>
      <c r="D633" s="238"/>
      <c r="E633" s="238"/>
      <c r="F633" s="238"/>
      <c r="G633" s="239"/>
      <c r="H633" s="241"/>
      <c r="I633" s="244"/>
      <c r="J633" s="241"/>
      <c r="K633" s="237"/>
      <c r="L633" s="237"/>
      <c r="M633" s="237"/>
      <c r="N633" s="237"/>
      <c r="O633" s="237"/>
      <c r="P633" s="237"/>
      <c r="Q633" s="237"/>
      <c r="R633" s="237"/>
      <c r="S633" s="237"/>
      <c r="T633" s="237"/>
      <c r="U633" s="237"/>
      <c r="V633" s="237"/>
      <c r="W633" s="237"/>
      <c r="X633" s="237"/>
      <c r="Y633" s="237"/>
      <c r="Z633" s="237"/>
    </row>
    <row r="634" spans="1:26" ht="24.75" customHeight="1" x14ac:dyDescent="0.25">
      <c r="A634" s="236"/>
      <c r="B634" s="237"/>
      <c r="C634" s="236"/>
      <c r="D634" s="238"/>
      <c r="E634" s="238"/>
      <c r="F634" s="238"/>
      <c r="G634" s="239"/>
      <c r="H634" s="241"/>
      <c r="I634" s="244"/>
      <c r="J634" s="241"/>
      <c r="K634" s="237"/>
      <c r="L634" s="237"/>
      <c r="M634" s="237"/>
      <c r="N634" s="237"/>
      <c r="O634" s="237"/>
      <c r="P634" s="237"/>
      <c r="Q634" s="237"/>
      <c r="R634" s="237"/>
      <c r="S634" s="237"/>
      <c r="T634" s="237"/>
      <c r="U634" s="237"/>
      <c r="V634" s="237"/>
      <c r="W634" s="237"/>
      <c r="X634" s="237"/>
      <c r="Y634" s="237"/>
      <c r="Z634" s="237"/>
    </row>
    <row r="635" spans="1:26" ht="24.75" customHeight="1" x14ac:dyDescent="0.25">
      <c r="A635" s="236"/>
      <c r="B635" s="237"/>
      <c r="C635" s="236"/>
      <c r="D635" s="238"/>
      <c r="E635" s="238"/>
      <c r="F635" s="238"/>
      <c r="G635" s="239"/>
      <c r="H635" s="241"/>
      <c r="I635" s="244"/>
      <c r="J635" s="241"/>
      <c r="K635" s="237"/>
      <c r="L635" s="237"/>
      <c r="M635" s="237"/>
      <c r="N635" s="237"/>
      <c r="O635" s="237"/>
      <c r="P635" s="237"/>
      <c r="Q635" s="237"/>
      <c r="R635" s="237"/>
      <c r="S635" s="237"/>
      <c r="T635" s="237"/>
      <c r="U635" s="237"/>
      <c r="V635" s="237"/>
      <c r="W635" s="237"/>
      <c r="X635" s="237"/>
      <c r="Y635" s="237"/>
      <c r="Z635" s="237"/>
    </row>
    <row r="636" spans="1:26" ht="24.75" customHeight="1" x14ac:dyDescent="0.25">
      <c r="A636" s="236"/>
      <c r="B636" s="237"/>
      <c r="C636" s="236"/>
      <c r="D636" s="238"/>
      <c r="E636" s="238"/>
      <c r="F636" s="238"/>
      <c r="G636" s="239"/>
      <c r="H636" s="241"/>
      <c r="I636" s="244"/>
      <c r="J636" s="241"/>
      <c r="K636" s="237"/>
      <c r="L636" s="237"/>
      <c r="M636" s="237"/>
      <c r="N636" s="237"/>
      <c r="O636" s="237"/>
      <c r="P636" s="237"/>
      <c r="Q636" s="237"/>
      <c r="R636" s="237"/>
      <c r="S636" s="237"/>
      <c r="T636" s="237"/>
      <c r="U636" s="237"/>
      <c r="V636" s="237"/>
      <c r="W636" s="237"/>
      <c r="X636" s="237"/>
      <c r="Y636" s="237"/>
      <c r="Z636" s="237"/>
    </row>
    <row r="637" spans="1:26" ht="24.75" customHeight="1" x14ac:dyDescent="0.25">
      <c r="A637" s="236"/>
      <c r="B637" s="237"/>
      <c r="C637" s="236"/>
      <c r="D637" s="238"/>
      <c r="E637" s="238"/>
      <c r="F637" s="238"/>
      <c r="G637" s="239"/>
      <c r="H637" s="241"/>
      <c r="I637" s="244"/>
      <c r="J637" s="241"/>
      <c r="K637" s="237"/>
      <c r="L637" s="237"/>
      <c r="M637" s="237"/>
      <c r="N637" s="237"/>
      <c r="O637" s="237"/>
      <c r="P637" s="237"/>
      <c r="Q637" s="237"/>
      <c r="R637" s="237"/>
      <c r="S637" s="237"/>
      <c r="T637" s="237"/>
      <c r="U637" s="237"/>
      <c r="V637" s="237"/>
      <c r="W637" s="237"/>
      <c r="X637" s="237"/>
      <c r="Y637" s="237"/>
      <c r="Z637" s="237"/>
    </row>
    <row r="638" spans="1:26" ht="24.75" customHeight="1" x14ac:dyDescent="0.25">
      <c r="A638" s="236"/>
      <c r="B638" s="237"/>
      <c r="C638" s="236"/>
      <c r="D638" s="238"/>
      <c r="E638" s="238"/>
      <c r="F638" s="238"/>
      <c r="G638" s="239"/>
      <c r="H638" s="241"/>
      <c r="I638" s="244"/>
      <c r="J638" s="241"/>
      <c r="K638" s="237"/>
      <c r="L638" s="237"/>
      <c r="M638" s="237"/>
      <c r="N638" s="237"/>
      <c r="O638" s="237"/>
      <c r="P638" s="237"/>
      <c r="Q638" s="237"/>
      <c r="R638" s="237"/>
      <c r="S638" s="237"/>
      <c r="T638" s="237"/>
      <c r="U638" s="237"/>
      <c r="V638" s="237"/>
      <c r="W638" s="237"/>
      <c r="X638" s="237"/>
      <c r="Y638" s="237"/>
      <c r="Z638" s="237"/>
    </row>
    <row r="639" spans="1:26" ht="24.75" customHeight="1" x14ac:dyDescent="0.25">
      <c r="A639" s="236"/>
      <c r="B639" s="237"/>
      <c r="C639" s="236"/>
      <c r="D639" s="238"/>
      <c r="E639" s="238"/>
      <c r="F639" s="238"/>
      <c r="G639" s="239"/>
      <c r="H639" s="241"/>
      <c r="I639" s="244"/>
      <c r="J639" s="241"/>
      <c r="K639" s="237"/>
      <c r="L639" s="237"/>
      <c r="M639" s="237"/>
      <c r="N639" s="237"/>
      <c r="O639" s="237"/>
      <c r="P639" s="237"/>
      <c r="Q639" s="237"/>
      <c r="R639" s="237"/>
      <c r="S639" s="237"/>
      <c r="T639" s="237"/>
      <c r="U639" s="237"/>
      <c r="V639" s="237"/>
      <c r="W639" s="237"/>
      <c r="X639" s="237"/>
      <c r="Y639" s="237"/>
      <c r="Z639" s="237"/>
    </row>
    <row r="640" spans="1:26" ht="24.75" customHeight="1" x14ac:dyDescent="0.25">
      <c r="A640" s="236"/>
      <c r="B640" s="237"/>
      <c r="C640" s="236"/>
      <c r="D640" s="238"/>
      <c r="E640" s="238"/>
      <c r="F640" s="238"/>
      <c r="G640" s="239"/>
      <c r="H640" s="241"/>
      <c r="I640" s="244"/>
      <c r="J640" s="241"/>
      <c r="K640" s="237"/>
      <c r="L640" s="237"/>
      <c r="M640" s="237"/>
      <c r="N640" s="237"/>
      <c r="O640" s="237"/>
      <c r="P640" s="237"/>
      <c r="Q640" s="237"/>
      <c r="R640" s="237"/>
      <c r="S640" s="237"/>
      <c r="T640" s="237"/>
      <c r="U640" s="237"/>
      <c r="V640" s="237"/>
      <c r="W640" s="237"/>
      <c r="X640" s="237"/>
      <c r="Y640" s="237"/>
      <c r="Z640" s="237"/>
    </row>
    <row r="641" spans="1:26" ht="24.75" customHeight="1" x14ac:dyDescent="0.25">
      <c r="A641" s="236"/>
      <c r="B641" s="237"/>
      <c r="C641" s="236"/>
      <c r="D641" s="238"/>
      <c r="E641" s="238"/>
      <c r="F641" s="238"/>
      <c r="G641" s="239"/>
      <c r="H641" s="241"/>
      <c r="I641" s="244"/>
      <c r="J641" s="241"/>
      <c r="K641" s="237"/>
      <c r="L641" s="237"/>
      <c r="M641" s="237"/>
      <c r="N641" s="237"/>
      <c r="O641" s="237"/>
      <c r="P641" s="237"/>
      <c r="Q641" s="237"/>
      <c r="R641" s="237"/>
      <c r="S641" s="237"/>
      <c r="T641" s="237"/>
      <c r="U641" s="237"/>
      <c r="V641" s="237"/>
      <c r="W641" s="237"/>
      <c r="X641" s="237"/>
      <c r="Y641" s="237"/>
      <c r="Z641" s="237"/>
    </row>
    <row r="642" spans="1:26" ht="24.75" customHeight="1" x14ac:dyDescent="0.25">
      <c r="A642" s="236"/>
      <c r="B642" s="237"/>
      <c r="C642" s="236"/>
      <c r="D642" s="238"/>
      <c r="E642" s="238"/>
      <c r="F642" s="238"/>
      <c r="G642" s="239"/>
      <c r="H642" s="241"/>
      <c r="I642" s="244"/>
      <c r="J642" s="241"/>
      <c r="K642" s="237"/>
      <c r="L642" s="237"/>
      <c r="M642" s="237"/>
      <c r="N642" s="237"/>
      <c r="O642" s="237"/>
      <c r="P642" s="237"/>
      <c r="Q642" s="237"/>
      <c r="R642" s="237"/>
      <c r="S642" s="237"/>
      <c r="T642" s="237"/>
      <c r="U642" s="237"/>
      <c r="V642" s="237"/>
      <c r="W642" s="237"/>
      <c r="X642" s="237"/>
      <c r="Y642" s="237"/>
      <c r="Z642" s="237"/>
    </row>
    <row r="643" spans="1:26" ht="24.75" customHeight="1" x14ac:dyDescent="0.25">
      <c r="A643" s="236"/>
      <c r="B643" s="237"/>
      <c r="C643" s="236"/>
      <c r="D643" s="238"/>
      <c r="E643" s="238"/>
      <c r="F643" s="238"/>
      <c r="G643" s="239"/>
      <c r="H643" s="241"/>
      <c r="I643" s="244"/>
      <c r="J643" s="241"/>
      <c r="K643" s="237"/>
      <c r="L643" s="237"/>
      <c r="M643" s="237"/>
      <c r="N643" s="237"/>
      <c r="O643" s="237"/>
      <c r="P643" s="237"/>
      <c r="Q643" s="237"/>
      <c r="R643" s="237"/>
      <c r="S643" s="237"/>
      <c r="T643" s="237"/>
      <c r="U643" s="237"/>
      <c r="V643" s="237"/>
      <c r="W643" s="237"/>
      <c r="X643" s="237"/>
      <c r="Y643" s="237"/>
      <c r="Z643" s="237"/>
    </row>
    <row r="644" spans="1:26" ht="24.75" customHeight="1" x14ac:dyDescent="0.25">
      <c r="A644" s="236"/>
      <c r="B644" s="237"/>
      <c r="C644" s="236"/>
      <c r="D644" s="238"/>
      <c r="E644" s="238"/>
      <c r="F644" s="238"/>
      <c r="G644" s="239"/>
      <c r="H644" s="241"/>
      <c r="I644" s="244"/>
      <c r="J644" s="241"/>
      <c r="K644" s="237"/>
      <c r="L644" s="237"/>
      <c r="M644" s="237"/>
      <c r="N644" s="237"/>
      <c r="O644" s="237"/>
      <c r="P644" s="237"/>
      <c r="Q644" s="237"/>
      <c r="R644" s="237"/>
      <c r="S644" s="237"/>
      <c r="T644" s="237"/>
      <c r="U644" s="237"/>
      <c r="V644" s="237"/>
      <c r="W644" s="237"/>
      <c r="X644" s="237"/>
      <c r="Y644" s="237"/>
      <c r="Z644" s="237"/>
    </row>
    <row r="645" spans="1:26" ht="24.75" customHeight="1" x14ac:dyDescent="0.25">
      <c r="A645" s="236"/>
      <c r="B645" s="237"/>
      <c r="C645" s="236"/>
      <c r="D645" s="238"/>
      <c r="E645" s="238"/>
      <c r="F645" s="238"/>
      <c r="G645" s="239"/>
      <c r="H645" s="241"/>
      <c r="I645" s="244"/>
      <c r="J645" s="241"/>
      <c r="K645" s="237"/>
      <c r="L645" s="237"/>
      <c r="M645" s="237"/>
      <c r="N645" s="237"/>
      <c r="O645" s="237"/>
      <c r="P645" s="237"/>
      <c r="Q645" s="237"/>
      <c r="R645" s="237"/>
      <c r="S645" s="237"/>
      <c r="T645" s="237"/>
      <c r="U645" s="237"/>
      <c r="V645" s="237"/>
      <c r="W645" s="237"/>
      <c r="X645" s="237"/>
      <c r="Y645" s="237"/>
      <c r="Z645" s="237"/>
    </row>
    <row r="646" spans="1:26" ht="24.75" customHeight="1" x14ac:dyDescent="0.25">
      <c r="A646" s="236"/>
      <c r="B646" s="237"/>
      <c r="C646" s="236"/>
      <c r="D646" s="238"/>
      <c r="E646" s="238"/>
      <c r="F646" s="238"/>
      <c r="G646" s="239"/>
      <c r="H646" s="241"/>
      <c r="I646" s="244"/>
      <c r="J646" s="241"/>
      <c r="K646" s="237"/>
      <c r="L646" s="237"/>
      <c r="M646" s="237"/>
      <c r="N646" s="237"/>
      <c r="O646" s="237"/>
      <c r="P646" s="237"/>
      <c r="Q646" s="237"/>
      <c r="R646" s="237"/>
      <c r="S646" s="237"/>
      <c r="T646" s="237"/>
      <c r="U646" s="237"/>
      <c r="V646" s="237"/>
      <c r="W646" s="237"/>
      <c r="X646" s="237"/>
      <c r="Y646" s="237"/>
      <c r="Z646" s="237"/>
    </row>
    <row r="647" spans="1:26" ht="24.75" customHeight="1" x14ac:dyDescent="0.25">
      <c r="A647" s="236"/>
      <c r="B647" s="237"/>
      <c r="C647" s="236"/>
      <c r="D647" s="238"/>
      <c r="E647" s="238"/>
      <c r="F647" s="238"/>
      <c r="G647" s="239"/>
      <c r="H647" s="241"/>
      <c r="I647" s="244"/>
      <c r="J647" s="241"/>
      <c r="K647" s="237"/>
      <c r="L647" s="237"/>
      <c r="M647" s="237"/>
      <c r="N647" s="237"/>
      <c r="O647" s="237"/>
      <c r="P647" s="237"/>
      <c r="Q647" s="237"/>
      <c r="R647" s="237"/>
      <c r="S647" s="237"/>
      <c r="T647" s="237"/>
      <c r="U647" s="237"/>
      <c r="V647" s="237"/>
      <c r="W647" s="237"/>
      <c r="X647" s="237"/>
      <c r="Y647" s="237"/>
      <c r="Z647" s="237"/>
    </row>
    <row r="648" spans="1:26" ht="24.75" customHeight="1" x14ac:dyDescent="0.25">
      <c r="A648" s="236"/>
      <c r="B648" s="237"/>
      <c r="C648" s="236"/>
      <c r="D648" s="238"/>
      <c r="E648" s="238"/>
      <c r="F648" s="238"/>
      <c r="G648" s="239"/>
      <c r="H648" s="241"/>
      <c r="I648" s="244"/>
      <c r="J648" s="241"/>
      <c r="K648" s="237"/>
      <c r="L648" s="237"/>
      <c r="M648" s="237"/>
      <c r="N648" s="237"/>
      <c r="O648" s="237"/>
      <c r="P648" s="237"/>
      <c r="Q648" s="237"/>
      <c r="R648" s="237"/>
      <c r="S648" s="237"/>
      <c r="T648" s="237"/>
      <c r="U648" s="237"/>
      <c r="V648" s="237"/>
      <c r="W648" s="237"/>
      <c r="X648" s="237"/>
      <c r="Y648" s="237"/>
      <c r="Z648" s="237"/>
    </row>
    <row r="649" spans="1:26" ht="24.75" customHeight="1" x14ac:dyDescent="0.25">
      <c r="A649" s="236"/>
      <c r="B649" s="237"/>
      <c r="C649" s="236"/>
      <c r="D649" s="238"/>
      <c r="E649" s="238"/>
      <c r="F649" s="238"/>
      <c r="G649" s="239"/>
      <c r="H649" s="241"/>
      <c r="I649" s="244"/>
      <c r="J649" s="241"/>
      <c r="K649" s="237"/>
      <c r="L649" s="237"/>
      <c r="M649" s="237"/>
      <c r="N649" s="237"/>
      <c r="O649" s="237"/>
      <c r="P649" s="237"/>
      <c r="Q649" s="237"/>
      <c r="R649" s="237"/>
      <c r="S649" s="237"/>
      <c r="T649" s="237"/>
      <c r="U649" s="237"/>
      <c r="V649" s="237"/>
      <c r="W649" s="237"/>
      <c r="X649" s="237"/>
      <c r="Y649" s="237"/>
      <c r="Z649" s="237"/>
    </row>
    <row r="650" spans="1:26" ht="24.75" customHeight="1" x14ac:dyDescent="0.25">
      <c r="A650" s="236"/>
      <c r="B650" s="237"/>
      <c r="C650" s="236"/>
      <c r="D650" s="238"/>
      <c r="E650" s="238"/>
      <c r="F650" s="238"/>
      <c r="G650" s="239"/>
      <c r="H650" s="241"/>
      <c r="I650" s="244"/>
      <c r="J650" s="241"/>
      <c r="K650" s="237"/>
      <c r="L650" s="237"/>
      <c r="M650" s="237"/>
      <c r="N650" s="237"/>
      <c r="O650" s="237"/>
      <c r="P650" s="237"/>
      <c r="Q650" s="237"/>
      <c r="R650" s="237"/>
      <c r="S650" s="237"/>
      <c r="T650" s="237"/>
      <c r="U650" s="237"/>
      <c r="V650" s="237"/>
      <c r="W650" s="237"/>
      <c r="X650" s="237"/>
      <c r="Y650" s="237"/>
      <c r="Z650" s="237"/>
    </row>
    <row r="651" spans="1:26" ht="24.75" customHeight="1" x14ac:dyDescent="0.25">
      <c r="A651" s="236"/>
      <c r="B651" s="237"/>
      <c r="C651" s="236"/>
      <c r="D651" s="238"/>
      <c r="E651" s="238"/>
      <c r="F651" s="238"/>
      <c r="G651" s="239"/>
      <c r="H651" s="241"/>
      <c r="I651" s="244"/>
      <c r="J651" s="241"/>
      <c r="K651" s="237"/>
      <c r="L651" s="237"/>
      <c r="M651" s="237"/>
      <c r="N651" s="237"/>
      <c r="O651" s="237"/>
      <c r="P651" s="237"/>
      <c r="Q651" s="237"/>
      <c r="R651" s="237"/>
      <c r="S651" s="237"/>
      <c r="T651" s="237"/>
      <c r="U651" s="237"/>
      <c r="V651" s="237"/>
      <c r="W651" s="237"/>
      <c r="X651" s="237"/>
      <c r="Y651" s="237"/>
      <c r="Z651" s="237"/>
    </row>
    <row r="652" spans="1:26" ht="24.75" customHeight="1" x14ac:dyDescent="0.25">
      <c r="A652" s="236"/>
      <c r="B652" s="237"/>
      <c r="C652" s="236"/>
      <c r="D652" s="238"/>
      <c r="E652" s="238"/>
      <c r="F652" s="238"/>
      <c r="G652" s="239"/>
      <c r="H652" s="241"/>
      <c r="I652" s="244"/>
      <c r="J652" s="241"/>
      <c r="K652" s="237"/>
      <c r="L652" s="237"/>
      <c r="M652" s="237"/>
      <c r="N652" s="237"/>
      <c r="O652" s="237"/>
      <c r="P652" s="237"/>
      <c r="Q652" s="237"/>
      <c r="R652" s="237"/>
      <c r="S652" s="237"/>
      <c r="T652" s="237"/>
      <c r="U652" s="237"/>
      <c r="V652" s="237"/>
      <c r="W652" s="237"/>
      <c r="X652" s="237"/>
      <c r="Y652" s="237"/>
      <c r="Z652" s="237"/>
    </row>
    <row r="653" spans="1:26" ht="24.75" customHeight="1" x14ac:dyDescent="0.25">
      <c r="A653" s="236"/>
      <c r="B653" s="237"/>
      <c r="C653" s="236"/>
      <c r="D653" s="238"/>
      <c r="E653" s="238"/>
      <c r="F653" s="238"/>
      <c r="G653" s="239"/>
      <c r="H653" s="241"/>
      <c r="I653" s="244"/>
      <c r="J653" s="241"/>
      <c r="K653" s="237"/>
      <c r="L653" s="237"/>
      <c r="M653" s="237"/>
      <c r="N653" s="237"/>
      <c r="O653" s="237"/>
      <c r="P653" s="237"/>
      <c r="Q653" s="237"/>
      <c r="R653" s="237"/>
      <c r="S653" s="237"/>
      <c r="T653" s="237"/>
      <c r="U653" s="237"/>
      <c r="V653" s="237"/>
      <c r="W653" s="237"/>
      <c r="X653" s="237"/>
      <c r="Y653" s="237"/>
      <c r="Z653" s="237"/>
    </row>
    <row r="654" spans="1:26" ht="24.75" customHeight="1" x14ac:dyDescent="0.25">
      <c r="A654" s="236"/>
      <c r="B654" s="237"/>
      <c r="C654" s="236"/>
      <c r="D654" s="238"/>
      <c r="E654" s="238"/>
      <c r="F654" s="238"/>
      <c r="G654" s="239"/>
      <c r="H654" s="241"/>
      <c r="I654" s="244"/>
      <c r="J654" s="241"/>
      <c r="K654" s="237"/>
      <c r="L654" s="237"/>
      <c r="M654" s="237"/>
      <c r="N654" s="237"/>
      <c r="O654" s="237"/>
      <c r="P654" s="237"/>
      <c r="Q654" s="237"/>
      <c r="R654" s="237"/>
      <c r="S654" s="237"/>
      <c r="T654" s="237"/>
      <c r="U654" s="237"/>
      <c r="V654" s="237"/>
      <c r="W654" s="237"/>
      <c r="X654" s="237"/>
      <c r="Y654" s="237"/>
      <c r="Z654" s="237"/>
    </row>
    <row r="655" spans="1:26" ht="24.75" customHeight="1" x14ac:dyDescent="0.25">
      <c r="A655" s="236"/>
      <c r="B655" s="237"/>
      <c r="C655" s="236"/>
      <c r="D655" s="238"/>
      <c r="E655" s="238"/>
      <c r="F655" s="238"/>
      <c r="G655" s="239"/>
      <c r="H655" s="241"/>
      <c r="I655" s="244"/>
      <c r="J655" s="241"/>
      <c r="K655" s="237"/>
      <c r="L655" s="237"/>
      <c r="M655" s="237"/>
      <c r="N655" s="237"/>
      <c r="O655" s="237"/>
      <c r="P655" s="237"/>
      <c r="Q655" s="237"/>
      <c r="R655" s="237"/>
      <c r="S655" s="237"/>
      <c r="T655" s="237"/>
      <c r="U655" s="237"/>
      <c r="V655" s="237"/>
      <c r="W655" s="237"/>
      <c r="X655" s="237"/>
      <c r="Y655" s="237"/>
      <c r="Z655" s="237"/>
    </row>
    <row r="656" spans="1:26" ht="24.75" customHeight="1" x14ac:dyDescent="0.25">
      <c r="A656" s="236"/>
      <c r="B656" s="237"/>
      <c r="C656" s="236"/>
      <c r="D656" s="238"/>
      <c r="E656" s="238"/>
      <c r="F656" s="238"/>
      <c r="G656" s="239"/>
      <c r="H656" s="241"/>
      <c r="I656" s="244"/>
      <c r="J656" s="241"/>
      <c r="K656" s="237"/>
      <c r="L656" s="237"/>
      <c r="M656" s="237"/>
      <c r="N656" s="237"/>
      <c r="O656" s="237"/>
      <c r="P656" s="237"/>
      <c r="Q656" s="237"/>
      <c r="R656" s="237"/>
      <c r="S656" s="237"/>
      <c r="T656" s="237"/>
      <c r="U656" s="237"/>
      <c r="V656" s="237"/>
      <c r="W656" s="237"/>
      <c r="X656" s="237"/>
      <c r="Y656" s="237"/>
      <c r="Z656" s="237"/>
    </row>
    <row r="657" spans="1:26" ht="24.75" customHeight="1" x14ac:dyDescent="0.25">
      <c r="A657" s="236"/>
      <c r="B657" s="237"/>
      <c r="C657" s="236"/>
      <c r="D657" s="238"/>
      <c r="E657" s="238"/>
      <c r="F657" s="238"/>
      <c r="G657" s="239"/>
      <c r="H657" s="241"/>
      <c r="I657" s="244"/>
      <c r="J657" s="241"/>
      <c r="K657" s="237"/>
      <c r="L657" s="237"/>
      <c r="M657" s="237"/>
      <c r="N657" s="237"/>
      <c r="O657" s="237"/>
      <c r="P657" s="237"/>
      <c r="Q657" s="237"/>
      <c r="R657" s="237"/>
      <c r="S657" s="237"/>
      <c r="T657" s="237"/>
      <c r="U657" s="237"/>
      <c r="V657" s="237"/>
      <c r="W657" s="237"/>
      <c r="X657" s="237"/>
      <c r="Y657" s="237"/>
      <c r="Z657" s="237"/>
    </row>
    <row r="658" spans="1:26" ht="24.75" customHeight="1" x14ac:dyDescent="0.25">
      <c r="A658" s="236"/>
      <c r="B658" s="237"/>
      <c r="C658" s="236"/>
      <c r="D658" s="238"/>
      <c r="E658" s="238"/>
      <c r="F658" s="238"/>
      <c r="G658" s="239"/>
      <c r="H658" s="241"/>
      <c r="I658" s="244"/>
      <c r="J658" s="241"/>
      <c r="K658" s="237"/>
      <c r="L658" s="237"/>
      <c r="M658" s="237"/>
      <c r="N658" s="237"/>
      <c r="O658" s="237"/>
      <c r="P658" s="237"/>
      <c r="Q658" s="237"/>
      <c r="R658" s="237"/>
      <c r="S658" s="237"/>
      <c r="T658" s="237"/>
      <c r="U658" s="237"/>
      <c r="V658" s="237"/>
      <c r="W658" s="237"/>
      <c r="X658" s="237"/>
      <c r="Y658" s="237"/>
      <c r="Z658" s="237"/>
    </row>
    <row r="659" spans="1:26" ht="24.75" customHeight="1" x14ac:dyDescent="0.25">
      <c r="A659" s="236"/>
      <c r="B659" s="237"/>
      <c r="C659" s="236"/>
      <c r="D659" s="238"/>
      <c r="E659" s="238"/>
      <c r="F659" s="238"/>
      <c r="G659" s="239"/>
      <c r="H659" s="241"/>
      <c r="I659" s="244"/>
      <c r="J659" s="241"/>
      <c r="K659" s="237"/>
      <c r="L659" s="237"/>
      <c r="M659" s="237"/>
      <c r="N659" s="237"/>
      <c r="O659" s="237"/>
      <c r="P659" s="237"/>
      <c r="Q659" s="237"/>
      <c r="R659" s="237"/>
      <c r="S659" s="237"/>
      <c r="T659" s="237"/>
      <c r="U659" s="237"/>
      <c r="V659" s="237"/>
      <c r="W659" s="237"/>
      <c r="X659" s="237"/>
      <c r="Y659" s="237"/>
      <c r="Z659" s="237"/>
    </row>
    <row r="660" spans="1:26" ht="24.75" customHeight="1" x14ac:dyDescent="0.25">
      <c r="A660" s="236"/>
      <c r="B660" s="237"/>
      <c r="C660" s="236"/>
      <c r="D660" s="238"/>
      <c r="E660" s="238"/>
      <c r="F660" s="238"/>
      <c r="G660" s="239"/>
      <c r="H660" s="241"/>
      <c r="I660" s="244"/>
      <c r="J660" s="241"/>
      <c r="K660" s="237"/>
      <c r="L660" s="237"/>
      <c r="M660" s="237"/>
      <c r="N660" s="237"/>
      <c r="O660" s="237"/>
      <c r="P660" s="237"/>
      <c r="Q660" s="237"/>
      <c r="R660" s="237"/>
      <c r="S660" s="237"/>
      <c r="T660" s="237"/>
      <c r="U660" s="237"/>
      <c r="V660" s="237"/>
      <c r="W660" s="237"/>
      <c r="X660" s="237"/>
      <c r="Y660" s="237"/>
      <c r="Z660" s="237"/>
    </row>
    <row r="661" spans="1:26" ht="24.75" customHeight="1" x14ac:dyDescent="0.25">
      <c r="A661" s="236"/>
      <c r="B661" s="237"/>
      <c r="C661" s="236"/>
      <c r="D661" s="238"/>
      <c r="E661" s="238"/>
      <c r="F661" s="238"/>
      <c r="G661" s="239"/>
      <c r="H661" s="241"/>
      <c r="I661" s="244"/>
      <c r="J661" s="241"/>
      <c r="K661" s="237"/>
      <c r="L661" s="237"/>
      <c r="M661" s="237"/>
      <c r="N661" s="237"/>
      <c r="O661" s="237"/>
      <c r="P661" s="237"/>
      <c r="Q661" s="237"/>
      <c r="R661" s="237"/>
      <c r="S661" s="237"/>
      <c r="T661" s="237"/>
      <c r="U661" s="237"/>
      <c r="V661" s="237"/>
      <c r="W661" s="237"/>
      <c r="X661" s="237"/>
      <c r="Y661" s="237"/>
      <c r="Z661" s="237"/>
    </row>
    <row r="662" spans="1:26" ht="24.75" customHeight="1" x14ac:dyDescent="0.25">
      <c r="A662" s="236"/>
      <c r="B662" s="237"/>
      <c r="C662" s="236"/>
      <c r="D662" s="238"/>
      <c r="E662" s="238"/>
      <c r="F662" s="238"/>
      <c r="G662" s="239"/>
      <c r="H662" s="241"/>
      <c r="I662" s="244"/>
      <c r="J662" s="241"/>
      <c r="K662" s="237"/>
      <c r="L662" s="237"/>
      <c r="M662" s="237"/>
      <c r="N662" s="237"/>
      <c r="O662" s="237"/>
      <c r="P662" s="237"/>
      <c r="Q662" s="237"/>
      <c r="R662" s="237"/>
      <c r="S662" s="237"/>
      <c r="T662" s="237"/>
      <c r="U662" s="237"/>
      <c r="V662" s="237"/>
      <c r="W662" s="237"/>
      <c r="X662" s="237"/>
      <c r="Y662" s="237"/>
      <c r="Z662" s="237"/>
    </row>
    <row r="663" spans="1:26" ht="24.75" customHeight="1" x14ac:dyDescent="0.25">
      <c r="A663" s="236"/>
      <c r="B663" s="237"/>
      <c r="C663" s="236"/>
      <c r="D663" s="238"/>
      <c r="E663" s="238"/>
      <c r="F663" s="238"/>
      <c r="G663" s="239"/>
      <c r="H663" s="241"/>
      <c r="I663" s="244"/>
      <c r="J663" s="241"/>
      <c r="K663" s="237"/>
      <c r="L663" s="237"/>
      <c r="M663" s="237"/>
      <c r="N663" s="237"/>
      <c r="O663" s="237"/>
      <c r="P663" s="237"/>
      <c r="Q663" s="237"/>
      <c r="R663" s="237"/>
      <c r="S663" s="237"/>
      <c r="T663" s="237"/>
      <c r="U663" s="237"/>
      <c r="V663" s="237"/>
      <c r="W663" s="237"/>
      <c r="X663" s="237"/>
      <c r="Y663" s="237"/>
      <c r="Z663" s="237"/>
    </row>
    <row r="664" spans="1:26" ht="24.75" customHeight="1" x14ac:dyDescent="0.25">
      <c r="A664" s="236"/>
      <c r="B664" s="237"/>
      <c r="C664" s="236"/>
      <c r="D664" s="238"/>
      <c r="E664" s="238"/>
      <c r="F664" s="238"/>
      <c r="G664" s="239"/>
      <c r="H664" s="241"/>
      <c r="I664" s="244"/>
      <c r="J664" s="241"/>
      <c r="K664" s="237"/>
      <c r="L664" s="237"/>
      <c r="M664" s="237"/>
      <c r="N664" s="237"/>
      <c r="O664" s="237"/>
      <c r="P664" s="237"/>
      <c r="Q664" s="237"/>
      <c r="R664" s="237"/>
      <c r="S664" s="237"/>
      <c r="T664" s="237"/>
      <c r="U664" s="237"/>
      <c r="V664" s="237"/>
      <c r="W664" s="237"/>
      <c r="X664" s="237"/>
      <c r="Y664" s="237"/>
      <c r="Z664" s="237"/>
    </row>
    <row r="665" spans="1:26" ht="24.75" customHeight="1" x14ac:dyDescent="0.25">
      <c r="A665" s="236"/>
      <c r="B665" s="237"/>
      <c r="C665" s="236"/>
      <c r="D665" s="238"/>
      <c r="E665" s="238"/>
      <c r="F665" s="238"/>
      <c r="G665" s="239"/>
      <c r="H665" s="241"/>
      <c r="I665" s="244"/>
      <c r="J665" s="241"/>
      <c r="K665" s="237"/>
      <c r="L665" s="237"/>
      <c r="M665" s="237"/>
      <c r="N665" s="237"/>
      <c r="O665" s="237"/>
      <c r="P665" s="237"/>
      <c r="Q665" s="237"/>
      <c r="R665" s="237"/>
      <c r="S665" s="237"/>
      <c r="T665" s="237"/>
      <c r="U665" s="237"/>
      <c r="V665" s="237"/>
      <c r="W665" s="237"/>
      <c r="X665" s="237"/>
      <c r="Y665" s="237"/>
      <c r="Z665" s="237"/>
    </row>
    <row r="666" spans="1:26" ht="24.75" customHeight="1" x14ac:dyDescent="0.25">
      <c r="A666" s="236"/>
      <c r="B666" s="237"/>
      <c r="C666" s="236"/>
      <c r="D666" s="238"/>
      <c r="E666" s="238"/>
      <c r="F666" s="238"/>
      <c r="G666" s="239"/>
      <c r="H666" s="241"/>
      <c r="I666" s="244"/>
      <c r="J666" s="241"/>
      <c r="K666" s="237"/>
      <c r="L666" s="237"/>
      <c r="M666" s="237"/>
      <c r="N666" s="237"/>
      <c r="O666" s="237"/>
      <c r="P666" s="237"/>
      <c r="Q666" s="237"/>
      <c r="R666" s="237"/>
      <c r="S666" s="237"/>
      <c r="T666" s="237"/>
      <c r="U666" s="237"/>
      <c r="V666" s="237"/>
      <c r="W666" s="237"/>
      <c r="X666" s="237"/>
      <c r="Y666" s="237"/>
      <c r="Z666" s="237"/>
    </row>
    <row r="667" spans="1:26" ht="24.75" customHeight="1" x14ac:dyDescent="0.25">
      <c r="A667" s="236"/>
      <c r="B667" s="237"/>
      <c r="C667" s="236"/>
      <c r="D667" s="238"/>
      <c r="E667" s="238"/>
      <c r="F667" s="238"/>
      <c r="G667" s="239"/>
      <c r="H667" s="241"/>
      <c r="I667" s="244"/>
      <c r="J667" s="241"/>
      <c r="K667" s="237"/>
      <c r="L667" s="237"/>
      <c r="M667" s="237"/>
      <c r="N667" s="237"/>
      <c r="O667" s="237"/>
      <c r="P667" s="237"/>
      <c r="Q667" s="237"/>
      <c r="R667" s="237"/>
      <c r="S667" s="237"/>
      <c r="T667" s="237"/>
      <c r="U667" s="237"/>
      <c r="V667" s="237"/>
      <c r="W667" s="237"/>
      <c r="X667" s="237"/>
      <c r="Y667" s="237"/>
      <c r="Z667" s="237"/>
    </row>
    <row r="668" spans="1:26" ht="24.75" customHeight="1" x14ac:dyDescent="0.25">
      <c r="A668" s="236"/>
      <c r="B668" s="237"/>
      <c r="C668" s="236"/>
      <c r="D668" s="238"/>
      <c r="E668" s="238"/>
      <c r="F668" s="238"/>
      <c r="G668" s="239"/>
      <c r="H668" s="241"/>
      <c r="I668" s="244"/>
      <c r="J668" s="241"/>
      <c r="K668" s="237"/>
      <c r="L668" s="237"/>
      <c r="M668" s="237"/>
      <c r="N668" s="237"/>
      <c r="O668" s="237"/>
      <c r="P668" s="237"/>
      <c r="Q668" s="237"/>
      <c r="R668" s="237"/>
      <c r="S668" s="237"/>
      <c r="T668" s="237"/>
      <c r="U668" s="237"/>
      <c r="V668" s="237"/>
      <c r="W668" s="237"/>
      <c r="X668" s="237"/>
      <c r="Y668" s="237"/>
      <c r="Z668" s="237"/>
    </row>
    <row r="669" spans="1:26" ht="24.75" customHeight="1" x14ac:dyDescent="0.25">
      <c r="A669" s="236"/>
      <c r="B669" s="237"/>
      <c r="C669" s="236"/>
      <c r="D669" s="238"/>
      <c r="E669" s="238"/>
      <c r="F669" s="238"/>
      <c r="G669" s="239"/>
      <c r="H669" s="241"/>
      <c r="I669" s="244"/>
      <c r="J669" s="241"/>
      <c r="K669" s="237"/>
      <c r="L669" s="237"/>
      <c r="M669" s="237"/>
      <c r="N669" s="237"/>
      <c r="O669" s="237"/>
      <c r="P669" s="237"/>
      <c r="Q669" s="237"/>
      <c r="R669" s="237"/>
      <c r="S669" s="237"/>
      <c r="T669" s="237"/>
      <c r="U669" s="237"/>
      <c r="V669" s="237"/>
      <c r="W669" s="237"/>
      <c r="X669" s="237"/>
      <c r="Y669" s="237"/>
      <c r="Z669" s="237"/>
    </row>
    <row r="670" spans="1:26" ht="24.75" customHeight="1" x14ac:dyDescent="0.25">
      <c r="A670" s="236"/>
      <c r="B670" s="237"/>
      <c r="C670" s="236"/>
      <c r="D670" s="238"/>
      <c r="E670" s="238"/>
      <c r="F670" s="238"/>
      <c r="G670" s="239"/>
      <c r="H670" s="241"/>
      <c r="I670" s="244"/>
      <c r="J670" s="241"/>
      <c r="K670" s="237"/>
      <c r="L670" s="237"/>
      <c r="M670" s="237"/>
      <c r="N670" s="237"/>
      <c r="O670" s="237"/>
      <c r="P670" s="237"/>
      <c r="Q670" s="237"/>
      <c r="R670" s="237"/>
      <c r="S670" s="237"/>
      <c r="T670" s="237"/>
      <c r="U670" s="237"/>
      <c r="V670" s="237"/>
      <c r="W670" s="237"/>
      <c r="X670" s="237"/>
      <c r="Y670" s="237"/>
      <c r="Z670" s="237"/>
    </row>
    <row r="671" spans="1:26" ht="24.75" customHeight="1" x14ac:dyDescent="0.25">
      <c r="A671" s="236"/>
      <c r="B671" s="237"/>
      <c r="C671" s="236"/>
      <c r="D671" s="238"/>
      <c r="E671" s="238"/>
      <c r="F671" s="238"/>
      <c r="G671" s="239"/>
      <c r="H671" s="241"/>
      <c r="I671" s="244"/>
      <c r="J671" s="241"/>
      <c r="K671" s="237"/>
      <c r="L671" s="237"/>
      <c r="M671" s="237"/>
      <c r="N671" s="237"/>
      <c r="O671" s="237"/>
      <c r="P671" s="237"/>
      <c r="Q671" s="237"/>
      <c r="R671" s="237"/>
      <c r="S671" s="237"/>
      <c r="T671" s="237"/>
      <c r="U671" s="237"/>
      <c r="V671" s="237"/>
      <c r="W671" s="237"/>
      <c r="X671" s="237"/>
      <c r="Y671" s="237"/>
      <c r="Z671" s="237"/>
    </row>
    <row r="672" spans="1:26" ht="24.75" customHeight="1" x14ac:dyDescent="0.25">
      <c r="A672" s="236"/>
      <c r="B672" s="237"/>
      <c r="C672" s="236"/>
      <c r="D672" s="238"/>
      <c r="E672" s="238"/>
      <c r="F672" s="238"/>
      <c r="G672" s="239"/>
      <c r="H672" s="241"/>
      <c r="I672" s="244"/>
      <c r="J672" s="241"/>
      <c r="K672" s="237"/>
      <c r="L672" s="237"/>
      <c r="M672" s="237"/>
      <c r="N672" s="237"/>
      <c r="O672" s="237"/>
      <c r="P672" s="237"/>
      <c r="Q672" s="237"/>
      <c r="R672" s="237"/>
      <c r="S672" s="237"/>
      <c r="T672" s="237"/>
      <c r="U672" s="237"/>
      <c r="V672" s="237"/>
      <c r="W672" s="237"/>
      <c r="X672" s="237"/>
      <c r="Y672" s="237"/>
      <c r="Z672" s="237"/>
    </row>
    <row r="673" spans="1:26" ht="24.75" customHeight="1" x14ac:dyDescent="0.25">
      <c r="A673" s="236"/>
      <c r="B673" s="237"/>
      <c r="C673" s="236"/>
      <c r="D673" s="238"/>
      <c r="E673" s="238"/>
      <c r="F673" s="238"/>
      <c r="G673" s="239"/>
      <c r="H673" s="241"/>
      <c r="I673" s="244"/>
      <c r="J673" s="241"/>
      <c r="K673" s="237"/>
      <c r="L673" s="237"/>
      <c r="M673" s="237"/>
      <c r="N673" s="237"/>
      <c r="O673" s="237"/>
      <c r="P673" s="237"/>
      <c r="Q673" s="237"/>
      <c r="R673" s="237"/>
      <c r="S673" s="237"/>
      <c r="T673" s="237"/>
      <c r="U673" s="237"/>
      <c r="V673" s="237"/>
      <c r="W673" s="237"/>
      <c r="X673" s="237"/>
      <c r="Y673" s="237"/>
      <c r="Z673" s="237"/>
    </row>
    <row r="674" spans="1:26" ht="24.75" customHeight="1" x14ac:dyDescent="0.25">
      <c r="A674" s="236"/>
      <c r="B674" s="237"/>
      <c r="C674" s="236"/>
      <c r="D674" s="238"/>
      <c r="E674" s="238"/>
      <c r="F674" s="238"/>
      <c r="G674" s="239"/>
      <c r="H674" s="241"/>
      <c r="I674" s="244"/>
      <c r="J674" s="241"/>
      <c r="K674" s="237"/>
      <c r="L674" s="237"/>
      <c r="M674" s="237"/>
      <c r="N674" s="237"/>
      <c r="O674" s="237"/>
      <c r="P674" s="237"/>
      <c r="Q674" s="237"/>
      <c r="R674" s="237"/>
      <c r="S674" s="237"/>
      <c r="T674" s="237"/>
      <c r="U674" s="237"/>
      <c r="V674" s="237"/>
      <c r="W674" s="237"/>
      <c r="X674" s="237"/>
      <c r="Y674" s="237"/>
      <c r="Z674" s="237"/>
    </row>
    <row r="675" spans="1:26" ht="24.75" customHeight="1" x14ac:dyDescent="0.25">
      <c r="A675" s="236"/>
      <c r="B675" s="237"/>
      <c r="C675" s="236"/>
      <c r="D675" s="238"/>
      <c r="E675" s="238"/>
      <c r="F675" s="238"/>
      <c r="G675" s="239"/>
      <c r="H675" s="241"/>
      <c r="I675" s="244"/>
      <c r="J675" s="241"/>
      <c r="K675" s="237"/>
      <c r="L675" s="237"/>
      <c r="M675" s="237"/>
      <c r="N675" s="237"/>
      <c r="O675" s="237"/>
      <c r="P675" s="237"/>
      <c r="Q675" s="237"/>
      <c r="R675" s="237"/>
      <c r="S675" s="237"/>
      <c r="T675" s="237"/>
      <c r="U675" s="237"/>
      <c r="V675" s="237"/>
      <c r="W675" s="237"/>
      <c r="X675" s="237"/>
      <c r="Y675" s="237"/>
      <c r="Z675" s="237"/>
    </row>
    <row r="676" spans="1:26" ht="24.75" customHeight="1" x14ac:dyDescent="0.25">
      <c r="A676" s="236"/>
      <c r="B676" s="237"/>
      <c r="C676" s="236"/>
      <c r="D676" s="238"/>
      <c r="E676" s="238"/>
      <c r="F676" s="238"/>
      <c r="G676" s="239"/>
      <c r="H676" s="241"/>
      <c r="I676" s="244"/>
      <c r="J676" s="241"/>
      <c r="K676" s="237"/>
      <c r="L676" s="237"/>
      <c r="M676" s="237"/>
      <c r="N676" s="237"/>
      <c r="O676" s="237"/>
      <c r="P676" s="237"/>
      <c r="Q676" s="237"/>
      <c r="R676" s="237"/>
      <c r="S676" s="237"/>
      <c r="T676" s="237"/>
      <c r="U676" s="237"/>
      <c r="V676" s="237"/>
      <c r="W676" s="237"/>
      <c r="X676" s="237"/>
      <c r="Y676" s="237"/>
      <c r="Z676" s="237"/>
    </row>
    <row r="677" spans="1:26" ht="24.75" customHeight="1" x14ac:dyDescent="0.25">
      <c r="A677" s="236"/>
      <c r="B677" s="237"/>
      <c r="C677" s="236"/>
      <c r="D677" s="238"/>
      <c r="E677" s="238"/>
      <c r="F677" s="238"/>
      <c r="G677" s="239"/>
      <c r="H677" s="241"/>
      <c r="I677" s="244"/>
      <c r="J677" s="241"/>
      <c r="K677" s="237"/>
      <c r="L677" s="237"/>
      <c r="M677" s="237"/>
      <c r="N677" s="237"/>
      <c r="O677" s="237"/>
      <c r="P677" s="237"/>
      <c r="Q677" s="237"/>
      <c r="R677" s="237"/>
      <c r="S677" s="237"/>
      <c r="T677" s="237"/>
      <c r="U677" s="237"/>
      <c r="V677" s="237"/>
      <c r="W677" s="237"/>
      <c r="X677" s="237"/>
      <c r="Y677" s="237"/>
      <c r="Z677" s="237"/>
    </row>
    <row r="678" spans="1:26" ht="24.75" customHeight="1" x14ac:dyDescent="0.25">
      <c r="A678" s="236"/>
      <c r="B678" s="237"/>
      <c r="C678" s="236"/>
      <c r="D678" s="238"/>
      <c r="E678" s="238"/>
      <c r="F678" s="238"/>
      <c r="G678" s="239"/>
      <c r="H678" s="241"/>
      <c r="I678" s="244"/>
      <c r="J678" s="241"/>
      <c r="K678" s="237"/>
      <c r="L678" s="237"/>
      <c r="M678" s="237"/>
      <c r="N678" s="237"/>
      <c r="O678" s="237"/>
      <c r="P678" s="237"/>
      <c r="Q678" s="237"/>
      <c r="R678" s="237"/>
      <c r="S678" s="237"/>
      <c r="T678" s="237"/>
      <c r="U678" s="237"/>
      <c r="V678" s="237"/>
      <c r="W678" s="237"/>
      <c r="X678" s="237"/>
      <c r="Y678" s="237"/>
      <c r="Z678" s="237"/>
    </row>
    <row r="679" spans="1:26" ht="24.75" customHeight="1" x14ac:dyDescent="0.25">
      <c r="A679" s="236"/>
      <c r="B679" s="237"/>
      <c r="C679" s="236"/>
      <c r="D679" s="238"/>
      <c r="E679" s="238"/>
      <c r="F679" s="238"/>
      <c r="G679" s="239"/>
      <c r="H679" s="241"/>
      <c r="I679" s="244"/>
      <c r="J679" s="241"/>
      <c r="K679" s="237"/>
      <c r="L679" s="237"/>
      <c r="M679" s="237"/>
      <c r="N679" s="237"/>
      <c r="O679" s="237"/>
      <c r="P679" s="237"/>
      <c r="Q679" s="237"/>
      <c r="R679" s="237"/>
      <c r="S679" s="237"/>
      <c r="T679" s="237"/>
      <c r="U679" s="237"/>
      <c r="V679" s="237"/>
      <c r="W679" s="237"/>
      <c r="X679" s="237"/>
      <c r="Y679" s="237"/>
      <c r="Z679" s="237"/>
    </row>
    <row r="680" spans="1:26" ht="24.75" customHeight="1" x14ac:dyDescent="0.25">
      <c r="A680" s="236"/>
      <c r="B680" s="237"/>
      <c r="C680" s="236"/>
      <c r="D680" s="238"/>
      <c r="E680" s="238"/>
      <c r="F680" s="238"/>
      <c r="G680" s="239"/>
      <c r="H680" s="241"/>
      <c r="I680" s="244"/>
      <c r="J680" s="241"/>
      <c r="K680" s="237"/>
      <c r="L680" s="237"/>
      <c r="M680" s="237"/>
      <c r="N680" s="237"/>
      <c r="O680" s="237"/>
      <c r="P680" s="237"/>
      <c r="Q680" s="237"/>
      <c r="R680" s="237"/>
      <c r="S680" s="237"/>
      <c r="T680" s="237"/>
      <c r="U680" s="237"/>
      <c r="V680" s="237"/>
      <c r="W680" s="237"/>
      <c r="X680" s="237"/>
      <c r="Y680" s="237"/>
      <c r="Z680" s="237"/>
    </row>
    <row r="681" spans="1:26" ht="24.75" customHeight="1" x14ac:dyDescent="0.25">
      <c r="A681" s="236"/>
      <c r="B681" s="237"/>
      <c r="C681" s="236"/>
      <c r="D681" s="238"/>
      <c r="E681" s="238"/>
      <c r="F681" s="238"/>
      <c r="G681" s="239"/>
      <c r="H681" s="241"/>
      <c r="I681" s="244"/>
      <c r="J681" s="241"/>
      <c r="K681" s="237"/>
      <c r="L681" s="237"/>
      <c r="M681" s="237"/>
      <c r="N681" s="237"/>
      <c r="O681" s="237"/>
      <c r="P681" s="237"/>
      <c r="Q681" s="237"/>
      <c r="R681" s="237"/>
      <c r="S681" s="237"/>
      <c r="T681" s="237"/>
      <c r="U681" s="237"/>
      <c r="V681" s="237"/>
      <c r="W681" s="237"/>
      <c r="X681" s="237"/>
      <c r="Y681" s="237"/>
      <c r="Z681" s="237"/>
    </row>
    <row r="682" spans="1:26" ht="24.75" customHeight="1" x14ac:dyDescent="0.25">
      <c r="A682" s="236"/>
      <c r="B682" s="237"/>
      <c r="C682" s="236"/>
      <c r="D682" s="238"/>
      <c r="E682" s="238"/>
      <c r="F682" s="238"/>
      <c r="G682" s="239"/>
      <c r="H682" s="241"/>
      <c r="I682" s="244"/>
      <c r="J682" s="241"/>
      <c r="K682" s="237"/>
      <c r="L682" s="237"/>
      <c r="M682" s="237"/>
      <c r="N682" s="237"/>
      <c r="O682" s="237"/>
      <c r="P682" s="237"/>
      <c r="Q682" s="237"/>
      <c r="R682" s="237"/>
      <c r="S682" s="237"/>
      <c r="T682" s="237"/>
      <c r="U682" s="237"/>
      <c r="V682" s="237"/>
      <c r="W682" s="237"/>
      <c r="X682" s="237"/>
      <c r="Y682" s="237"/>
      <c r="Z682" s="237"/>
    </row>
    <row r="683" spans="1:26" ht="24.75" customHeight="1" x14ac:dyDescent="0.25">
      <c r="A683" s="236"/>
      <c r="B683" s="237"/>
      <c r="C683" s="236"/>
      <c r="D683" s="238"/>
      <c r="E683" s="238"/>
      <c r="F683" s="238"/>
      <c r="G683" s="239"/>
      <c r="H683" s="241"/>
      <c r="I683" s="244"/>
      <c r="J683" s="241"/>
      <c r="K683" s="237"/>
      <c r="L683" s="237"/>
      <c r="M683" s="237"/>
      <c r="N683" s="237"/>
      <c r="O683" s="237"/>
      <c r="P683" s="237"/>
      <c r="Q683" s="237"/>
      <c r="R683" s="237"/>
      <c r="S683" s="237"/>
      <c r="T683" s="237"/>
      <c r="U683" s="237"/>
      <c r="V683" s="237"/>
      <c r="W683" s="237"/>
      <c r="X683" s="237"/>
      <c r="Y683" s="237"/>
      <c r="Z683" s="237"/>
    </row>
    <row r="684" spans="1:26" ht="24.75" customHeight="1" x14ac:dyDescent="0.25">
      <c r="A684" s="236"/>
      <c r="B684" s="237"/>
      <c r="C684" s="236"/>
      <c r="D684" s="238"/>
      <c r="E684" s="238"/>
      <c r="F684" s="238"/>
      <c r="G684" s="239"/>
      <c r="H684" s="241"/>
      <c r="I684" s="244"/>
      <c r="J684" s="241"/>
      <c r="K684" s="237"/>
      <c r="L684" s="237"/>
      <c r="M684" s="237"/>
      <c r="N684" s="237"/>
      <c r="O684" s="237"/>
      <c r="P684" s="237"/>
      <c r="Q684" s="237"/>
      <c r="R684" s="237"/>
      <c r="S684" s="237"/>
      <c r="T684" s="237"/>
      <c r="U684" s="237"/>
      <c r="V684" s="237"/>
      <c r="W684" s="237"/>
      <c r="X684" s="237"/>
      <c r="Y684" s="237"/>
      <c r="Z684" s="237"/>
    </row>
    <row r="685" spans="1:26" ht="24.75" customHeight="1" x14ac:dyDescent="0.25">
      <c r="A685" s="236"/>
      <c r="B685" s="237"/>
      <c r="C685" s="236"/>
      <c r="D685" s="238"/>
      <c r="E685" s="238"/>
      <c r="F685" s="238"/>
      <c r="G685" s="239"/>
      <c r="H685" s="241"/>
      <c r="I685" s="244"/>
      <c r="J685" s="241"/>
      <c r="K685" s="237"/>
      <c r="L685" s="237"/>
      <c r="M685" s="237"/>
      <c r="N685" s="237"/>
      <c r="O685" s="237"/>
      <c r="P685" s="237"/>
      <c r="Q685" s="237"/>
      <c r="R685" s="237"/>
      <c r="S685" s="237"/>
      <c r="T685" s="237"/>
      <c r="U685" s="237"/>
      <c r="V685" s="237"/>
      <c r="W685" s="237"/>
      <c r="X685" s="237"/>
      <c r="Y685" s="237"/>
      <c r="Z685" s="237"/>
    </row>
    <row r="686" spans="1:26" ht="24.75" customHeight="1" x14ac:dyDescent="0.25">
      <c r="A686" s="236"/>
      <c r="B686" s="237"/>
      <c r="C686" s="236"/>
      <c r="D686" s="238"/>
      <c r="E686" s="238"/>
      <c r="F686" s="238"/>
      <c r="G686" s="239"/>
      <c r="H686" s="241"/>
      <c r="I686" s="244"/>
      <c r="J686" s="241"/>
      <c r="K686" s="237"/>
      <c r="L686" s="237"/>
      <c r="M686" s="237"/>
      <c r="N686" s="237"/>
      <c r="O686" s="237"/>
      <c r="P686" s="237"/>
      <c r="Q686" s="237"/>
      <c r="R686" s="237"/>
      <c r="S686" s="237"/>
      <c r="T686" s="237"/>
      <c r="U686" s="237"/>
      <c r="V686" s="237"/>
      <c r="W686" s="237"/>
      <c r="X686" s="237"/>
      <c r="Y686" s="237"/>
      <c r="Z686" s="237"/>
    </row>
    <row r="687" spans="1:26" ht="24.75" customHeight="1" x14ac:dyDescent="0.25">
      <c r="A687" s="236"/>
      <c r="B687" s="237"/>
      <c r="C687" s="236"/>
      <c r="D687" s="238"/>
      <c r="E687" s="238"/>
      <c r="F687" s="238"/>
      <c r="G687" s="239"/>
      <c r="H687" s="241"/>
      <c r="I687" s="244"/>
      <c r="J687" s="241"/>
      <c r="K687" s="237"/>
      <c r="L687" s="237"/>
      <c r="M687" s="237"/>
      <c r="N687" s="237"/>
      <c r="O687" s="237"/>
      <c r="P687" s="237"/>
      <c r="Q687" s="237"/>
      <c r="R687" s="237"/>
      <c r="S687" s="237"/>
      <c r="T687" s="237"/>
      <c r="U687" s="237"/>
      <c r="V687" s="237"/>
      <c r="W687" s="237"/>
      <c r="X687" s="237"/>
      <c r="Y687" s="237"/>
      <c r="Z687" s="237"/>
    </row>
    <row r="688" spans="1:26" ht="24.75" customHeight="1" x14ac:dyDescent="0.25">
      <c r="A688" s="236"/>
      <c r="B688" s="237"/>
      <c r="C688" s="236"/>
      <c r="D688" s="238"/>
      <c r="E688" s="238"/>
      <c r="F688" s="238"/>
      <c r="G688" s="239"/>
      <c r="H688" s="241"/>
      <c r="I688" s="244"/>
      <c r="J688" s="241"/>
      <c r="K688" s="237"/>
      <c r="L688" s="237"/>
      <c r="M688" s="237"/>
      <c r="N688" s="237"/>
      <c r="O688" s="237"/>
      <c r="P688" s="237"/>
      <c r="Q688" s="237"/>
      <c r="R688" s="237"/>
      <c r="S688" s="237"/>
      <c r="T688" s="237"/>
      <c r="U688" s="237"/>
      <c r="V688" s="237"/>
      <c r="W688" s="237"/>
      <c r="X688" s="237"/>
      <c r="Y688" s="237"/>
      <c r="Z688" s="237"/>
    </row>
    <row r="689" spans="1:26" ht="24.75" customHeight="1" x14ac:dyDescent="0.25">
      <c r="A689" s="236"/>
      <c r="B689" s="237"/>
      <c r="C689" s="236"/>
      <c r="D689" s="238"/>
      <c r="E689" s="238"/>
      <c r="F689" s="238"/>
      <c r="G689" s="239"/>
      <c r="H689" s="241"/>
      <c r="I689" s="244"/>
      <c r="J689" s="241"/>
      <c r="K689" s="237"/>
      <c r="L689" s="237"/>
      <c r="M689" s="237"/>
      <c r="N689" s="237"/>
      <c r="O689" s="237"/>
      <c r="P689" s="237"/>
      <c r="Q689" s="237"/>
      <c r="R689" s="237"/>
      <c r="S689" s="237"/>
      <c r="T689" s="237"/>
      <c r="U689" s="237"/>
      <c r="V689" s="237"/>
      <c r="W689" s="237"/>
      <c r="X689" s="237"/>
      <c r="Y689" s="237"/>
      <c r="Z689" s="237"/>
    </row>
    <row r="690" spans="1:26" ht="24.75" customHeight="1" x14ac:dyDescent="0.25">
      <c r="A690" s="236"/>
      <c r="B690" s="237"/>
      <c r="C690" s="236"/>
      <c r="D690" s="238"/>
      <c r="E690" s="238"/>
      <c r="F690" s="238"/>
      <c r="G690" s="239"/>
      <c r="H690" s="241"/>
      <c r="I690" s="244"/>
      <c r="J690" s="241"/>
      <c r="K690" s="237"/>
      <c r="L690" s="237"/>
      <c r="M690" s="237"/>
      <c r="N690" s="237"/>
      <c r="O690" s="237"/>
      <c r="P690" s="237"/>
      <c r="Q690" s="237"/>
      <c r="R690" s="237"/>
      <c r="S690" s="237"/>
      <c r="T690" s="237"/>
      <c r="U690" s="237"/>
      <c r="V690" s="237"/>
      <c r="W690" s="237"/>
      <c r="X690" s="237"/>
      <c r="Y690" s="237"/>
      <c r="Z690" s="237"/>
    </row>
    <row r="691" spans="1:26" ht="24.75" customHeight="1" x14ac:dyDescent="0.25">
      <c r="A691" s="236"/>
      <c r="B691" s="237"/>
      <c r="C691" s="236"/>
      <c r="D691" s="238"/>
      <c r="E691" s="238"/>
      <c r="F691" s="238"/>
      <c r="G691" s="239"/>
      <c r="H691" s="241"/>
      <c r="I691" s="244"/>
      <c r="J691" s="241"/>
      <c r="K691" s="237"/>
      <c r="L691" s="237"/>
      <c r="M691" s="237"/>
      <c r="N691" s="237"/>
      <c r="O691" s="237"/>
      <c r="P691" s="237"/>
      <c r="Q691" s="237"/>
      <c r="R691" s="237"/>
      <c r="S691" s="237"/>
      <c r="T691" s="237"/>
      <c r="U691" s="237"/>
      <c r="V691" s="237"/>
      <c r="W691" s="237"/>
      <c r="X691" s="237"/>
      <c r="Y691" s="237"/>
      <c r="Z691" s="237"/>
    </row>
    <row r="692" spans="1:26" ht="24.75" customHeight="1" x14ac:dyDescent="0.25">
      <c r="A692" s="236"/>
      <c r="B692" s="237"/>
      <c r="C692" s="236"/>
      <c r="D692" s="238"/>
      <c r="E692" s="238"/>
      <c r="F692" s="238"/>
      <c r="G692" s="239"/>
      <c r="H692" s="241"/>
      <c r="I692" s="244"/>
      <c r="J692" s="241"/>
      <c r="K692" s="237"/>
      <c r="L692" s="237"/>
      <c r="M692" s="237"/>
      <c r="N692" s="237"/>
      <c r="O692" s="237"/>
      <c r="P692" s="237"/>
      <c r="Q692" s="237"/>
      <c r="R692" s="237"/>
      <c r="S692" s="237"/>
      <c r="T692" s="237"/>
      <c r="U692" s="237"/>
      <c r="V692" s="237"/>
      <c r="W692" s="237"/>
      <c r="X692" s="237"/>
      <c r="Y692" s="237"/>
      <c r="Z692" s="237"/>
    </row>
    <row r="693" spans="1:26" ht="24.75" customHeight="1" x14ac:dyDescent="0.25">
      <c r="A693" s="236"/>
      <c r="B693" s="237"/>
      <c r="C693" s="236"/>
      <c r="D693" s="238"/>
      <c r="E693" s="238"/>
      <c r="F693" s="238"/>
      <c r="G693" s="239"/>
      <c r="H693" s="241"/>
      <c r="I693" s="244"/>
      <c r="J693" s="241"/>
      <c r="K693" s="237"/>
      <c r="L693" s="237"/>
      <c r="M693" s="237"/>
      <c r="N693" s="237"/>
      <c r="O693" s="237"/>
      <c r="P693" s="237"/>
      <c r="Q693" s="237"/>
      <c r="R693" s="237"/>
      <c r="S693" s="237"/>
      <c r="T693" s="237"/>
      <c r="U693" s="237"/>
      <c r="V693" s="237"/>
      <c r="W693" s="237"/>
      <c r="X693" s="237"/>
      <c r="Y693" s="237"/>
      <c r="Z693" s="237"/>
    </row>
    <row r="694" spans="1:26" ht="24.75" customHeight="1" x14ac:dyDescent="0.25">
      <c r="A694" s="236"/>
      <c r="B694" s="237"/>
      <c r="C694" s="236"/>
      <c r="D694" s="238"/>
      <c r="E694" s="238"/>
      <c r="F694" s="238"/>
      <c r="G694" s="239"/>
      <c r="H694" s="241"/>
      <c r="I694" s="244"/>
      <c r="J694" s="241"/>
      <c r="K694" s="237"/>
      <c r="L694" s="237"/>
      <c r="M694" s="237"/>
      <c r="N694" s="237"/>
      <c r="O694" s="237"/>
      <c r="P694" s="237"/>
      <c r="Q694" s="237"/>
      <c r="R694" s="237"/>
      <c r="S694" s="237"/>
      <c r="T694" s="237"/>
      <c r="U694" s="237"/>
      <c r="V694" s="237"/>
      <c r="W694" s="237"/>
      <c r="X694" s="237"/>
      <c r="Y694" s="237"/>
      <c r="Z694" s="237"/>
    </row>
    <row r="695" spans="1:26" ht="24.75" customHeight="1" x14ac:dyDescent="0.25">
      <c r="A695" s="236"/>
      <c r="B695" s="237"/>
      <c r="C695" s="236"/>
      <c r="D695" s="238"/>
      <c r="E695" s="238"/>
      <c r="F695" s="238"/>
      <c r="G695" s="239"/>
      <c r="H695" s="241"/>
      <c r="I695" s="244"/>
      <c r="J695" s="241"/>
      <c r="K695" s="237"/>
      <c r="L695" s="237"/>
      <c r="M695" s="237"/>
      <c r="N695" s="237"/>
      <c r="O695" s="237"/>
      <c r="P695" s="237"/>
      <c r="Q695" s="237"/>
      <c r="R695" s="237"/>
      <c r="S695" s="237"/>
      <c r="T695" s="237"/>
      <c r="U695" s="237"/>
      <c r="V695" s="237"/>
      <c r="W695" s="237"/>
      <c r="X695" s="237"/>
      <c r="Y695" s="237"/>
      <c r="Z695" s="237"/>
    </row>
    <row r="696" spans="1:26" ht="24.75" customHeight="1" x14ac:dyDescent="0.25">
      <c r="A696" s="236"/>
      <c r="B696" s="237"/>
      <c r="C696" s="236"/>
      <c r="D696" s="238"/>
      <c r="E696" s="238"/>
      <c r="F696" s="238"/>
      <c r="G696" s="239"/>
      <c r="H696" s="241"/>
      <c r="I696" s="244"/>
      <c r="J696" s="241"/>
      <c r="K696" s="237"/>
      <c r="L696" s="237"/>
      <c r="M696" s="237"/>
      <c r="N696" s="237"/>
      <c r="O696" s="237"/>
      <c r="P696" s="237"/>
      <c r="Q696" s="237"/>
      <c r="R696" s="237"/>
      <c r="S696" s="237"/>
      <c r="T696" s="237"/>
      <c r="U696" s="237"/>
      <c r="V696" s="237"/>
      <c r="W696" s="237"/>
      <c r="X696" s="237"/>
      <c r="Y696" s="237"/>
      <c r="Z696" s="237"/>
    </row>
    <row r="697" spans="1:26" ht="24.75" customHeight="1" x14ac:dyDescent="0.25">
      <c r="A697" s="236"/>
      <c r="B697" s="237"/>
      <c r="C697" s="236"/>
      <c r="D697" s="238"/>
      <c r="E697" s="238"/>
      <c r="F697" s="238"/>
      <c r="G697" s="239"/>
      <c r="H697" s="241"/>
      <c r="I697" s="244"/>
      <c r="J697" s="241"/>
      <c r="K697" s="237"/>
      <c r="L697" s="237"/>
      <c r="M697" s="237"/>
      <c r="N697" s="237"/>
      <c r="O697" s="237"/>
      <c r="P697" s="237"/>
      <c r="Q697" s="237"/>
      <c r="R697" s="237"/>
      <c r="S697" s="237"/>
      <c r="T697" s="237"/>
      <c r="U697" s="237"/>
      <c r="V697" s="237"/>
      <c r="W697" s="237"/>
      <c r="X697" s="237"/>
      <c r="Y697" s="237"/>
      <c r="Z697" s="237"/>
    </row>
    <row r="698" spans="1:26" ht="24.75" customHeight="1" x14ac:dyDescent="0.25">
      <c r="A698" s="236"/>
      <c r="B698" s="237"/>
      <c r="C698" s="236"/>
      <c r="D698" s="238"/>
      <c r="E698" s="238"/>
      <c r="F698" s="238"/>
      <c r="G698" s="239"/>
      <c r="H698" s="241"/>
      <c r="I698" s="244"/>
      <c r="J698" s="241"/>
      <c r="K698" s="237"/>
      <c r="L698" s="237"/>
      <c r="M698" s="237"/>
      <c r="N698" s="237"/>
      <c r="O698" s="237"/>
      <c r="P698" s="237"/>
      <c r="Q698" s="237"/>
      <c r="R698" s="237"/>
      <c r="S698" s="237"/>
      <c r="T698" s="237"/>
      <c r="U698" s="237"/>
      <c r="V698" s="237"/>
      <c r="W698" s="237"/>
      <c r="X698" s="237"/>
      <c r="Y698" s="237"/>
      <c r="Z698" s="237"/>
    </row>
    <row r="699" spans="1:26" ht="24.75" customHeight="1" x14ac:dyDescent="0.25">
      <c r="A699" s="236"/>
      <c r="B699" s="237"/>
      <c r="C699" s="236"/>
      <c r="D699" s="238"/>
      <c r="E699" s="238"/>
      <c r="F699" s="238"/>
      <c r="G699" s="239"/>
      <c r="H699" s="241"/>
      <c r="I699" s="244"/>
      <c r="J699" s="241"/>
      <c r="K699" s="237"/>
      <c r="L699" s="237"/>
      <c r="M699" s="237"/>
      <c r="N699" s="237"/>
      <c r="O699" s="237"/>
      <c r="P699" s="237"/>
      <c r="Q699" s="237"/>
      <c r="R699" s="237"/>
      <c r="S699" s="237"/>
      <c r="T699" s="237"/>
      <c r="U699" s="237"/>
      <c r="V699" s="237"/>
      <c r="W699" s="237"/>
      <c r="X699" s="237"/>
      <c r="Y699" s="237"/>
      <c r="Z699" s="237"/>
    </row>
    <row r="700" spans="1:26" ht="24.75" customHeight="1" x14ac:dyDescent="0.25">
      <c r="A700" s="236"/>
      <c r="B700" s="237"/>
      <c r="C700" s="236"/>
      <c r="D700" s="238"/>
      <c r="E700" s="238"/>
      <c r="F700" s="238"/>
      <c r="G700" s="239"/>
      <c r="H700" s="241"/>
      <c r="I700" s="244"/>
      <c r="J700" s="241"/>
      <c r="K700" s="237"/>
      <c r="L700" s="237"/>
      <c r="M700" s="237"/>
      <c r="N700" s="237"/>
      <c r="O700" s="237"/>
      <c r="P700" s="237"/>
      <c r="Q700" s="237"/>
      <c r="R700" s="237"/>
      <c r="S700" s="237"/>
      <c r="T700" s="237"/>
      <c r="U700" s="237"/>
      <c r="V700" s="237"/>
      <c r="W700" s="237"/>
      <c r="X700" s="237"/>
      <c r="Y700" s="237"/>
      <c r="Z700" s="237"/>
    </row>
    <row r="701" spans="1:26" ht="24.75" customHeight="1" x14ac:dyDescent="0.25">
      <c r="A701" s="236"/>
      <c r="B701" s="237"/>
      <c r="C701" s="236"/>
      <c r="D701" s="238"/>
      <c r="E701" s="238"/>
      <c r="F701" s="238"/>
      <c r="G701" s="239"/>
      <c r="H701" s="241"/>
      <c r="I701" s="244"/>
      <c r="J701" s="241"/>
      <c r="K701" s="237"/>
      <c r="L701" s="237"/>
      <c r="M701" s="237"/>
      <c r="N701" s="237"/>
      <c r="O701" s="237"/>
      <c r="P701" s="237"/>
      <c r="Q701" s="237"/>
      <c r="R701" s="237"/>
      <c r="S701" s="237"/>
      <c r="T701" s="237"/>
      <c r="U701" s="237"/>
      <c r="V701" s="237"/>
      <c r="W701" s="237"/>
      <c r="X701" s="237"/>
      <c r="Y701" s="237"/>
      <c r="Z701" s="237"/>
    </row>
    <row r="702" spans="1:26" ht="24.75" customHeight="1" x14ac:dyDescent="0.25">
      <c r="A702" s="236"/>
      <c r="B702" s="237"/>
      <c r="C702" s="236"/>
      <c r="D702" s="238"/>
      <c r="E702" s="238"/>
      <c r="F702" s="238"/>
      <c r="G702" s="239"/>
      <c r="H702" s="241"/>
      <c r="I702" s="244"/>
      <c r="J702" s="241"/>
      <c r="K702" s="237"/>
      <c r="L702" s="237"/>
      <c r="M702" s="237"/>
      <c r="N702" s="237"/>
      <c r="O702" s="237"/>
      <c r="P702" s="237"/>
      <c r="Q702" s="237"/>
      <c r="R702" s="237"/>
      <c r="S702" s="237"/>
      <c r="T702" s="237"/>
      <c r="U702" s="237"/>
      <c r="V702" s="237"/>
      <c r="W702" s="237"/>
      <c r="X702" s="237"/>
      <c r="Y702" s="237"/>
      <c r="Z702" s="237"/>
    </row>
    <row r="703" spans="1:26" ht="24.75" customHeight="1" x14ac:dyDescent="0.25">
      <c r="A703" s="236"/>
      <c r="B703" s="237"/>
      <c r="C703" s="236"/>
      <c r="D703" s="238"/>
      <c r="E703" s="238"/>
      <c r="F703" s="238"/>
      <c r="G703" s="239"/>
      <c r="H703" s="241"/>
      <c r="I703" s="244"/>
      <c r="J703" s="241"/>
      <c r="K703" s="237"/>
      <c r="L703" s="237"/>
      <c r="M703" s="237"/>
      <c r="N703" s="237"/>
      <c r="O703" s="237"/>
      <c r="P703" s="237"/>
      <c r="Q703" s="237"/>
      <c r="R703" s="237"/>
      <c r="S703" s="237"/>
      <c r="T703" s="237"/>
      <c r="U703" s="237"/>
      <c r="V703" s="237"/>
      <c r="W703" s="237"/>
      <c r="X703" s="237"/>
      <c r="Y703" s="237"/>
      <c r="Z703" s="237"/>
    </row>
    <row r="704" spans="1:26" ht="24.75" customHeight="1" x14ac:dyDescent="0.25">
      <c r="A704" s="236"/>
      <c r="B704" s="237"/>
      <c r="C704" s="236"/>
      <c r="D704" s="238"/>
      <c r="E704" s="238"/>
      <c r="F704" s="238"/>
      <c r="G704" s="239"/>
      <c r="H704" s="241"/>
      <c r="I704" s="244"/>
      <c r="J704" s="241"/>
      <c r="K704" s="237"/>
      <c r="L704" s="237"/>
      <c r="M704" s="237"/>
      <c r="N704" s="237"/>
      <c r="O704" s="237"/>
      <c r="P704" s="237"/>
      <c r="Q704" s="237"/>
      <c r="R704" s="237"/>
      <c r="S704" s="237"/>
      <c r="T704" s="237"/>
      <c r="U704" s="237"/>
      <c r="V704" s="237"/>
      <c r="W704" s="237"/>
      <c r="X704" s="237"/>
      <c r="Y704" s="237"/>
      <c r="Z704" s="237"/>
    </row>
    <row r="705" spans="1:26" ht="24.75" customHeight="1" x14ac:dyDescent="0.25">
      <c r="A705" s="236"/>
      <c r="B705" s="237"/>
      <c r="C705" s="236"/>
      <c r="D705" s="238"/>
      <c r="E705" s="238"/>
      <c r="F705" s="238"/>
      <c r="G705" s="239"/>
      <c r="H705" s="241"/>
      <c r="I705" s="244"/>
      <c r="J705" s="241"/>
      <c r="K705" s="237"/>
      <c r="L705" s="237"/>
      <c r="M705" s="237"/>
      <c r="N705" s="237"/>
      <c r="O705" s="237"/>
      <c r="P705" s="237"/>
      <c r="Q705" s="237"/>
      <c r="R705" s="237"/>
      <c r="S705" s="237"/>
      <c r="T705" s="237"/>
      <c r="U705" s="237"/>
      <c r="V705" s="237"/>
      <c r="W705" s="237"/>
      <c r="X705" s="237"/>
      <c r="Y705" s="237"/>
      <c r="Z705" s="237"/>
    </row>
    <row r="706" spans="1:26" ht="24.75" customHeight="1" x14ac:dyDescent="0.25">
      <c r="A706" s="236"/>
      <c r="B706" s="237"/>
      <c r="C706" s="236"/>
      <c r="D706" s="238"/>
      <c r="E706" s="238"/>
      <c r="F706" s="238"/>
      <c r="G706" s="239"/>
      <c r="H706" s="241"/>
      <c r="I706" s="244"/>
      <c r="J706" s="241"/>
      <c r="K706" s="237"/>
      <c r="L706" s="237"/>
      <c r="M706" s="237"/>
      <c r="N706" s="237"/>
      <c r="O706" s="237"/>
      <c r="P706" s="237"/>
      <c r="Q706" s="237"/>
      <c r="R706" s="237"/>
      <c r="S706" s="237"/>
      <c r="T706" s="237"/>
      <c r="U706" s="237"/>
      <c r="V706" s="237"/>
      <c r="W706" s="237"/>
      <c r="X706" s="237"/>
      <c r="Y706" s="237"/>
      <c r="Z706" s="237"/>
    </row>
    <row r="707" spans="1:26" ht="24.75" customHeight="1" x14ac:dyDescent="0.25">
      <c r="A707" s="236"/>
      <c r="B707" s="237"/>
      <c r="C707" s="236"/>
      <c r="D707" s="238"/>
      <c r="E707" s="238"/>
      <c r="F707" s="238"/>
      <c r="G707" s="239"/>
      <c r="H707" s="241"/>
      <c r="I707" s="244"/>
      <c r="J707" s="241"/>
      <c r="K707" s="237"/>
      <c r="L707" s="237"/>
      <c r="M707" s="237"/>
      <c r="N707" s="237"/>
      <c r="O707" s="237"/>
      <c r="P707" s="237"/>
      <c r="Q707" s="237"/>
      <c r="R707" s="237"/>
      <c r="S707" s="237"/>
      <c r="T707" s="237"/>
      <c r="U707" s="237"/>
      <c r="V707" s="237"/>
      <c r="W707" s="237"/>
      <c r="X707" s="237"/>
      <c r="Y707" s="237"/>
      <c r="Z707" s="237"/>
    </row>
    <row r="708" spans="1:26" ht="24.75" customHeight="1" x14ac:dyDescent="0.25">
      <c r="A708" s="236"/>
      <c r="B708" s="237"/>
      <c r="C708" s="236"/>
      <c r="D708" s="238"/>
      <c r="E708" s="238"/>
      <c r="F708" s="238"/>
      <c r="G708" s="239"/>
      <c r="H708" s="241"/>
      <c r="I708" s="244"/>
      <c r="J708" s="241"/>
      <c r="K708" s="237"/>
      <c r="L708" s="237"/>
      <c r="M708" s="237"/>
      <c r="N708" s="237"/>
      <c r="O708" s="237"/>
      <c r="P708" s="237"/>
      <c r="Q708" s="237"/>
      <c r="R708" s="237"/>
      <c r="S708" s="237"/>
      <c r="T708" s="237"/>
      <c r="U708" s="237"/>
      <c r="V708" s="237"/>
      <c r="W708" s="237"/>
      <c r="X708" s="237"/>
      <c r="Y708" s="237"/>
      <c r="Z708" s="237"/>
    </row>
    <row r="709" spans="1:26" ht="24.75" customHeight="1" x14ac:dyDescent="0.25">
      <c r="A709" s="236"/>
      <c r="B709" s="237"/>
      <c r="C709" s="236"/>
      <c r="D709" s="238"/>
      <c r="E709" s="238"/>
      <c r="F709" s="238"/>
      <c r="G709" s="239"/>
      <c r="H709" s="241"/>
      <c r="I709" s="244"/>
      <c r="J709" s="241"/>
      <c r="K709" s="237"/>
      <c r="L709" s="237"/>
      <c r="M709" s="237"/>
      <c r="N709" s="237"/>
      <c r="O709" s="237"/>
      <c r="P709" s="237"/>
      <c r="Q709" s="237"/>
      <c r="R709" s="237"/>
      <c r="S709" s="237"/>
      <c r="T709" s="237"/>
      <c r="U709" s="237"/>
      <c r="V709" s="237"/>
      <c r="W709" s="237"/>
      <c r="X709" s="237"/>
      <c r="Y709" s="237"/>
      <c r="Z709" s="237"/>
    </row>
    <row r="710" spans="1:26" ht="24.75" customHeight="1" x14ac:dyDescent="0.25">
      <c r="A710" s="236"/>
      <c r="B710" s="237"/>
      <c r="C710" s="236"/>
      <c r="D710" s="238"/>
      <c r="E710" s="238"/>
      <c r="F710" s="238"/>
      <c r="G710" s="239"/>
      <c r="H710" s="241"/>
      <c r="I710" s="244"/>
      <c r="J710" s="241"/>
      <c r="K710" s="237"/>
      <c r="L710" s="237"/>
      <c r="M710" s="237"/>
      <c r="N710" s="237"/>
      <c r="O710" s="237"/>
      <c r="P710" s="237"/>
      <c r="Q710" s="237"/>
      <c r="R710" s="237"/>
      <c r="S710" s="237"/>
      <c r="T710" s="237"/>
      <c r="U710" s="237"/>
      <c r="V710" s="237"/>
      <c r="W710" s="237"/>
      <c r="X710" s="237"/>
      <c r="Y710" s="237"/>
      <c r="Z710" s="237"/>
    </row>
    <row r="711" spans="1:26" ht="24.75" customHeight="1" x14ac:dyDescent="0.25">
      <c r="A711" s="236"/>
      <c r="B711" s="237"/>
      <c r="C711" s="236"/>
      <c r="D711" s="238"/>
      <c r="E711" s="238"/>
      <c r="F711" s="238"/>
      <c r="G711" s="239"/>
      <c r="H711" s="241"/>
      <c r="I711" s="244"/>
      <c r="J711" s="241"/>
      <c r="K711" s="237"/>
      <c r="L711" s="237"/>
      <c r="M711" s="237"/>
      <c r="N711" s="237"/>
      <c r="O711" s="237"/>
      <c r="P711" s="237"/>
      <c r="Q711" s="237"/>
      <c r="R711" s="237"/>
      <c r="S711" s="237"/>
      <c r="T711" s="237"/>
      <c r="U711" s="237"/>
      <c r="V711" s="237"/>
      <c r="W711" s="237"/>
      <c r="X711" s="237"/>
      <c r="Y711" s="237"/>
      <c r="Z711" s="237"/>
    </row>
    <row r="712" spans="1:26" ht="24.75" customHeight="1" x14ac:dyDescent="0.25">
      <c r="A712" s="236"/>
      <c r="B712" s="237"/>
      <c r="C712" s="236"/>
      <c r="D712" s="238"/>
      <c r="E712" s="238"/>
      <c r="F712" s="238"/>
      <c r="G712" s="239"/>
      <c r="H712" s="241"/>
      <c r="I712" s="244"/>
      <c r="J712" s="241"/>
      <c r="K712" s="237"/>
      <c r="L712" s="237"/>
      <c r="M712" s="237"/>
      <c r="N712" s="237"/>
      <c r="O712" s="237"/>
      <c r="P712" s="237"/>
      <c r="Q712" s="237"/>
      <c r="R712" s="237"/>
      <c r="S712" s="237"/>
      <c r="T712" s="237"/>
      <c r="U712" s="237"/>
      <c r="V712" s="237"/>
      <c r="W712" s="237"/>
      <c r="X712" s="237"/>
      <c r="Y712" s="237"/>
      <c r="Z712" s="237"/>
    </row>
    <row r="713" spans="1:26" ht="24.75" customHeight="1" x14ac:dyDescent="0.25">
      <c r="A713" s="236"/>
      <c r="B713" s="237"/>
      <c r="C713" s="236"/>
      <c r="D713" s="238"/>
      <c r="E713" s="238"/>
      <c r="F713" s="238"/>
      <c r="G713" s="239"/>
      <c r="H713" s="241"/>
      <c r="I713" s="244"/>
      <c r="J713" s="241"/>
      <c r="K713" s="237"/>
      <c r="L713" s="237"/>
      <c r="M713" s="237"/>
      <c r="N713" s="237"/>
      <c r="O713" s="237"/>
      <c r="P713" s="237"/>
      <c r="Q713" s="237"/>
      <c r="R713" s="237"/>
      <c r="S713" s="237"/>
      <c r="T713" s="237"/>
      <c r="U713" s="237"/>
      <c r="V713" s="237"/>
      <c r="W713" s="237"/>
      <c r="X713" s="237"/>
      <c r="Y713" s="237"/>
      <c r="Z713" s="237"/>
    </row>
    <row r="714" spans="1:26" ht="24.75" customHeight="1" x14ac:dyDescent="0.25">
      <c r="A714" s="236"/>
      <c r="B714" s="237"/>
      <c r="C714" s="236"/>
      <c r="D714" s="238"/>
      <c r="E714" s="238"/>
      <c r="F714" s="238"/>
      <c r="G714" s="239"/>
      <c r="H714" s="241"/>
      <c r="I714" s="244"/>
      <c r="J714" s="241"/>
      <c r="K714" s="237"/>
      <c r="L714" s="237"/>
      <c r="M714" s="237"/>
      <c r="N714" s="237"/>
      <c r="O714" s="237"/>
      <c r="P714" s="237"/>
      <c r="Q714" s="237"/>
      <c r="R714" s="237"/>
      <c r="S714" s="237"/>
      <c r="T714" s="237"/>
      <c r="U714" s="237"/>
      <c r="V714" s="237"/>
      <c r="W714" s="237"/>
      <c r="X714" s="237"/>
      <c r="Y714" s="237"/>
      <c r="Z714" s="237"/>
    </row>
    <row r="715" spans="1:26" ht="24.75" customHeight="1" x14ac:dyDescent="0.25">
      <c r="A715" s="236"/>
      <c r="B715" s="237"/>
      <c r="C715" s="236"/>
      <c r="D715" s="238"/>
      <c r="E715" s="238"/>
      <c r="F715" s="238"/>
      <c r="G715" s="239"/>
      <c r="H715" s="241"/>
      <c r="I715" s="244"/>
      <c r="J715" s="241"/>
      <c r="K715" s="237"/>
      <c r="L715" s="237"/>
      <c r="M715" s="237"/>
      <c r="N715" s="237"/>
      <c r="O715" s="237"/>
      <c r="P715" s="237"/>
      <c r="Q715" s="237"/>
      <c r="R715" s="237"/>
      <c r="S715" s="237"/>
      <c r="T715" s="237"/>
      <c r="U715" s="237"/>
      <c r="V715" s="237"/>
      <c r="W715" s="237"/>
      <c r="X715" s="237"/>
      <c r="Y715" s="237"/>
      <c r="Z715" s="237"/>
    </row>
    <row r="716" spans="1:26" ht="24.75" customHeight="1" x14ac:dyDescent="0.25">
      <c r="A716" s="236"/>
      <c r="B716" s="237"/>
      <c r="C716" s="236"/>
      <c r="D716" s="238"/>
      <c r="E716" s="238"/>
      <c r="F716" s="238"/>
      <c r="G716" s="239"/>
      <c r="H716" s="241"/>
      <c r="I716" s="244"/>
      <c r="J716" s="241"/>
      <c r="K716" s="237"/>
      <c r="L716" s="237"/>
      <c r="M716" s="237"/>
      <c r="N716" s="237"/>
      <c r="O716" s="237"/>
      <c r="P716" s="237"/>
      <c r="Q716" s="237"/>
      <c r="R716" s="237"/>
      <c r="S716" s="237"/>
      <c r="T716" s="237"/>
      <c r="U716" s="237"/>
      <c r="V716" s="237"/>
      <c r="W716" s="237"/>
      <c r="X716" s="237"/>
      <c r="Y716" s="237"/>
      <c r="Z716" s="237"/>
    </row>
    <row r="717" spans="1:26" ht="24.75" customHeight="1" x14ac:dyDescent="0.25">
      <c r="A717" s="236"/>
      <c r="B717" s="237"/>
      <c r="C717" s="236"/>
      <c r="D717" s="238"/>
      <c r="E717" s="238"/>
      <c r="F717" s="238"/>
      <c r="G717" s="239"/>
      <c r="H717" s="241"/>
      <c r="I717" s="244"/>
      <c r="J717" s="241"/>
      <c r="K717" s="237"/>
      <c r="L717" s="237"/>
      <c r="M717" s="237"/>
      <c r="N717" s="237"/>
      <c r="O717" s="237"/>
      <c r="P717" s="237"/>
      <c r="Q717" s="237"/>
      <c r="R717" s="237"/>
      <c r="S717" s="237"/>
      <c r="T717" s="237"/>
      <c r="U717" s="237"/>
      <c r="V717" s="237"/>
      <c r="W717" s="237"/>
      <c r="X717" s="237"/>
      <c r="Y717" s="237"/>
      <c r="Z717" s="237"/>
    </row>
    <row r="718" spans="1:26" ht="24.75" customHeight="1" x14ac:dyDescent="0.25">
      <c r="A718" s="236"/>
      <c r="B718" s="237"/>
      <c r="C718" s="236"/>
      <c r="D718" s="238"/>
      <c r="E718" s="238"/>
      <c r="F718" s="238"/>
      <c r="G718" s="239"/>
      <c r="H718" s="241"/>
      <c r="I718" s="244"/>
      <c r="J718" s="241"/>
      <c r="K718" s="237"/>
      <c r="L718" s="237"/>
      <c r="M718" s="237"/>
      <c r="N718" s="237"/>
      <c r="O718" s="237"/>
      <c r="P718" s="237"/>
      <c r="Q718" s="237"/>
      <c r="R718" s="237"/>
      <c r="S718" s="237"/>
      <c r="T718" s="237"/>
      <c r="U718" s="237"/>
      <c r="V718" s="237"/>
      <c r="W718" s="237"/>
      <c r="X718" s="237"/>
      <c r="Y718" s="237"/>
      <c r="Z718" s="237"/>
    </row>
    <row r="719" spans="1:26" ht="24.75" customHeight="1" x14ac:dyDescent="0.25">
      <c r="A719" s="236"/>
      <c r="B719" s="237"/>
      <c r="C719" s="236"/>
      <c r="D719" s="238"/>
      <c r="E719" s="238"/>
      <c r="F719" s="238"/>
      <c r="G719" s="239"/>
      <c r="H719" s="241"/>
      <c r="I719" s="244"/>
      <c r="J719" s="241"/>
      <c r="K719" s="237"/>
      <c r="L719" s="237"/>
      <c r="M719" s="237"/>
      <c r="N719" s="237"/>
      <c r="O719" s="237"/>
      <c r="P719" s="237"/>
      <c r="Q719" s="237"/>
      <c r="R719" s="237"/>
      <c r="S719" s="237"/>
      <c r="T719" s="237"/>
      <c r="U719" s="237"/>
      <c r="V719" s="237"/>
      <c r="W719" s="237"/>
      <c r="X719" s="237"/>
      <c r="Y719" s="237"/>
      <c r="Z719" s="237"/>
    </row>
    <row r="720" spans="1:26" ht="24.75" customHeight="1" x14ac:dyDescent="0.25">
      <c r="A720" s="236"/>
      <c r="B720" s="237"/>
      <c r="C720" s="236"/>
      <c r="D720" s="238"/>
      <c r="E720" s="238"/>
      <c r="F720" s="238"/>
      <c r="G720" s="239"/>
      <c r="H720" s="241"/>
      <c r="I720" s="244"/>
      <c r="J720" s="241"/>
      <c r="K720" s="237"/>
      <c r="L720" s="237"/>
      <c r="M720" s="237"/>
      <c r="N720" s="237"/>
      <c r="O720" s="237"/>
      <c r="P720" s="237"/>
      <c r="Q720" s="237"/>
      <c r="R720" s="237"/>
      <c r="S720" s="237"/>
      <c r="T720" s="237"/>
      <c r="U720" s="237"/>
      <c r="V720" s="237"/>
      <c r="W720" s="237"/>
      <c r="X720" s="237"/>
      <c r="Y720" s="237"/>
      <c r="Z720" s="237"/>
    </row>
    <row r="721" spans="1:26" ht="24.75" customHeight="1" x14ac:dyDescent="0.25">
      <c r="A721" s="236"/>
      <c r="B721" s="237"/>
      <c r="C721" s="236"/>
      <c r="D721" s="238"/>
      <c r="E721" s="238"/>
      <c r="F721" s="238"/>
      <c r="G721" s="239"/>
      <c r="H721" s="241"/>
      <c r="I721" s="244"/>
      <c r="J721" s="241"/>
      <c r="K721" s="237"/>
      <c r="L721" s="237"/>
      <c r="M721" s="237"/>
      <c r="N721" s="237"/>
      <c r="O721" s="237"/>
      <c r="P721" s="237"/>
      <c r="Q721" s="237"/>
      <c r="R721" s="237"/>
      <c r="S721" s="237"/>
      <c r="T721" s="237"/>
      <c r="U721" s="237"/>
      <c r="V721" s="237"/>
      <c r="W721" s="237"/>
      <c r="X721" s="237"/>
      <c r="Y721" s="237"/>
      <c r="Z721" s="237"/>
    </row>
    <row r="722" spans="1:26" ht="24.75" customHeight="1" x14ac:dyDescent="0.25">
      <c r="A722" s="236"/>
      <c r="B722" s="237"/>
      <c r="C722" s="236"/>
      <c r="D722" s="238"/>
      <c r="E722" s="238"/>
      <c r="F722" s="238"/>
      <c r="G722" s="239"/>
      <c r="H722" s="241"/>
      <c r="I722" s="244"/>
      <c r="J722" s="241"/>
      <c r="K722" s="237"/>
      <c r="L722" s="237"/>
      <c r="M722" s="237"/>
      <c r="N722" s="237"/>
      <c r="O722" s="237"/>
      <c r="P722" s="237"/>
      <c r="Q722" s="237"/>
      <c r="R722" s="237"/>
      <c r="S722" s="237"/>
      <c r="T722" s="237"/>
      <c r="U722" s="237"/>
      <c r="V722" s="237"/>
      <c r="W722" s="237"/>
      <c r="X722" s="237"/>
      <c r="Y722" s="237"/>
      <c r="Z722" s="237"/>
    </row>
    <row r="723" spans="1:26" ht="24.75" customHeight="1" x14ac:dyDescent="0.25">
      <c r="A723" s="236"/>
      <c r="B723" s="237"/>
      <c r="C723" s="236"/>
      <c r="D723" s="238"/>
      <c r="E723" s="238"/>
      <c r="F723" s="238"/>
      <c r="G723" s="239"/>
      <c r="H723" s="241"/>
      <c r="I723" s="244"/>
      <c r="J723" s="241"/>
      <c r="K723" s="237"/>
      <c r="L723" s="237"/>
      <c r="M723" s="237"/>
      <c r="N723" s="237"/>
      <c r="O723" s="237"/>
      <c r="P723" s="237"/>
      <c r="Q723" s="237"/>
      <c r="R723" s="237"/>
      <c r="S723" s="237"/>
      <c r="T723" s="237"/>
      <c r="U723" s="237"/>
      <c r="V723" s="237"/>
      <c r="W723" s="237"/>
      <c r="X723" s="237"/>
      <c r="Y723" s="237"/>
      <c r="Z723" s="237"/>
    </row>
    <row r="724" spans="1:26" ht="24.75" customHeight="1" x14ac:dyDescent="0.25">
      <c r="A724" s="236"/>
      <c r="B724" s="237"/>
      <c r="C724" s="236"/>
      <c r="D724" s="238"/>
      <c r="E724" s="238"/>
      <c r="F724" s="238"/>
      <c r="G724" s="239"/>
      <c r="H724" s="241"/>
      <c r="I724" s="244"/>
      <c r="J724" s="241"/>
      <c r="K724" s="237"/>
      <c r="L724" s="237"/>
      <c r="M724" s="237"/>
      <c r="N724" s="237"/>
      <c r="O724" s="237"/>
      <c r="P724" s="237"/>
      <c r="Q724" s="237"/>
      <c r="R724" s="237"/>
      <c r="S724" s="237"/>
      <c r="T724" s="237"/>
      <c r="U724" s="237"/>
      <c r="V724" s="237"/>
      <c r="W724" s="237"/>
      <c r="X724" s="237"/>
      <c r="Y724" s="237"/>
      <c r="Z724" s="237"/>
    </row>
    <row r="725" spans="1:26" ht="24.75" customHeight="1" x14ac:dyDescent="0.25">
      <c r="A725" s="236"/>
      <c r="B725" s="237"/>
      <c r="C725" s="236"/>
      <c r="D725" s="238"/>
      <c r="E725" s="238"/>
      <c r="F725" s="238"/>
      <c r="G725" s="239"/>
      <c r="H725" s="241"/>
      <c r="I725" s="244"/>
      <c r="J725" s="241"/>
      <c r="K725" s="237"/>
      <c r="L725" s="237"/>
      <c r="M725" s="237"/>
      <c r="N725" s="237"/>
      <c r="O725" s="237"/>
      <c r="P725" s="237"/>
      <c r="Q725" s="237"/>
      <c r="R725" s="237"/>
      <c r="S725" s="237"/>
      <c r="T725" s="237"/>
      <c r="U725" s="237"/>
      <c r="V725" s="237"/>
      <c r="W725" s="237"/>
      <c r="X725" s="237"/>
      <c r="Y725" s="237"/>
      <c r="Z725" s="237"/>
    </row>
    <row r="726" spans="1:26" ht="24.75" customHeight="1" x14ac:dyDescent="0.25">
      <c r="A726" s="236"/>
      <c r="B726" s="237"/>
      <c r="C726" s="236"/>
      <c r="D726" s="238"/>
      <c r="E726" s="238"/>
      <c r="F726" s="238"/>
      <c r="G726" s="239"/>
      <c r="H726" s="241"/>
      <c r="I726" s="244"/>
      <c r="J726" s="241"/>
      <c r="K726" s="237"/>
      <c r="L726" s="237"/>
      <c r="M726" s="237"/>
      <c r="N726" s="237"/>
      <c r="O726" s="237"/>
      <c r="P726" s="237"/>
      <c r="Q726" s="237"/>
      <c r="R726" s="237"/>
      <c r="S726" s="237"/>
      <c r="T726" s="237"/>
      <c r="U726" s="237"/>
      <c r="V726" s="237"/>
      <c r="W726" s="237"/>
      <c r="X726" s="237"/>
      <c r="Y726" s="237"/>
      <c r="Z726" s="237"/>
    </row>
    <row r="727" spans="1:26" ht="24.75" customHeight="1" x14ac:dyDescent="0.25">
      <c r="A727" s="236"/>
      <c r="B727" s="237"/>
      <c r="C727" s="236"/>
      <c r="D727" s="238"/>
      <c r="E727" s="238"/>
      <c r="F727" s="238"/>
      <c r="G727" s="239"/>
      <c r="H727" s="241"/>
      <c r="I727" s="244"/>
      <c r="J727" s="241"/>
      <c r="K727" s="237"/>
      <c r="L727" s="237"/>
      <c r="M727" s="237"/>
      <c r="N727" s="237"/>
      <c r="O727" s="237"/>
      <c r="P727" s="237"/>
      <c r="Q727" s="237"/>
      <c r="R727" s="237"/>
      <c r="S727" s="237"/>
      <c r="T727" s="237"/>
      <c r="U727" s="237"/>
      <c r="V727" s="237"/>
      <c r="W727" s="237"/>
      <c r="X727" s="237"/>
      <c r="Y727" s="237"/>
      <c r="Z727" s="237"/>
    </row>
    <row r="728" spans="1:26" ht="24.75" customHeight="1" x14ac:dyDescent="0.25">
      <c r="A728" s="236"/>
      <c r="B728" s="237"/>
      <c r="C728" s="236"/>
      <c r="D728" s="238"/>
      <c r="E728" s="238"/>
      <c r="F728" s="238"/>
      <c r="G728" s="239"/>
      <c r="H728" s="241"/>
      <c r="I728" s="244"/>
      <c r="J728" s="241"/>
      <c r="K728" s="237"/>
      <c r="L728" s="237"/>
      <c r="M728" s="237"/>
      <c r="N728" s="237"/>
      <c r="O728" s="237"/>
      <c r="P728" s="237"/>
      <c r="Q728" s="237"/>
      <c r="R728" s="237"/>
      <c r="S728" s="237"/>
      <c r="T728" s="237"/>
      <c r="U728" s="237"/>
      <c r="V728" s="237"/>
      <c r="W728" s="237"/>
      <c r="X728" s="237"/>
      <c r="Y728" s="237"/>
      <c r="Z728" s="237"/>
    </row>
    <row r="729" spans="1:26" ht="24.75" customHeight="1" x14ac:dyDescent="0.25">
      <c r="A729" s="236"/>
      <c r="B729" s="237"/>
      <c r="C729" s="236"/>
      <c r="D729" s="238"/>
      <c r="E729" s="238"/>
      <c r="F729" s="238"/>
      <c r="G729" s="239"/>
      <c r="H729" s="241"/>
      <c r="I729" s="244"/>
      <c r="J729" s="241"/>
      <c r="K729" s="237"/>
      <c r="L729" s="237"/>
      <c r="M729" s="237"/>
      <c r="N729" s="237"/>
      <c r="O729" s="237"/>
      <c r="P729" s="237"/>
      <c r="Q729" s="237"/>
      <c r="R729" s="237"/>
      <c r="S729" s="237"/>
      <c r="T729" s="237"/>
      <c r="U729" s="237"/>
      <c r="V729" s="237"/>
      <c r="W729" s="237"/>
      <c r="X729" s="237"/>
      <c r="Y729" s="237"/>
      <c r="Z729" s="237"/>
    </row>
    <row r="730" spans="1:26" ht="24.75" customHeight="1" x14ac:dyDescent="0.25">
      <c r="A730" s="236"/>
      <c r="B730" s="237"/>
      <c r="C730" s="236"/>
      <c r="D730" s="238"/>
      <c r="E730" s="238"/>
      <c r="F730" s="238"/>
      <c r="G730" s="239"/>
      <c r="H730" s="241"/>
      <c r="I730" s="244"/>
      <c r="J730" s="241"/>
      <c r="K730" s="237"/>
      <c r="L730" s="237"/>
      <c r="M730" s="237"/>
      <c r="N730" s="237"/>
      <c r="O730" s="237"/>
      <c r="P730" s="237"/>
      <c r="Q730" s="237"/>
      <c r="R730" s="237"/>
      <c r="S730" s="237"/>
      <c r="T730" s="237"/>
      <c r="U730" s="237"/>
      <c r="V730" s="237"/>
      <c r="W730" s="237"/>
      <c r="X730" s="237"/>
      <c r="Y730" s="237"/>
      <c r="Z730" s="237"/>
    </row>
    <row r="731" spans="1:26" ht="24.75" customHeight="1" x14ac:dyDescent="0.25">
      <c r="A731" s="236"/>
      <c r="B731" s="237"/>
      <c r="C731" s="236"/>
      <c r="D731" s="238"/>
      <c r="E731" s="238"/>
      <c r="F731" s="238"/>
      <c r="G731" s="239"/>
      <c r="H731" s="241"/>
      <c r="I731" s="244"/>
      <c r="J731" s="241"/>
      <c r="K731" s="237"/>
      <c r="L731" s="237"/>
      <c r="M731" s="237"/>
      <c r="N731" s="237"/>
      <c r="O731" s="237"/>
      <c r="P731" s="237"/>
      <c r="Q731" s="237"/>
      <c r="R731" s="237"/>
      <c r="S731" s="237"/>
      <c r="T731" s="237"/>
      <c r="U731" s="237"/>
      <c r="V731" s="237"/>
      <c r="W731" s="237"/>
      <c r="X731" s="237"/>
      <c r="Y731" s="237"/>
      <c r="Z731" s="237"/>
    </row>
    <row r="732" spans="1:26" ht="24.75" customHeight="1" x14ac:dyDescent="0.25">
      <c r="A732" s="236"/>
      <c r="B732" s="237"/>
      <c r="C732" s="236"/>
      <c r="D732" s="238"/>
      <c r="E732" s="238"/>
      <c r="F732" s="238"/>
      <c r="G732" s="239"/>
      <c r="H732" s="241"/>
      <c r="I732" s="244"/>
      <c r="J732" s="241"/>
      <c r="K732" s="237"/>
      <c r="L732" s="237"/>
      <c r="M732" s="237"/>
      <c r="N732" s="237"/>
      <c r="O732" s="237"/>
      <c r="P732" s="237"/>
      <c r="Q732" s="237"/>
      <c r="R732" s="237"/>
      <c r="S732" s="237"/>
      <c r="T732" s="237"/>
      <c r="U732" s="237"/>
      <c r="V732" s="237"/>
      <c r="W732" s="237"/>
      <c r="X732" s="237"/>
      <c r="Y732" s="237"/>
      <c r="Z732" s="237"/>
    </row>
    <row r="733" spans="1:26" ht="24.75" customHeight="1" x14ac:dyDescent="0.25">
      <c r="A733" s="236"/>
      <c r="B733" s="237"/>
      <c r="C733" s="236"/>
      <c r="D733" s="238"/>
      <c r="E733" s="238"/>
      <c r="F733" s="238"/>
      <c r="G733" s="239"/>
      <c r="H733" s="241"/>
      <c r="I733" s="244"/>
      <c r="J733" s="241"/>
      <c r="K733" s="237"/>
      <c r="L733" s="237"/>
      <c r="M733" s="237"/>
      <c r="N733" s="237"/>
      <c r="O733" s="237"/>
      <c r="P733" s="237"/>
      <c r="Q733" s="237"/>
      <c r="R733" s="237"/>
      <c r="S733" s="237"/>
      <c r="T733" s="237"/>
      <c r="U733" s="237"/>
      <c r="V733" s="237"/>
      <c r="W733" s="237"/>
      <c r="X733" s="237"/>
      <c r="Y733" s="237"/>
      <c r="Z733" s="237"/>
    </row>
    <row r="734" spans="1:26" ht="24.75" customHeight="1" x14ac:dyDescent="0.25">
      <c r="A734" s="236"/>
      <c r="B734" s="237"/>
      <c r="C734" s="236"/>
      <c r="D734" s="238"/>
      <c r="E734" s="238"/>
      <c r="F734" s="238"/>
      <c r="G734" s="239"/>
      <c r="H734" s="241"/>
      <c r="I734" s="244"/>
      <c r="J734" s="241"/>
      <c r="K734" s="237"/>
      <c r="L734" s="237"/>
      <c r="M734" s="237"/>
      <c r="N734" s="237"/>
      <c r="O734" s="237"/>
      <c r="P734" s="237"/>
      <c r="Q734" s="237"/>
      <c r="R734" s="237"/>
      <c r="S734" s="237"/>
      <c r="T734" s="237"/>
      <c r="U734" s="237"/>
      <c r="V734" s="237"/>
      <c r="W734" s="237"/>
      <c r="X734" s="237"/>
      <c r="Y734" s="237"/>
      <c r="Z734" s="237"/>
    </row>
    <row r="735" spans="1:26" ht="24.75" customHeight="1" x14ac:dyDescent="0.25">
      <c r="A735" s="236"/>
      <c r="B735" s="237"/>
      <c r="C735" s="236"/>
      <c r="D735" s="238"/>
      <c r="E735" s="238"/>
      <c r="F735" s="238"/>
      <c r="G735" s="239"/>
      <c r="H735" s="241"/>
      <c r="I735" s="244"/>
      <c r="J735" s="241"/>
      <c r="K735" s="237"/>
      <c r="L735" s="237"/>
      <c r="M735" s="237"/>
      <c r="N735" s="237"/>
      <c r="O735" s="237"/>
      <c r="P735" s="237"/>
      <c r="Q735" s="237"/>
      <c r="R735" s="237"/>
      <c r="S735" s="237"/>
      <c r="T735" s="237"/>
      <c r="U735" s="237"/>
      <c r="V735" s="237"/>
      <c r="W735" s="237"/>
      <c r="X735" s="237"/>
      <c r="Y735" s="237"/>
      <c r="Z735" s="237"/>
    </row>
    <row r="736" spans="1:26" ht="24.75" customHeight="1" x14ac:dyDescent="0.25">
      <c r="A736" s="236"/>
      <c r="B736" s="237"/>
      <c r="C736" s="236"/>
      <c r="D736" s="238"/>
      <c r="E736" s="238"/>
      <c r="F736" s="238"/>
      <c r="G736" s="239"/>
      <c r="H736" s="241"/>
      <c r="I736" s="244"/>
      <c r="J736" s="241"/>
      <c r="K736" s="237"/>
      <c r="L736" s="237"/>
      <c r="M736" s="237"/>
      <c r="N736" s="237"/>
      <c r="O736" s="237"/>
      <c r="P736" s="237"/>
      <c r="Q736" s="237"/>
      <c r="R736" s="237"/>
      <c r="S736" s="237"/>
      <c r="T736" s="237"/>
      <c r="U736" s="237"/>
      <c r="V736" s="237"/>
      <c r="W736" s="237"/>
      <c r="X736" s="237"/>
      <c r="Y736" s="237"/>
      <c r="Z736" s="237"/>
    </row>
    <row r="737" spans="1:26" ht="24.75" customHeight="1" x14ac:dyDescent="0.25">
      <c r="A737" s="236"/>
      <c r="B737" s="237"/>
      <c r="C737" s="236"/>
      <c r="D737" s="238"/>
      <c r="E737" s="238"/>
      <c r="F737" s="238"/>
      <c r="G737" s="239"/>
      <c r="H737" s="241"/>
      <c r="I737" s="244"/>
      <c r="J737" s="241"/>
      <c r="K737" s="237"/>
      <c r="L737" s="237"/>
      <c r="M737" s="237"/>
      <c r="N737" s="237"/>
      <c r="O737" s="237"/>
      <c r="P737" s="237"/>
      <c r="Q737" s="237"/>
      <c r="R737" s="237"/>
      <c r="S737" s="237"/>
      <c r="T737" s="237"/>
      <c r="U737" s="237"/>
      <c r="V737" s="237"/>
      <c r="W737" s="237"/>
      <c r="X737" s="237"/>
      <c r="Y737" s="237"/>
      <c r="Z737" s="237"/>
    </row>
    <row r="738" spans="1:26" ht="24.75" customHeight="1" x14ac:dyDescent="0.25">
      <c r="A738" s="236"/>
      <c r="B738" s="237"/>
      <c r="C738" s="236"/>
      <c r="D738" s="238"/>
      <c r="E738" s="238"/>
      <c r="F738" s="238"/>
      <c r="G738" s="239"/>
      <c r="H738" s="241"/>
      <c r="I738" s="244"/>
      <c r="J738" s="241"/>
      <c r="K738" s="237"/>
      <c r="L738" s="237"/>
      <c r="M738" s="237"/>
      <c r="N738" s="237"/>
      <c r="O738" s="237"/>
      <c r="P738" s="237"/>
      <c r="Q738" s="237"/>
      <c r="R738" s="237"/>
      <c r="S738" s="237"/>
      <c r="T738" s="237"/>
      <c r="U738" s="237"/>
      <c r="V738" s="237"/>
      <c r="W738" s="237"/>
      <c r="X738" s="237"/>
      <c r="Y738" s="237"/>
      <c r="Z738" s="237"/>
    </row>
    <row r="739" spans="1:26" ht="24.75" customHeight="1" x14ac:dyDescent="0.25">
      <c r="A739" s="236"/>
      <c r="B739" s="237"/>
      <c r="C739" s="236"/>
      <c r="D739" s="238"/>
      <c r="E739" s="238"/>
      <c r="F739" s="238"/>
      <c r="G739" s="239"/>
      <c r="H739" s="241"/>
      <c r="I739" s="244"/>
      <c r="J739" s="241"/>
      <c r="K739" s="237"/>
      <c r="L739" s="237"/>
      <c r="M739" s="237"/>
      <c r="N739" s="237"/>
      <c r="O739" s="237"/>
      <c r="P739" s="237"/>
      <c r="Q739" s="237"/>
      <c r="R739" s="237"/>
      <c r="S739" s="237"/>
      <c r="T739" s="237"/>
      <c r="U739" s="237"/>
      <c r="V739" s="237"/>
      <c r="W739" s="237"/>
      <c r="X739" s="237"/>
      <c r="Y739" s="237"/>
      <c r="Z739" s="237"/>
    </row>
    <row r="740" spans="1:26" ht="24.75" customHeight="1" x14ac:dyDescent="0.25">
      <c r="A740" s="236"/>
      <c r="B740" s="237"/>
      <c r="C740" s="236"/>
      <c r="D740" s="238"/>
      <c r="E740" s="238"/>
      <c r="F740" s="238"/>
      <c r="G740" s="239"/>
      <c r="H740" s="241"/>
      <c r="I740" s="244"/>
      <c r="J740" s="241"/>
      <c r="K740" s="237"/>
      <c r="L740" s="237"/>
      <c r="M740" s="237"/>
      <c r="N740" s="237"/>
      <c r="O740" s="237"/>
      <c r="P740" s="237"/>
      <c r="Q740" s="237"/>
      <c r="R740" s="237"/>
      <c r="S740" s="237"/>
      <c r="T740" s="237"/>
      <c r="U740" s="237"/>
      <c r="V740" s="237"/>
      <c r="W740" s="237"/>
      <c r="X740" s="237"/>
      <c r="Y740" s="237"/>
      <c r="Z740" s="237"/>
    </row>
    <row r="741" spans="1:26" ht="24.75" customHeight="1" x14ac:dyDescent="0.25">
      <c r="A741" s="236"/>
      <c r="B741" s="237"/>
      <c r="C741" s="236"/>
      <c r="D741" s="238"/>
      <c r="E741" s="238"/>
      <c r="F741" s="238"/>
      <c r="G741" s="239"/>
      <c r="H741" s="241"/>
      <c r="I741" s="244"/>
      <c r="J741" s="241"/>
      <c r="K741" s="237"/>
      <c r="L741" s="237"/>
      <c r="M741" s="237"/>
      <c r="N741" s="237"/>
      <c r="O741" s="237"/>
      <c r="P741" s="237"/>
      <c r="Q741" s="237"/>
      <c r="R741" s="237"/>
      <c r="S741" s="237"/>
      <c r="T741" s="237"/>
      <c r="U741" s="237"/>
      <c r="V741" s="237"/>
      <c r="W741" s="237"/>
      <c r="X741" s="237"/>
      <c r="Y741" s="237"/>
      <c r="Z741" s="237"/>
    </row>
    <row r="742" spans="1:26" ht="24.75" customHeight="1" x14ac:dyDescent="0.25">
      <c r="A742" s="236"/>
      <c r="B742" s="237"/>
      <c r="C742" s="236"/>
      <c r="D742" s="238"/>
      <c r="E742" s="238"/>
      <c r="F742" s="238"/>
      <c r="G742" s="239"/>
      <c r="H742" s="241"/>
      <c r="I742" s="244"/>
      <c r="J742" s="241"/>
      <c r="K742" s="237"/>
      <c r="L742" s="237"/>
      <c r="M742" s="237"/>
      <c r="N742" s="237"/>
      <c r="O742" s="237"/>
      <c r="P742" s="237"/>
      <c r="Q742" s="237"/>
      <c r="R742" s="237"/>
      <c r="S742" s="237"/>
      <c r="T742" s="237"/>
      <c r="U742" s="237"/>
      <c r="V742" s="237"/>
      <c r="W742" s="237"/>
      <c r="X742" s="237"/>
      <c r="Y742" s="237"/>
      <c r="Z742" s="237"/>
    </row>
    <row r="743" spans="1:26" ht="24.75" customHeight="1" x14ac:dyDescent="0.25">
      <c r="A743" s="236"/>
      <c r="B743" s="237"/>
      <c r="C743" s="236"/>
      <c r="D743" s="238"/>
      <c r="E743" s="238"/>
      <c r="F743" s="238"/>
      <c r="G743" s="239"/>
      <c r="H743" s="241"/>
      <c r="I743" s="244"/>
      <c r="J743" s="241"/>
      <c r="K743" s="237"/>
      <c r="L743" s="237"/>
      <c r="M743" s="237"/>
      <c r="N743" s="237"/>
      <c r="O743" s="237"/>
      <c r="P743" s="237"/>
      <c r="Q743" s="237"/>
      <c r="R743" s="237"/>
      <c r="S743" s="237"/>
      <c r="T743" s="237"/>
      <c r="U743" s="237"/>
      <c r="V743" s="237"/>
      <c r="W743" s="237"/>
      <c r="X743" s="237"/>
      <c r="Y743" s="237"/>
      <c r="Z743" s="237"/>
    </row>
    <row r="744" spans="1:26" ht="24.75" customHeight="1" x14ac:dyDescent="0.25">
      <c r="A744" s="236"/>
      <c r="B744" s="237"/>
      <c r="C744" s="236"/>
      <c r="D744" s="238"/>
      <c r="E744" s="238"/>
      <c r="F744" s="238"/>
      <c r="G744" s="239"/>
      <c r="H744" s="241"/>
      <c r="I744" s="244"/>
      <c r="J744" s="241"/>
      <c r="K744" s="237"/>
      <c r="L744" s="237"/>
      <c r="M744" s="237"/>
      <c r="N744" s="237"/>
      <c r="O744" s="237"/>
      <c r="P744" s="237"/>
      <c r="Q744" s="237"/>
      <c r="R744" s="237"/>
      <c r="S744" s="237"/>
      <c r="T744" s="237"/>
      <c r="U744" s="237"/>
      <c r="V744" s="237"/>
      <c r="W744" s="237"/>
      <c r="X744" s="237"/>
      <c r="Y744" s="237"/>
      <c r="Z744" s="237"/>
    </row>
    <row r="745" spans="1:26" ht="24.75" customHeight="1" x14ac:dyDescent="0.25">
      <c r="A745" s="236"/>
      <c r="B745" s="237"/>
      <c r="C745" s="236"/>
      <c r="D745" s="238"/>
      <c r="E745" s="238"/>
      <c r="F745" s="238"/>
      <c r="G745" s="239"/>
      <c r="H745" s="241"/>
      <c r="I745" s="244"/>
      <c r="J745" s="241"/>
      <c r="K745" s="237"/>
      <c r="L745" s="237"/>
      <c r="M745" s="237"/>
      <c r="N745" s="237"/>
      <c r="O745" s="237"/>
      <c r="P745" s="237"/>
      <c r="Q745" s="237"/>
      <c r="R745" s="237"/>
      <c r="S745" s="237"/>
      <c r="T745" s="237"/>
      <c r="U745" s="237"/>
      <c r="V745" s="237"/>
      <c r="W745" s="237"/>
      <c r="X745" s="237"/>
      <c r="Y745" s="237"/>
      <c r="Z745" s="237"/>
    </row>
    <row r="746" spans="1:26" ht="24.75" customHeight="1" x14ac:dyDescent="0.25">
      <c r="A746" s="236"/>
      <c r="B746" s="237"/>
      <c r="C746" s="236"/>
      <c r="D746" s="238"/>
      <c r="E746" s="238"/>
      <c r="F746" s="238"/>
      <c r="G746" s="239"/>
      <c r="H746" s="241"/>
      <c r="I746" s="244"/>
      <c r="J746" s="241"/>
      <c r="K746" s="237"/>
      <c r="L746" s="237"/>
      <c r="M746" s="237"/>
      <c r="N746" s="237"/>
      <c r="O746" s="237"/>
      <c r="P746" s="237"/>
      <c r="Q746" s="237"/>
      <c r="R746" s="237"/>
      <c r="S746" s="237"/>
      <c r="T746" s="237"/>
      <c r="U746" s="237"/>
      <c r="V746" s="237"/>
      <c r="W746" s="237"/>
      <c r="X746" s="237"/>
      <c r="Y746" s="237"/>
      <c r="Z746" s="237"/>
    </row>
    <row r="747" spans="1:26" ht="24.75" customHeight="1" x14ac:dyDescent="0.25">
      <c r="A747" s="236"/>
      <c r="B747" s="237"/>
      <c r="C747" s="236"/>
      <c r="D747" s="238"/>
      <c r="E747" s="238"/>
      <c r="F747" s="238"/>
      <c r="G747" s="239"/>
      <c r="H747" s="241"/>
      <c r="I747" s="244"/>
      <c r="J747" s="241"/>
      <c r="K747" s="237"/>
      <c r="L747" s="237"/>
      <c r="M747" s="237"/>
      <c r="N747" s="237"/>
      <c r="O747" s="237"/>
      <c r="P747" s="237"/>
      <c r="Q747" s="237"/>
      <c r="R747" s="237"/>
      <c r="S747" s="237"/>
      <c r="T747" s="237"/>
      <c r="U747" s="237"/>
      <c r="V747" s="237"/>
      <c r="W747" s="237"/>
      <c r="X747" s="237"/>
      <c r="Y747" s="237"/>
      <c r="Z747" s="237"/>
    </row>
    <row r="748" spans="1:26" ht="24.75" customHeight="1" x14ac:dyDescent="0.25">
      <c r="A748" s="236"/>
      <c r="B748" s="237"/>
      <c r="C748" s="236"/>
      <c r="D748" s="238"/>
      <c r="E748" s="238"/>
      <c r="F748" s="238"/>
      <c r="G748" s="239"/>
      <c r="H748" s="241"/>
      <c r="I748" s="244"/>
      <c r="J748" s="241"/>
      <c r="K748" s="237"/>
      <c r="L748" s="237"/>
      <c r="M748" s="237"/>
      <c r="N748" s="237"/>
      <c r="O748" s="237"/>
      <c r="P748" s="237"/>
      <c r="Q748" s="237"/>
      <c r="R748" s="237"/>
      <c r="S748" s="237"/>
      <c r="T748" s="237"/>
      <c r="U748" s="237"/>
      <c r="V748" s="237"/>
      <c r="W748" s="237"/>
      <c r="X748" s="237"/>
      <c r="Y748" s="237"/>
      <c r="Z748" s="237"/>
    </row>
    <row r="749" spans="1:26" ht="24.75" customHeight="1" x14ac:dyDescent="0.25">
      <c r="A749" s="236"/>
      <c r="B749" s="237"/>
      <c r="C749" s="236"/>
      <c r="D749" s="238"/>
      <c r="E749" s="238"/>
      <c r="F749" s="238"/>
      <c r="G749" s="239"/>
      <c r="H749" s="241"/>
      <c r="I749" s="244"/>
      <c r="J749" s="241"/>
      <c r="K749" s="237"/>
      <c r="L749" s="237"/>
      <c r="M749" s="237"/>
      <c r="N749" s="237"/>
      <c r="O749" s="237"/>
      <c r="P749" s="237"/>
      <c r="Q749" s="237"/>
      <c r="R749" s="237"/>
      <c r="S749" s="237"/>
      <c r="T749" s="237"/>
      <c r="U749" s="237"/>
      <c r="V749" s="237"/>
      <c r="W749" s="237"/>
      <c r="X749" s="237"/>
      <c r="Y749" s="237"/>
      <c r="Z749" s="237"/>
    </row>
    <row r="750" spans="1:26" ht="24.75" customHeight="1" x14ac:dyDescent="0.25">
      <c r="A750" s="236"/>
      <c r="B750" s="237"/>
      <c r="C750" s="236"/>
      <c r="D750" s="238"/>
      <c r="E750" s="238"/>
      <c r="F750" s="238"/>
      <c r="G750" s="239"/>
      <c r="H750" s="241"/>
      <c r="I750" s="244"/>
      <c r="J750" s="241"/>
      <c r="K750" s="237"/>
      <c r="L750" s="237"/>
      <c r="M750" s="237"/>
      <c r="N750" s="237"/>
      <c r="O750" s="237"/>
      <c r="P750" s="237"/>
      <c r="Q750" s="237"/>
      <c r="R750" s="237"/>
      <c r="S750" s="237"/>
      <c r="T750" s="237"/>
      <c r="U750" s="237"/>
      <c r="V750" s="237"/>
      <c r="W750" s="237"/>
      <c r="X750" s="237"/>
      <c r="Y750" s="237"/>
      <c r="Z750" s="237"/>
    </row>
    <row r="751" spans="1:26" ht="24.75" customHeight="1" x14ac:dyDescent="0.25">
      <c r="A751" s="236"/>
      <c r="B751" s="237"/>
      <c r="C751" s="236"/>
      <c r="D751" s="238"/>
      <c r="E751" s="238"/>
      <c r="F751" s="238"/>
      <c r="G751" s="239"/>
      <c r="H751" s="241"/>
      <c r="I751" s="244"/>
      <c r="J751" s="241"/>
      <c r="K751" s="237"/>
      <c r="L751" s="237"/>
      <c r="M751" s="237"/>
      <c r="N751" s="237"/>
      <c r="O751" s="237"/>
      <c r="P751" s="237"/>
      <c r="Q751" s="237"/>
      <c r="R751" s="237"/>
      <c r="S751" s="237"/>
      <c r="T751" s="237"/>
      <c r="U751" s="237"/>
      <c r="V751" s="237"/>
      <c r="W751" s="237"/>
      <c r="X751" s="237"/>
      <c r="Y751" s="237"/>
      <c r="Z751" s="237"/>
    </row>
    <row r="752" spans="1:26" ht="24.75" customHeight="1" x14ac:dyDescent="0.25">
      <c r="A752" s="236"/>
      <c r="B752" s="237"/>
      <c r="C752" s="236"/>
      <c r="D752" s="238"/>
      <c r="E752" s="238"/>
      <c r="F752" s="238"/>
      <c r="G752" s="239"/>
      <c r="H752" s="241"/>
      <c r="I752" s="244"/>
      <c r="J752" s="241"/>
      <c r="K752" s="237"/>
      <c r="L752" s="237"/>
      <c r="M752" s="237"/>
      <c r="N752" s="237"/>
      <c r="O752" s="237"/>
      <c r="P752" s="237"/>
      <c r="Q752" s="237"/>
      <c r="R752" s="237"/>
      <c r="S752" s="237"/>
      <c r="T752" s="237"/>
      <c r="U752" s="237"/>
      <c r="V752" s="237"/>
      <c r="W752" s="237"/>
      <c r="X752" s="237"/>
      <c r="Y752" s="237"/>
      <c r="Z752" s="237"/>
    </row>
    <row r="753" spans="1:26" ht="24.75" customHeight="1" x14ac:dyDescent="0.25">
      <c r="A753" s="236"/>
      <c r="B753" s="237"/>
      <c r="C753" s="236"/>
      <c r="D753" s="238"/>
      <c r="E753" s="238"/>
      <c r="F753" s="238"/>
      <c r="G753" s="239"/>
      <c r="H753" s="241"/>
      <c r="I753" s="244"/>
      <c r="J753" s="241"/>
      <c r="K753" s="237"/>
      <c r="L753" s="237"/>
      <c r="M753" s="237"/>
      <c r="N753" s="237"/>
      <c r="O753" s="237"/>
      <c r="P753" s="237"/>
      <c r="Q753" s="237"/>
      <c r="R753" s="237"/>
      <c r="S753" s="237"/>
      <c r="T753" s="237"/>
      <c r="U753" s="237"/>
      <c r="V753" s="237"/>
      <c r="W753" s="237"/>
      <c r="X753" s="237"/>
      <c r="Y753" s="237"/>
      <c r="Z753" s="237"/>
    </row>
    <row r="754" spans="1:26" ht="24.75" customHeight="1" x14ac:dyDescent="0.25">
      <c r="A754" s="236"/>
      <c r="B754" s="237"/>
      <c r="C754" s="236"/>
      <c r="D754" s="238"/>
      <c r="E754" s="238"/>
      <c r="F754" s="238"/>
      <c r="G754" s="239"/>
      <c r="H754" s="241"/>
      <c r="I754" s="244"/>
      <c r="J754" s="241"/>
      <c r="K754" s="237"/>
      <c r="L754" s="237"/>
      <c r="M754" s="237"/>
      <c r="N754" s="237"/>
      <c r="O754" s="237"/>
      <c r="P754" s="237"/>
      <c r="Q754" s="237"/>
      <c r="R754" s="237"/>
      <c r="S754" s="237"/>
      <c r="T754" s="237"/>
      <c r="U754" s="237"/>
      <c r="V754" s="237"/>
      <c r="W754" s="237"/>
      <c r="X754" s="237"/>
      <c r="Y754" s="237"/>
      <c r="Z754" s="237"/>
    </row>
    <row r="755" spans="1:26" ht="24.75" customHeight="1" x14ac:dyDescent="0.25">
      <c r="A755" s="236"/>
      <c r="B755" s="237"/>
      <c r="C755" s="236"/>
      <c r="D755" s="238"/>
      <c r="E755" s="238"/>
      <c r="F755" s="238"/>
      <c r="G755" s="239"/>
      <c r="H755" s="241"/>
      <c r="I755" s="244"/>
      <c r="J755" s="241"/>
      <c r="K755" s="237"/>
      <c r="L755" s="237"/>
      <c r="M755" s="237"/>
      <c r="N755" s="237"/>
      <c r="O755" s="237"/>
      <c r="P755" s="237"/>
      <c r="Q755" s="237"/>
      <c r="R755" s="237"/>
      <c r="S755" s="237"/>
      <c r="T755" s="237"/>
      <c r="U755" s="237"/>
      <c r="V755" s="237"/>
      <c r="W755" s="237"/>
      <c r="X755" s="237"/>
      <c r="Y755" s="237"/>
      <c r="Z755" s="237"/>
    </row>
    <row r="756" spans="1:26" ht="24.75" customHeight="1" x14ac:dyDescent="0.25">
      <c r="A756" s="236"/>
      <c r="B756" s="237"/>
      <c r="C756" s="236"/>
      <c r="D756" s="238"/>
      <c r="E756" s="238"/>
      <c r="F756" s="238"/>
      <c r="G756" s="239"/>
      <c r="H756" s="241"/>
      <c r="I756" s="244"/>
      <c r="J756" s="241"/>
      <c r="K756" s="237"/>
      <c r="L756" s="237"/>
      <c r="M756" s="237"/>
      <c r="N756" s="237"/>
      <c r="O756" s="237"/>
      <c r="P756" s="237"/>
      <c r="Q756" s="237"/>
      <c r="R756" s="237"/>
      <c r="S756" s="237"/>
      <c r="T756" s="237"/>
      <c r="U756" s="237"/>
      <c r="V756" s="237"/>
      <c r="W756" s="237"/>
      <c r="X756" s="237"/>
      <c r="Y756" s="237"/>
      <c r="Z756" s="237"/>
    </row>
    <row r="757" spans="1:26" ht="24.75" customHeight="1" x14ac:dyDescent="0.25">
      <c r="A757" s="236"/>
      <c r="B757" s="237"/>
      <c r="C757" s="236"/>
      <c r="D757" s="238"/>
      <c r="E757" s="238"/>
      <c r="F757" s="238"/>
      <c r="G757" s="239"/>
      <c r="H757" s="241"/>
      <c r="I757" s="244"/>
      <c r="J757" s="241"/>
      <c r="K757" s="237"/>
      <c r="L757" s="237"/>
      <c r="M757" s="237"/>
      <c r="N757" s="237"/>
      <c r="O757" s="237"/>
      <c r="P757" s="237"/>
      <c r="Q757" s="237"/>
      <c r="R757" s="237"/>
      <c r="S757" s="237"/>
      <c r="T757" s="237"/>
      <c r="U757" s="237"/>
      <c r="V757" s="237"/>
      <c r="W757" s="237"/>
      <c r="X757" s="237"/>
      <c r="Y757" s="237"/>
      <c r="Z757" s="237"/>
    </row>
    <row r="758" spans="1:26" ht="24.75" customHeight="1" x14ac:dyDescent="0.25">
      <c r="A758" s="236"/>
      <c r="B758" s="237"/>
      <c r="C758" s="236"/>
      <c r="D758" s="238"/>
      <c r="E758" s="238"/>
      <c r="F758" s="238"/>
      <c r="G758" s="239"/>
      <c r="H758" s="241"/>
      <c r="I758" s="244"/>
      <c r="J758" s="241"/>
      <c r="K758" s="237"/>
      <c r="L758" s="237"/>
      <c r="M758" s="237"/>
      <c r="N758" s="237"/>
      <c r="O758" s="237"/>
      <c r="P758" s="237"/>
      <c r="Q758" s="237"/>
      <c r="R758" s="237"/>
      <c r="S758" s="237"/>
      <c r="T758" s="237"/>
      <c r="U758" s="237"/>
      <c r="V758" s="237"/>
      <c r="W758" s="237"/>
      <c r="X758" s="237"/>
      <c r="Y758" s="237"/>
      <c r="Z758" s="237"/>
    </row>
    <row r="759" spans="1:26" ht="24.75" customHeight="1" x14ac:dyDescent="0.25">
      <c r="A759" s="236"/>
      <c r="B759" s="237"/>
      <c r="C759" s="236"/>
      <c r="D759" s="238"/>
      <c r="E759" s="238"/>
      <c r="F759" s="238"/>
      <c r="G759" s="239"/>
      <c r="H759" s="241"/>
      <c r="I759" s="244"/>
      <c r="J759" s="241"/>
      <c r="K759" s="237"/>
      <c r="L759" s="237"/>
      <c r="M759" s="237"/>
      <c r="N759" s="237"/>
      <c r="O759" s="237"/>
      <c r="P759" s="237"/>
      <c r="Q759" s="237"/>
      <c r="R759" s="237"/>
      <c r="S759" s="237"/>
      <c r="T759" s="237"/>
      <c r="U759" s="237"/>
      <c r="V759" s="237"/>
      <c r="W759" s="237"/>
      <c r="X759" s="237"/>
      <c r="Y759" s="237"/>
      <c r="Z759" s="237"/>
    </row>
    <row r="760" spans="1:26" ht="24.75" customHeight="1" x14ac:dyDescent="0.25">
      <c r="A760" s="236"/>
      <c r="B760" s="237"/>
      <c r="C760" s="236"/>
      <c r="D760" s="238"/>
      <c r="E760" s="238"/>
      <c r="F760" s="238"/>
      <c r="G760" s="239"/>
      <c r="H760" s="241"/>
      <c r="I760" s="244"/>
      <c r="J760" s="241"/>
      <c r="K760" s="237"/>
      <c r="L760" s="237"/>
      <c r="M760" s="237"/>
      <c r="N760" s="237"/>
      <c r="O760" s="237"/>
      <c r="P760" s="237"/>
      <c r="Q760" s="237"/>
      <c r="R760" s="237"/>
      <c r="S760" s="237"/>
      <c r="T760" s="237"/>
      <c r="U760" s="237"/>
      <c r="V760" s="237"/>
      <c r="W760" s="237"/>
      <c r="X760" s="237"/>
      <c r="Y760" s="237"/>
      <c r="Z760" s="237"/>
    </row>
    <row r="761" spans="1:26" ht="24.75" customHeight="1" x14ac:dyDescent="0.25">
      <c r="A761" s="236"/>
      <c r="B761" s="237"/>
      <c r="C761" s="236"/>
      <c r="D761" s="238"/>
      <c r="E761" s="238"/>
      <c r="F761" s="238"/>
      <c r="G761" s="239"/>
      <c r="H761" s="241"/>
      <c r="I761" s="244"/>
      <c r="J761" s="241"/>
      <c r="K761" s="237"/>
      <c r="L761" s="237"/>
      <c r="M761" s="237"/>
      <c r="N761" s="237"/>
      <c r="O761" s="237"/>
      <c r="P761" s="237"/>
      <c r="Q761" s="237"/>
      <c r="R761" s="237"/>
      <c r="S761" s="237"/>
      <c r="T761" s="237"/>
      <c r="U761" s="237"/>
      <c r="V761" s="237"/>
      <c r="W761" s="237"/>
      <c r="X761" s="237"/>
      <c r="Y761" s="237"/>
      <c r="Z761" s="237"/>
    </row>
    <row r="762" spans="1:26" ht="24.75" customHeight="1" x14ac:dyDescent="0.25">
      <c r="A762" s="236"/>
      <c r="B762" s="237"/>
      <c r="C762" s="236"/>
      <c r="D762" s="238"/>
      <c r="E762" s="238"/>
      <c r="F762" s="238"/>
      <c r="G762" s="239"/>
      <c r="H762" s="241"/>
      <c r="I762" s="244"/>
      <c r="J762" s="241"/>
      <c r="K762" s="237"/>
      <c r="L762" s="237"/>
      <c r="M762" s="237"/>
      <c r="N762" s="237"/>
      <c r="O762" s="237"/>
      <c r="P762" s="237"/>
      <c r="Q762" s="237"/>
      <c r="R762" s="237"/>
      <c r="S762" s="237"/>
      <c r="T762" s="237"/>
      <c r="U762" s="237"/>
      <c r="V762" s="237"/>
      <c r="W762" s="237"/>
      <c r="X762" s="237"/>
      <c r="Y762" s="237"/>
      <c r="Z762" s="237"/>
    </row>
    <row r="763" spans="1:26" ht="24.75" customHeight="1" x14ac:dyDescent="0.25">
      <c r="A763" s="236"/>
      <c r="B763" s="237"/>
      <c r="C763" s="236"/>
      <c r="D763" s="238"/>
      <c r="E763" s="238"/>
      <c r="F763" s="238"/>
      <c r="G763" s="239"/>
      <c r="H763" s="241"/>
      <c r="I763" s="244"/>
      <c r="J763" s="241"/>
      <c r="K763" s="237"/>
      <c r="L763" s="237"/>
      <c r="M763" s="237"/>
      <c r="N763" s="237"/>
      <c r="O763" s="237"/>
      <c r="P763" s="237"/>
      <c r="Q763" s="237"/>
      <c r="R763" s="237"/>
      <c r="S763" s="237"/>
      <c r="T763" s="237"/>
      <c r="U763" s="237"/>
      <c r="V763" s="237"/>
      <c r="W763" s="237"/>
      <c r="X763" s="237"/>
      <c r="Y763" s="237"/>
      <c r="Z763" s="237"/>
    </row>
    <row r="764" spans="1:26" ht="24.75" customHeight="1" x14ac:dyDescent="0.25">
      <c r="A764" s="236"/>
      <c r="B764" s="237"/>
      <c r="C764" s="236"/>
      <c r="D764" s="238"/>
      <c r="E764" s="238"/>
      <c r="F764" s="238"/>
      <c r="G764" s="239"/>
      <c r="H764" s="241"/>
      <c r="I764" s="244"/>
      <c r="J764" s="241"/>
      <c r="K764" s="237"/>
      <c r="L764" s="237"/>
      <c r="M764" s="237"/>
      <c r="N764" s="237"/>
      <c r="O764" s="237"/>
      <c r="P764" s="237"/>
      <c r="Q764" s="237"/>
      <c r="R764" s="237"/>
      <c r="S764" s="237"/>
      <c r="T764" s="237"/>
      <c r="U764" s="237"/>
      <c r="V764" s="237"/>
      <c r="W764" s="237"/>
      <c r="X764" s="237"/>
      <c r="Y764" s="237"/>
      <c r="Z764" s="237"/>
    </row>
    <row r="765" spans="1:26" ht="24.75" customHeight="1" x14ac:dyDescent="0.25">
      <c r="A765" s="236"/>
      <c r="B765" s="237"/>
      <c r="C765" s="236"/>
      <c r="D765" s="238"/>
      <c r="E765" s="238"/>
      <c r="F765" s="238"/>
      <c r="G765" s="239"/>
      <c r="H765" s="241"/>
      <c r="I765" s="244"/>
      <c r="J765" s="241"/>
      <c r="K765" s="237"/>
      <c r="L765" s="237"/>
      <c r="M765" s="237"/>
      <c r="N765" s="237"/>
      <c r="O765" s="237"/>
      <c r="P765" s="237"/>
      <c r="Q765" s="237"/>
      <c r="R765" s="237"/>
      <c r="S765" s="237"/>
      <c r="T765" s="237"/>
      <c r="U765" s="237"/>
      <c r="V765" s="237"/>
      <c r="W765" s="237"/>
      <c r="X765" s="237"/>
      <c r="Y765" s="237"/>
      <c r="Z765" s="237"/>
    </row>
    <row r="766" spans="1:26" ht="24.75" customHeight="1" x14ac:dyDescent="0.25">
      <c r="A766" s="236"/>
      <c r="B766" s="237"/>
      <c r="C766" s="236"/>
      <c r="D766" s="238"/>
      <c r="E766" s="238"/>
      <c r="F766" s="238"/>
      <c r="G766" s="239"/>
      <c r="H766" s="241"/>
      <c r="I766" s="244"/>
      <c r="J766" s="241"/>
      <c r="K766" s="237"/>
      <c r="L766" s="237"/>
      <c r="M766" s="237"/>
      <c r="N766" s="237"/>
      <c r="O766" s="237"/>
      <c r="P766" s="237"/>
      <c r="Q766" s="237"/>
      <c r="R766" s="237"/>
      <c r="S766" s="237"/>
      <c r="T766" s="237"/>
      <c r="U766" s="237"/>
      <c r="V766" s="237"/>
      <c r="W766" s="237"/>
      <c r="X766" s="237"/>
      <c r="Y766" s="237"/>
      <c r="Z766" s="237"/>
    </row>
    <row r="767" spans="1:26" ht="24.75" customHeight="1" x14ac:dyDescent="0.25">
      <c r="A767" s="236"/>
      <c r="B767" s="237"/>
      <c r="C767" s="236"/>
      <c r="D767" s="238"/>
      <c r="E767" s="238"/>
      <c r="F767" s="238"/>
      <c r="G767" s="239"/>
      <c r="H767" s="241"/>
      <c r="I767" s="244"/>
      <c r="J767" s="241"/>
      <c r="K767" s="237"/>
      <c r="L767" s="237"/>
      <c r="M767" s="237"/>
      <c r="N767" s="237"/>
      <c r="O767" s="237"/>
      <c r="P767" s="237"/>
      <c r="Q767" s="237"/>
      <c r="R767" s="237"/>
      <c r="S767" s="237"/>
      <c r="T767" s="237"/>
      <c r="U767" s="237"/>
      <c r="V767" s="237"/>
      <c r="W767" s="237"/>
      <c r="X767" s="237"/>
      <c r="Y767" s="237"/>
      <c r="Z767" s="237"/>
    </row>
    <row r="768" spans="1:26" ht="24.75" customHeight="1" x14ac:dyDescent="0.25">
      <c r="A768" s="236"/>
      <c r="B768" s="237"/>
      <c r="C768" s="236"/>
      <c r="D768" s="238"/>
      <c r="E768" s="238"/>
      <c r="F768" s="238"/>
      <c r="G768" s="239"/>
      <c r="H768" s="241"/>
      <c r="I768" s="244"/>
      <c r="J768" s="241"/>
      <c r="K768" s="237"/>
      <c r="L768" s="237"/>
      <c r="M768" s="237"/>
      <c r="N768" s="237"/>
      <c r="O768" s="237"/>
      <c r="P768" s="237"/>
      <c r="Q768" s="237"/>
      <c r="R768" s="237"/>
      <c r="S768" s="237"/>
      <c r="T768" s="237"/>
      <c r="U768" s="237"/>
      <c r="V768" s="237"/>
      <c r="W768" s="237"/>
      <c r="X768" s="237"/>
      <c r="Y768" s="237"/>
      <c r="Z768" s="237"/>
    </row>
    <row r="769" spans="1:26" ht="24.75" customHeight="1" x14ac:dyDescent="0.25">
      <c r="A769" s="236"/>
      <c r="B769" s="237"/>
      <c r="C769" s="236"/>
      <c r="D769" s="238"/>
      <c r="E769" s="238"/>
      <c r="F769" s="238"/>
      <c r="G769" s="239"/>
      <c r="H769" s="241"/>
      <c r="I769" s="244"/>
      <c r="J769" s="241"/>
      <c r="K769" s="237"/>
      <c r="L769" s="237"/>
      <c r="M769" s="237"/>
      <c r="N769" s="237"/>
      <c r="O769" s="237"/>
      <c r="P769" s="237"/>
      <c r="Q769" s="237"/>
      <c r="R769" s="237"/>
      <c r="S769" s="237"/>
      <c r="T769" s="237"/>
      <c r="U769" s="237"/>
      <c r="V769" s="237"/>
      <c r="W769" s="237"/>
      <c r="X769" s="237"/>
      <c r="Y769" s="237"/>
      <c r="Z769" s="237"/>
    </row>
    <row r="770" spans="1:26" ht="24.75" customHeight="1" x14ac:dyDescent="0.25">
      <c r="A770" s="236"/>
      <c r="B770" s="237"/>
      <c r="C770" s="236"/>
      <c r="D770" s="238"/>
      <c r="E770" s="238"/>
      <c r="F770" s="238"/>
      <c r="G770" s="239"/>
      <c r="H770" s="241"/>
      <c r="I770" s="244"/>
      <c r="J770" s="241"/>
      <c r="K770" s="237"/>
      <c r="L770" s="237"/>
      <c r="M770" s="237"/>
      <c r="N770" s="237"/>
      <c r="O770" s="237"/>
      <c r="P770" s="237"/>
      <c r="Q770" s="237"/>
      <c r="R770" s="237"/>
      <c r="S770" s="237"/>
      <c r="T770" s="237"/>
      <c r="U770" s="237"/>
      <c r="V770" s="237"/>
      <c r="W770" s="237"/>
      <c r="X770" s="237"/>
      <c r="Y770" s="237"/>
      <c r="Z770" s="237"/>
    </row>
    <row r="771" spans="1:26" ht="24.75" customHeight="1" x14ac:dyDescent="0.25">
      <c r="A771" s="236"/>
      <c r="B771" s="237"/>
      <c r="C771" s="236"/>
      <c r="D771" s="238"/>
      <c r="E771" s="238"/>
      <c r="F771" s="238"/>
      <c r="G771" s="239"/>
      <c r="H771" s="241"/>
      <c r="I771" s="244"/>
      <c r="J771" s="241"/>
      <c r="K771" s="237"/>
      <c r="L771" s="237"/>
      <c r="M771" s="237"/>
      <c r="N771" s="237"/>
      <c r="O771" s="237"/>
      <c r="P771" s="237"/>
      <c r="Q771" s="237"/>
      <c r="R771" s="237"/>
      <c r="S771" s="237"/>
      <c r="T771" s="237"/>
      <c r="U771" s="237"/>
      <c r="V771" s="237"/>
      <c r="W771" s="237"/>
      <c r="X771" s="237"/>
      <c r="Y771" s="237"/>
      <c r="Z771" s="237"/>
    </row>
    <row r="772" spans="1:26" ht="24.75" customHeight="1" x14ac:dyDescent="0.25">
      <c r="A772" s="236"/>
      <c r="B772" s="237"/>
      <c r="C772" s="236"/>
      <c r="D772" s="238"/>
      <c r="E772" s="238"/>
      <c r="F772" s="238"/>
      <c r="G772" s="239"/>
      <c r="H772" s="241"/>
      <c r="I772" s="244"/>
      <c r="J772" s="241"/>
      <c r="K772" s="237"/>
      <c r="L772" s="237"/>
      <c r="M772" s="237"/>
      <c r="N772" s="237"/>
      <c r="O772" s="237"/>
      <c r="P772" s="237"/>
      <c r="Q772" s="237"/>
      <c r="R772" s="237"/>
      <c r="S772" s="237"/>
      <c r="T772" s="237"/>
      <c r="U772" s="237"/>
      <c r="V772" s="237"/>
      <c r="W772" s="237"/>
      <c r="X772" s="237"/>
      <c r="Y772" s="237"/>
      <c r="Z772" s="237"/>
    </row>
    <row r="773" spans="1:26" ht="24.75" customHeight="1" x14ac:dyDescent="0.25">
      <c r="A773" s="236"/>
      <c r="B773" s="237"/>
      <c r="C773" s="236"/>
      <c r="D773" s="238"/>
      <c r="E773" s="238"/>
      <c r="F773" s="238"/>
      <c r="G773" s="239"/>
      <c r="H773" s="241"/>
      <c r="I773" s="244"/>
      <c r="J773" s="241"/>
      <c r="K773" s="237"/>
      <c r="L773" s="237"/>
      <c r="M773" s="237"/>
      <c r="N773" s="237"/>
      <c r="O773" s="237"/>
      <c r="P773" s="237"/>
      <c r="Q773" s="237"/>
      <c r="R773" s="237"/>
      <c r="S773" s="237"/>
      <c r="T773" s="237"/>
      <c r="U773" s="237"/>
      <c r="V773" s="237"/>
      <c r="W773" s="237"/>
      <c r="X773" s="237"/>
      <c r="Y773" s="237"/>
      <c r="Z773" s="237"/>
    </row>
    <row r="774" spans="1:26" ht="24.75" customHeight="1" x14ac:dyDescent="0.25">
      <c r="A774" s="236"/>
      <c r="B774" s="237"/>
      <c r="C774" s="236"/>
      <c r="D774" s="238"/>
      <c r="E774" s="238"/>
      <c r="F774" s="238"/>
      <c r="G774" s="239"/>
      <c r="H774" s="241"/>
      <c r="I774" s="244"/>
      <c r="J774" s="241"/>
      <c r="K774" s="237"/>
      <c r="L774" s="237"/>
      <c r="M774" s="237"/>
      <c r="N774" s="237"/>
      <c r="O774" s="237"/>
      <c r="P774" s="237"/>
      <c r="Q774" s="237"/>
      <c r="R774" s="237"/>
      <c r="S774" s="237"/>
      <c r="T774" s="237"/>
      <c r="U774" s="237"/>
      <c r="V774" s="237"/>
      <c r="W774" s="237"/>
      <c r="X774" s="237"/>
      <c r="Y774" s="237"/>
      <c r="Z774" s="237"/>
    </row>
    <row r="775" spans="1:26" ht="24.75" customHeight="1" x14ac:dyDescent="0.25">
      <c r="A775" s="236"/>
      <c r="B775" s="237"/>
      <c r="C775" s="236"/>
      <c r="D775" s="238"/>
      <c r="E775" s="238"/>
      <c r="F775" s="238"/>
      <c r="G775" s="239"/>
      <c r="H775" s="241"/>
      <c r="I775" s="244"/>
      <c r="J775" s="241"/>
      <c r="K775" s="237"/>
      <c r="L775" s="237"/>
      <c r="M775" s="237"/>
      <c r="N775" s="237"/>
      <c r="O775" s="237"/>
      <c r="P775" s="237"/>
      <c r="Q775" s="237"/>
      <c r="R775" s="237"/>
      <c r="S775" s="237"/>
      <c r="T775" s="237"/>
      <c r="U775" s="237"/>
      <c r="V775" s="237"/>
      <c r="W775" s="237"/>
      <c r="X775" s="237"/>
      <c r="Y775" s="237"/>
      <c r="Z775" s="237"/>
    </row>
    <row r="776" spans="1:26" ht="24.75" customHeight="1" x14ac:dyDescent="0.25">
      <c r="A776" s="236"/>
      <c r="B776" s="237"/>
      <c r="C776" s="236"/>
      <c r="D776" s="238"/>
      <c r="E776" s="238"/>
      <c r="F776" s="238"/>
      <c r="G776" s="239"/>
      <c r="H776" s="241"/>
      <c r="I776" s="244"/>
      <c r="J776" s="241"/>
      <c r="K776" s="237"/>
      <c r="L776" s="237"/>
      <c r="M776" s="237"/>
      <c r="N776" s="237"/>
      <c r="O776" s="237"/>
      <c r="P776" s="237"/>
      <c r="Q776" s="237"/>
      <c r="R776" s="237"/>
      <c r="S776" s="237"/>
      <c r="T776" s="237"/>
      <c r="U776" s="237"/>
      <c r="V776" s="237"/>
      <c r="W776" s="237"/>
      <c r="X776" s="237"/>
      <c r="Y776" s="237"/>
      <c r="Z776" s="237"/>
    </row>
    <row r="777" spans="1:26" ht="24.75" customHeight="1" x14ac:dyDescent="0.25">
      <c r="A777" s="236"/>
      <c r="B777" s="237"/>
      <c r="C777" s="236"/>
      <c r="D777" s="238"/>
      <c r="E777" s="238"/>
      <c r="F777" s="238"/>
      <c r="G777" s="239"/>
      <c r="H777" s="241"/>
      <c r="I777" s="244"/>
      <c r="J777" s="241"/>
      <c r="K777" s="237"/>
      <c r="L777" s="237"/>
      <c r="M777" s="237"/>
      <c r="N777" s="237"/>
      <c r="O777" s="237"/>
      <c r="P777" s="237"/>
      <c r="Q777" s="237"/>
      <c r="R777" s="237"/>
      <c r="S777" s="237"/>
      <c r="T777" s="237"/>
      <c r="U777" s="237"/>
      <c r="V777" s="237"/>
      <c r="W777" s="237"/>
      <c r="X777" s="237"/>
      <c r="Y777" s="237"/>
      <c r="Z777" s="237"/>
    </row>
    <row r="778" spans="1:26" ht="24.75" customHeight="1" x14ac:dyDescent="0.25">
      <c r="A778" s="236"/>
      <c r="B778" s="237"/>
      <c r="C778" s="236"/>
      <c r="D778" s="238"/>
      <c r="E778" s="238"/>
      <c r="F778" s="238"/>
      <c r="G778" s="239"/>
      <c r="H778" s="241"/>
      <c r="I778" s="244"/>
      <c r="J778" s="241"/>
      <c r="K778" s="237"/>
      <c r="L778" s="237"/>
      <c r="M778" s="237"/>
      <c r="N778" s="237"/>
      <c r="O778" s="237"/>
      <c r="P778" s="237"/>
      <c r="Q778" s="237"/>
      <c r="R778" s="237"/>
      <c r="S778" s="237"/>
      <c r="T778" s="237"/>
      <c r="U778" s="237"/>
      <c r="V778" s="237"/>
      <c r="W778" s="237"/>
      <c r="X778" s="237"/>
      <c r="Y778" s="237"/>
      <c r="Z778" s="237"/>
    </row>
    <row r="779" spans="1:26" ht="24.75" customHeight="1" x14ac:dyDescent="0.25">
      <c r="A779" s="236"/>
      <c r="B779" s="237"/>
      <c r="C779" s="236"/>
      <c r="D779" s="238"/>
      <c r="E779" s="238"/>
      <c r="F779" s="238"/>
      <c r="G779" s="239"/>
      <c r="H779" s="241"/>
      <c r="I779" s="244"/>
      <c r="J779" s="241"/>
      <c r="K779" s="237"/>
      <c r="L779" s="237"/>
      <c r="M779" s="237"/>
      <c r="N779" s="237"/>
      <c r="O779" s="237"/>
      <c r="P779" s="237"/>
      <c r="Q779" s="237"/>
      <c r="R779" s="237"/>
      <c r="S779" s="237"/>
      <c r="T779" s="237"/>
      <c r="U779" s="237"/>
      <c r="V779" s="237"/>
      <c r="W779" s="237"/>
      <c r="X779" s="237"/>
      <c r="Y779" s="237"/>
      <c r="Z779" s="237"/>
    </row>
    <row r="780" spans="1:26" ht="24.75" customHeight="1" x14ac:dyDescent="0.25">
      <c r="A780" s="236"/>
      <c r="B780" s="237"/>
      <c r="C780" s="236"/>
      <c r="D780" s="238"/>
      <c r="E780" s="238"/>
      <c r="F780" s="238"/>
      <c r="G780" s="239"/>
      <c r="H780" s="241"/>
      <c r="I780" s="244"/>
      <c r="J780" s="241"/>
      <c r="K780" s="237"/>
      <c r="L780" s="237"/>
      <c r="M780" s="237"/>
      <c r="N780" s="237"/>
      <c r="O780" s="237"/>
      <c r="P780" s="237"/>
      <c r="Q780" s="237"/>
      <c r="R780" s="237"/>
      <c r="S780" s="237"/>
      <c r="T780" s="237"/>
      <c r="U780" s="237"/>
      <c r="V780" s="237"/>
      <c r="W780" s="237"/>
      <c r="X780" s="237"/>
      <c r="Y780" s="237"/>
      <c r="Z780" s="237"/>
    </row>
    <row r="781" spans="1:26" ht="24.75" customHeight="1" x14ac:dyDescent="0.25">
      <c r="A781" s="236"/>
      <c r="B781" s="237"/>
      <c r="C781" s="236"/>
      <c r="D781" s="238"/>
      <c r="E781" s="238"/>
      <c r="F781" s="238"/>
      <c r="G781" s="239"/>
      <c r="H781" s="241"/>
      <c r="I781" s="244"/>
      <c r="J781" s="241"/>
      <c r="K781" s="237"/>
      <c r="L781" s="237"/>
      <c r="M781" s="237"/>
      <c r="N781" s="237"/>
      <c r="O781" s="237"/>
      <c r="P781" s="237"/>
      <c r="Q781" s="237"/>
      <c r="R781" s="237"/>
      <c r="S781" s="237"/>
      <c r="T781" s="237"/>
      <c r="U781" s="237"/>
      <c r="V781" s="237"/>
      <c r="W781" s="237"/>
      <c r="X781" s="237"/>
      <c r="Y781" s="237"/>
      <c r="Z781" s="237"/>
    </row>
    <row r="782" spans="1:26" ht="24.75" customHeight="1" x14ac:dyDescent="0.25">
      <c r="A782" s="236"/>
      <c r="B782" s="237"/>
      <c r="C782" s="236"/>
      <c r="D782" s="238"/>
      <c r="E782" s="238"/>
      <c r="F782" s="238"/>
      <c r="G782" s="239"/>
      <c r="H782" s="241"/>
      <c r="I782" s="244"/>
      <c r="J782" s="241"/>
      <c r="K782" s="237"/>
      <c r="L782" s="237"/>
      <c r="M782" s="237"/>
      <c r="N782" s="237"/>
      <c r="O782" s="237"/>
      <c r="P782" s="237"/>
      <c r="Q782" s="237"/>
      <c r="R782" s="237"/>
      <c r="S782" s="237"/>
      <c r="T782" s="237"/>
      <c r="U782" s="237"/>
      <c r="V782" s="237"/>
      <c r="W782" s="237"/>
      <c r="X782" s="237"/>
      <c r="Y782" s="237"/>
      <c r="Z782" s="237"/>
    </row>
    <row r="783" spans="1:26" ht="24.75" customHeight="1" x14ac:dyDescent="0.25">
      <c r="A783" s="236"/>
      <c r="B783" s="237"/>
      <c r="C783" s="236"/>
      <c r="D783" s="238"/>
      <c r="E783" s="238"/>
      <c r="F783" s="238"/>
      <c r="G783" s="239"/>
      <c r="H783" s="241"/>
      <c r="I783" s="244"/>
      <c r="J783" s="241"/>
      <c r="K783" s="237"/>
      <c r="L783" s="237"/>
      <c r="M783" s="237"/>
      <c r="N783" s="237"/>
      <c r="O783" s="237"/>
      <c r="P783" s="237"/>
      <c r="Q783" s="237"/>
      <c r="R783" s="237"/>
      <c r="S783" s="237"/>
      <c r="T783" s="237"/>
      <c r="U783" s="237"/>
      <c r="V783" s="237"/>
      <c r="W783" s="237"/>
      <c r="X783" s="237"/>
      <c r="Y783" s="237"/>
      <c r="Z783" s="237"/>
    </row>
    <row r="784" spans="1:26" ht="24.75" customHeight="1" x14ac:dyDescent="0.25">
      <c r="A784" s="236"/>
      <c r="B784" s="237"/>
      <c r="C784" s="236"/>
      <c r="D784" s="238"/>
      <c r="E784" s="238"/>
      <c r="F784" s="238"/>
      <c r="G784" s="239"/>
      <c r="H784" s="241"/>
      <c r="I784" s="244"/>
      <c r="J784" s="241"/>
      <c r="K784" s="237"/>
      <c r="L784" s="237"/>
      <c r="M784" s="237"/>
      <c r="N784" s="237"/>
      <c r="O784" s="237"/>
      <c r="P784" s="237"/>
      <c r="Q784" s="237"/>
      <c r="R784" s="237"/>
      <c r="S784" s="237"/>
      <c r="T784" s="237"/>
      <c r="U784" s="237"/>
      <c r="V784" s="237"/>
      <c r="W784" s="237"/>
      <c r="X784" s="237"/>
      <c r="Y784" s="237"/>
      <c r="Z784" s="237"/>
    </row>
    <row r="785" spans="1:26" ht="24.75" customHeight="1" x14ac:dyDescent="0.25">
      <c r="A785" s="236"/>
      <c r="B785" s="237"/>
      <c r="C785" s="236"/>
      <c r="D785" s="238"/>
      <c r="E785" s="238"/>
      <c r="F785" s="238"/>
      <c r="G785" s="239"/>
      <c r="H785" s="241"/>
      <c r="I785" s="244"/>
      <c r="J785" s="241"/>
      <c r="K785" s="237"/>
      <c r="L785" s="237"/>
      <c r="M785" s="237"/>
      <c r="N785" s="237"/>
      <c r="O785" s="237"/>
      <c r="P785" s="237"/>
      <c r="Q785" s="237"/>
      <c r="R785" s="237"/>
      <c r="S785" s="237"/>
      <c r="T785" s="237"/>
      <c r="U785" s="237"/>
      <c r="V785" s="237"/>
      <c r="W785" s="237"/>
      <c r="X785" s="237"/>
      <c r="Y785" s="237"/>
      <c r="Z785" s="237"/>
    </row>
    <row r="786" spans="1:26" ht="24.75" customHeight="1" x14ac:dyDescent="0.25">
      <c r="A786" s="236"/>
      <c r="B786" s="237"/>
      <c r="C786" s="236"/>
      <c r="D786" s="238"/>
      <c r="E786" s="238"/>
      <c r="F786" s="238"/>
      <c r="G786" s="239"/>
      <c r="H786" s="241"/>
      <c r="I786" s="244"/>
      <c r="J786" s="241"/>
      <c r="K786" s="237"/>
      <c r="L786" s="237"/>
      <c r="M786" s="237"/>
      <c r="N786" s="237"/>
      <c r="O786" s="237"/>
      <c r="P786" s="237"/>
      <c r="Q786" s="237"/>
      <c r="R786" s="237"/>
      <c r="S786" s="237"/>
      <c r="T786" s="237"/>
      <c r="U786" s="237"/>
      <c r="V786" s="237"/>
      <c r="W786" s="237"/>
      <c r="X786" s="237"/>
      <c r="Y786" s="237"/>
      <c r="Z786" s="237"/>
    </row>
    <row r="787" spans="1:26" ht="24.75" customHeight="1" x14ac:dyDescent="0.25">
      <c r="A787" s="236"/>
      <c r="B787" s="237"/>
      <c r="C787" s="236"/>
      <c r="D787" s="238"/>
      <c r="E787" s="238"/>
      <c r="F787" s="238"/>
      <c r="G787" s="239"/>
      <c r="H787" s="241"/>
      <c r="I787" s="244"/>
      <c r="J787" s="241"/>
      <c r="K787" s="237"/>
      <c r="L787" s="237"/>
      <c r="M787" s="237"/>
      <c r="N787" s="237"/>
      <c r="O787" s="237"/>
      <c r="P787" s="237"/>
      <c r="Q787" s="237"/>
      <c r="R787" s="237"/>
      <c r="S787" s="237"/>
      <c r="T787" s="237"/>
      <c r="U787" s="237"/>
      <c r="V787" s="237"/>
      <c r="W787" s="237"/>
      <c r="X787" s="237"/>
      <c r="Y787" s="237"/>
      <c r="Z787" s="237"/>
    </row>
    <row r="788" spans="1:26" ht="24.75" customHeight="1" x14ac:dyDescent="0.25">
      <c r="A788" s="236"/>
      <c r="B788" s="237"/>
      <c r="C788" s="236"/>
      <c r="D788" s="238"/>
      <c r="E788" s="238"/>
      <c r="F788" s="238"/>
      <c r="G788" s="239"/>
      <c r="H788" s="241"/>
      <c r="I788" s="244"/>
      <c r="J788" s="241"/>
      <c r="K788" s="237"/>
      <c r="L788" s="237"/>
      <c r="M788" s="237"/>
      <c r="N788" s="237"/>
      <c r="O788" s="237"/>
      <c r="P788" s="237"/>
      <c r="Q788" s="237"/>
      <c r="R788" s="237"/>
      <c r="S788" s="237"/>
      <c r="T788" s="237"/>
      <c r="U788" s="237"/>
      <c r="V788" s="237"/>
      <c r="W788" s="237"/>
      <c r="X788" s="237"/>
      <c r="Y788" s="237"/>
      <c r="Z788" s="237"/>
    </row>
    <row r="789" spans="1:26" ht="24.75" customHeight="1" x14ac:dyDescent="0.25">
      <c r="A789" s="236"/>
      <c r="B789" s="237"/>
      <c r="C789" s="236"/>
      <c r="D789" s="238"/>
      <c r="E789" s="238"/>
      <c r="F789" s="238"/>
      <c r="G789" s="239"/>
      <c r="H789" s="241"/>
      <c r="I789" s="244"/>
      <c r="J789" s="241"/>
      <c r="K789" s="237"/>
      <c r="L789" s="237"/>
      <c r="M789" s="237"/>
      <c r="N789" s="237"/>
      <c r="O789" s="237"/>
      <c r="P789" s="237"/>
      <c r="Q789" s="237"/>
      <c r="R789" s="237"/>
      <c r="S789" s="237"/>
      <c r="T789" s="237"/>
      <c r="U789" s="237"/>
      <c r="V789" s="237"/>
      <c r="W789" s="237"/>
      <c r="X789" s="237"/>
      <c r="Y789" s="237"/>
      <c r="Z789" s="237"/>
    </row>
    <row r="790" spans="1:26" ht="24.75" customHeight="1" x14ac:dyDescent="0.25">
      <c r="A790" s="236"/>
      <c r="B790" s="237"/>
      <c r="C790" s="236"/>
      <c r="D790" s="238"/>
      <c r="E790" s="238"/>
      <c r="F790" s="238"/>
      <c r="G790" s="239"/>
      <c r="H790" s="241"/>
      <c r="I790" s="244"/>
      <c r="J790" s="241"/>
      <c r="K790" s="237"/>
      <c r="L790" s="237"/>
      <c r="M790" s="237"/>
      <c r="N790" s="237"/>
      <c r="O790" s="237"/>
      <c r="P790" s="237"/>
      <c r="Q790" s="237"/>
      <c r="R790" s="237"/>
      <c r="S790" s="237"/>
      <c r="T790" s="237"/>
      <c r="U790" s="237"/>
      <c r="V790" s="237"/>
      <c r="W790" s="237"/>
      <c r="X790" s="237"/>
      <c r="Y790" s="237"/>
      <c r="Z790" s="237"/>
    </row>
    <row r="791" spans="1:26" ht="24.75" customHeight="1" x14ac:dyDescent="0.25">
      <c r="A791" s="236"/>
      <c r="B791" s="237"/>
      <c r="C791" s="236"/>
      <c r="D791" s="238"/>
      <c r="E791" s="238"/>
      <c r="F791" s="238"/>
      <c r="G791" s="239"/>
      <c r="H791" s="241"/>
      <c r="I791" s="244"/>
      <c r="J791" s="241"/>
      <c r="K791" s="237"/>
      <c r="L791" s="237"/>
      <c r="M791" s="237"/>
      <c r="N791" s="237"/>
      <c r="O791" s="237"/>
      <c r="P791" s="237"/>
      <c r="Q791" s="237"/>
      <c r="R791" s="237"/>
      <c r="S791" s="237"/>
      <c r="T791" s="237"/>
      <c r="U791" s="237"/>
      <c r="V791" s="237"/>
      <c r="W791" s="237"/>
      <c r="X791" s="237"/>
      <c r="Y791" s="237"/>
      <c r="Z791" s="237"/>
    </row>
    <row r="792" spans="1:26" ht="24.75" customHeight="1" x14ac:dyDescent="0.25">
      <c r="A792" s="236"/>
      <c r="B792" s="237"/>
      <c r="C792" s="236"/>
      <c r="D792" s="238"/>
      <c r="E792" s="238"/>
      <c r="F792" s="238"/>
      <c r="G792" s="239"/>
      <c r="H792" s="241"/>
      <c r="I792" s="244"/>
      <c r="J792" s="241"/>
      <c r="K792" s="237"/>
      <c r="L792" s="237"/>
      <c r="M792" s="237"/>
      <c r="N792" s="237"/>
      <c r="O792" s="237"/>
      <c r="P792" s="237"/>
      <c r="Q792" s="237"/>
      <c r="R792" s="237"/>
      <c r="S792" s="237"/>
      <c r="T792" s="237"/>
      <c r="U792" s="237"/>
      <c r="V792" s="237"/>
      <c r="W792" s="237"/>
      <c r="X792" s="237"/>
      <c r="Y792" s="237"/>
      <c r="Z792" s="237"/>
    </row>
    <row r="793" spans="1:26" ht="24.75" customHeight="1" x14ac:dyDescent="0.25">
      <c r="A793" s="236"/>
      <c r="B793" s="237"/>
      <c r="C793" s="236"/>
      <c r="D793" s="238"/>
      <c r="E793" s="238"/>
      <c r="F793" s="238"/>
      <c r="G793" s="239"/>
      <c r="H793" s="241"/>
      <c r="I793" s="244"/>
      <c r="J793" s="241"/>
      <c r="K793" s="237"/>
      <c r="L793" s="237"/>
      <c r="M793" s="237"/>
      <c r="N793" s="237"/>
      <c r="O793" s="237"/>
      <c r="P793" s="237"/>
      <c r="Q793" s="237"/>
      <c r="R793" s="237"/>
      <c r="S793" s="237"/>
      <c r="T793" s="237"/>
      <c r="U793" s="237"/>
      <c r="V793" s="237"/>
      <c r="W793" s="237"/>
      <c r="X793" s="237"/>
      <c r="Y793" s="237"/>
      <c r="Z793" s="237"/>
    </row>
    <row r="794" spans="1:26" ht="24.75" customHeight="1" x14ac:dyDescent="0.25">
      <c r="A794" s="236"/>
      <c r="B794" s="237"/>
      <c r="C794" s="236"/>
      <c r="D794" s="238"/>
      <c r="E794" s="238"/>
      <c r="F794" s="238"/>
      <c r="G794" s="239"/>
      <c r="H794" s="241"/>
      <c r="I794" s="244"/>
      <c r="J794" s="241"/>
      <c r="K794" s="237"/>
      <c r="L794" s="237"/>
      <c r="M794" s="237"/>
      <c r="N794" s="237"/>
      <c r="O794" s="237"/>
      <c r="P794" s="237"/>
      <c r="Q794" s="237"/>
      <c r="R794" s="237"/>
      <c r="S794" s="237"/>
      <c r="T794" s="237"/>
      <c r="U794" s="237"/>
      <c r="V794" s="237"/>
      <c r="W794" s="237"/>
      <c r="X794" s="237"/>
      <c r="Y794" s="237"/>
      <c r="Z794" s="237"/>
    </row>
    <row r="795" spans="1:26" ht="24.75" customHeight="1" x14ac:dyDescent="0.25">
      <c r="A795" s="236"/>
      <c r="B795" s="237"/>
      <c r="C795" s="236"/>
      <c r="D795" s="238"/>
      <c r="E795" s="238"/>
      <c r="F795" s="238"/>
      <c r="G795" s="239"/>
      <c r="H795" s="241"/>
      <c r="I795" s="244"/>
      <c r="J795" s="241"/>
      <c r="K795" s="237"/>
      <c r="L795" s="237"/>
      <c r="M795" s="237"/>
      <c r="N795" s="237"/>
      <c r="O795" s="237"/>
      <c r="P795" s="237"/>
      <c r="Q795" s="237"/>
      <c r="R795" s="237"/>
      <c r="S795" s="237"/>
      <c r="T795" s="237"/>
      <c r="U795" s="237"/>
      <c r="V795" s="237"/>
      <c r="W795" s="237"/>
      <c r="X795" s="237"/>
      <c r="Y795" s="237"/>
      <c r="Z795" s="237"/>
    </row>
    <row r="796" spans="1:26" ht="24.75" customHeight="1" x14ac:dyDescent="0.25">
      <c r="A796" s="236"/>
      <c r="B796" s="237"/>
      <c r="C796" s="236"/>
      <c r="D796" s="238"/>
      <c r="E796" s="238"/>
      <c r="F796" s="238"/>
      <c r="G796" s="239"/>
      <c r="H796" s="241"/>
      <c r="I796" s="244"/>
      <c r="J796" s="241"/>
      <c r="K796" s="237"/>
      <c r="L796" s="237"/>
      <c r="M796" s="237"/>
      <c r="N796" s="237"/>
      <c r="O796" s="237"/>
      <c r="P796" s="237"/>
      <c r="Q796" s="237"/>
      <c r="R796" s="237"/>
      <c r="S796" s="237"/>
      <c r="T796" s="237"/>
      <c r="U796" s="237"/>
      <c r="V796" s="237"/>
      <c r="W796" s="237"/>
      <c r="X796" s="237"/>
      <c r="Y796" s="237"/>
      <c r="Z796" s="237"/>
    </row>
    <row r="797" spans="1:26" ht="24.75" customHeight="1" x14ac:dyDescent="0.25">
      <c r="A797" s="236"/>
      <c r="B797" s="237"/>
      <c r="C797" s="236"/>
      <c r="D797" s="238"/>
      <c r="E797" s="238"/>
      <c r="F797" s="238"/>
      <c r="G797" s="239"/>
      <c r="H797" s="241"/>
      <c r="I797" s="244"/>
      <c r="J797" s="241"/>
      <c r="K797" s="237"/>
      <c r="L797" s="237"/>
      <c r="M797" s="237"/>
      <c r="N797" s="237"/>
      <c r="O797" s="237"/>
      <c r="P797" s="237"/>
      <c r="Q797" s="237"/>
      <c r="R797" s="237"/>
      <c r="S797" s="237"/>
      <c r="T797" s="237"/>
      <c r="U797" s="237"/>
      <c r="V797" s="237"/>
      <c r="W797" s="237"/>
      <c r="X797" s="237"/>
      <c r="Y797" s="237"/>
      <c r="Z797" s="237"/>
    </row>
    <row r="798" spans="1:26" ht="24.75" customHeight="1" x14ac:dyDescent="0.25">
      <c r="A798" s="236"/>
      <c r="B798" s="237"/>
      <c r="C798" s="236"/>
      <c r="D798" s="238"/>
      <c r="E798" s="238"/>
      <c r="F798" s="238"/>
      <c r="G798" s="239"/>
      <c r="H798" s="241"/>
      <c r="I798" s="244"/>
      <c r="J798" s="241"/>
      <c r="K798" s="237"/>
      <c r="L798" s="237"/>
      <c r="M798" s="237"/>
      <c r="N798" s="237"/>
      <c r="O798" s="237"/>
      <c r="P798" s="237"/>
      <c r="Q798" s="237"/>
      <c r="R798" s="237"/>
      <c r="S798" s="237"/>
      <c r="T798" s="237"/>
      <c r="U798" s="237"/>
      <c r="V798" s="237"/>
      <c r="W798" s="237"/>
      <c r="X798" s="237"/>
      <c r="Y798" s="237"/>
      <c r="Z798" s="237"/>
    </row>
    <row r="799" spans="1:26" ht="24.75" customHeight="1" x14ac:dyDescent="0.25">
      <c r="A799" s="236"/>
      <c r="B799" s="237"/>
      <c r="C799" s="236"/>
      <c r="D799" s="238"/>
      <c r="E799" s="238"/>
      <c r="F799" s="238"/>
      <c r="G799" s="239"/>
      <c r="H799" s="241"/>
      <c r="I799" s="244"/>
      <c r="J799" s="241"/>
      <c r="K799" s="237"/>
      <c r="L799" s="237"/>
      <c r="M799" s="237"/>
      <c r="N799" s="237"/>
      <c r="O799" s="237"/>
      <c r="P799" s="237"/>
      <c r="Q799" s="237"/>
      <c r="R799" s="237"/>
      <c r="S799" s="237"/>
      <c r="T799" s="237"/>
      <c r="U799" s="237"/>
      <c r="V799" s="237"/>
      <c r="W799" s="237"/>
      <c r="X799" s="237"/>
      <c r="Y799" s="237"/>
      <c r="Z799" s="237"/>
    </row>
    <row r="800" spans="1:26" ht="24.75" customHeight="1" x14ac:dyDescent="0.25">
      <c r="A800" s="236"/>
      <c r="B800" s="237"/>
      <c r="C800" s="236"/>
      <c r="D800" s="238"/>
      <c r="E800" s="238"/>
      <c r="F800" s="238"/>
      <c r="G800" s="239"/>
      <c r="H800" s="241"/>
      <c r="I800" s="244"/>
      <c r="J800" s="241"/>
      <c r="K800" s="237"/>
      <c r="L800" s="237"/>
      <c r="M800" s="237"/>
      <c r="N800" s="237"/>
      <c r="O800" s="237"/>
      <c r="P800" s="237"/>
      <c r="Q800" s="237"/>
      <c r="R800" s="237"/>
      <c r="S800" s="237"/>
      <c r="T800" s="237"/>
      <c r="U800" s="237"/>
      <c r="V800" s="237"/>
      <c r="W800" s="237"/>
      <c r="X800" s="237"/>
      <c r="Y800" s="237"/>
      <c r="Z800" s="237"/>
    </row>
    <row r="801" spans="1:26" ht="24.75" customHeight="1" x14ac:dyDescent="0.25">
      <c r="A801" s="236"/>
      <c r="B801" s="237"/>
      <c r="C801" s="236"/>
      <c r="D801" s="238"/>
      <c r="E801" s="238"/>
      <c r="F801" s="238"/>
      <c r="G801" s="239"/>
      <c r="H801" s="241"/>
      <c r="I801" s="244"/>
      <c r="J801" s="241"/>
      <c r="K801" s="237"/>
      <c r="L801" s="237"/>
      <c r="M801" s="237"/>
      <c r="N801" s="237"/>
      <c r="O801" s="237"/>
      <c r="P801" s="237"/>
      <c r="Q801" s="237"/>
      <c r="R801" s="237"/>
      <c r="S801" s="237"/>
      <c r="T801" s="237"/>
      <c r="U801" s="237"/>
      <c r="V801" s="237"/>
      <c r="W801" s="237"/>
      <c r="X801" s="237"/>
      <c r="Y801" s="237"/>
      <c r="Z801" s="237"/>
    </row>
    <row r="802" spans="1:26" ht="24.75" customHeight="1" x14ac:dyDescent="0.25">
      <c r="A802" s="236"/>
      <c r="B802" s="237"/>
      <c r="C802" s="236"/>
      <c r="D802" s="238"/>
      <c r="E802" s="238"/>
      <c r="F802" s="238"/>
      <c r="G802" s="239"/>
      <c r="H802" s="241"/>
      <c r="I802" s="244"/>
      <c r="J802" s="241"/>
      <c r="K802" s="237"/>
      <c r="L802" s="237"/>
      <c r="M802" s="237"/>
      <c r="N802" s="237"/>
      <c r="O802" s="237"/>
      <c r="P802" s="237"/>
      <c r="Q802" s="237"/>
      <c r="R802" s="237"/>
      <c r="S802" s="237"/>
      <c r="T802" s="237"/>
      <c r="U802" s="237"/>
      <c r="V802" s="237"/>
      <c r="W802" s="237"/>
      <c r="X802" s="237"/>
      <c r="Y802" s="237"/>
      <c r="Z802" s="237"/>
    </row>
    <row r="803" spans="1:26" ht="24.75" customHeight="1" x14ac:dyDescent="0.25">
      <c r="A803" s="236"/>
      <c r="B803" s="237"/>
      <c r="C803" s="236"/>
      <c r="D803" s="238"/>
      <c r="E803" s="238"/>
      <c r="F803" s="238"/>
      <c r="G803" s="239"/>
      <c r="H803" s="241"/>
      <c r="I803" s="244"/>
      <c r="J803" s="241"/>
      <c r="K803" s="237"/>
      <c r="L803" s="237"/>
      <c r="M803" s="237"/>
      <c r="N803" s="237"/>
      <c r="O803" s="237"/>
      <c r="P803" s="237"/>
      <c r="Q803" s="237"/>
      <c r="R803" s="237"/>
      <c r="S803" s="237"/>
      <c r="T803" s="237"/>
      <c r="U803" s="237"/>
      <c r="V803" s="237"/>
      <c r="W803" s="237"/>
      <c r="X803" s="237"/>
      <c r="Y803" s="237"/>
      <c r="Z803" s="237"/>
    </row>
    <row r="804" spans="1:26" ht="24.75" customHeight="1" x14ac:dyDescent="0.25">
      <c r="A804" s="236"/>
      <c r="B804" s="237"/>
      <c r="C804" s="236"/>
      <c r="D804" s="238"/>
      <c r="E804" s="238"/>
      <c r="F804" s="238"/>
      <c r="G804" s="239"/>
      <c r="H804" s="241"/>
      <c r="I804" s="244"/>
      <c r="J804" s="241"/>
      <c r="K804" s="237"/>
      <c r="L804" s="237"/>
      <c r="M804" s="237"/>
      <c r="N804" s="237"/>
      <c r="O804" s="237"/>
      <c r="P804" s="237"/>
      <c r="Q804" s="237"/>
      <c r="R804" s="237"/>
      <c r="S804" s="237"/>
      <c r="T804" s="237"/>
      <c r="U804" s="237"/>
      <c r="V804" s="237"/>
      <c r="W804" s="237"/>
      <c r="X804" s="237"/>
      <c r="Y804" s="237"/>
      <c r="Z804" s="237"/>
    </row>
    <row r="805" spans="1:26" ht="24.75" customHeight="1" x14ac:dyDescent="0.25">
      <c r="A805" s="236"/>
      <c r="B805" s="237"/>
      <c r="C805" s="236"/>
      <c r="D805" s="238"/>
      <c r="E805" s="238"/>
      <c r="F805" s="238"/>
      <c r="G805" s="239"/>
      <c r="H805" s="241"/>
      <c r="I805" s="244"/>
      <c r="J805" s="241"/>
      <c r="K805" s="237"/>
      <c r="L805" s="237"/>
      <c r="M805" s="237"/>
      <c r="N805" s="237"/>
      <c r="O805" s="237"/>
      <c r="P805" s="237"/>
      <c r="Q805" s="237"/>
      <c r="R805" s="237"/>
      <c r="S805" s="237"/>
      <c r="T805" s="237"/>
      <c r="U805" s="237"/>
      <c r="V805" s="237"/>
      <c r="W805" s="237"/>
      <c r="X805" s="237"/>
      <c r="Y805" s="237"/>
      <c r="Z805" s="237"/>
    </row>
    <row r="806" spans="1:26" ht="24.75" customHeight="1" x14ac:dyDescent="0.25">
      <c r="A806" s="236"/>
      <c r="B806" s="237"/>
      <c r="C806" s="236"/>
      <c r="D806" s="238"/>
      <c r="E806" s="238"/>
      <c r="F806" s="238"/>
      <c r="G806" s="239"/>
      <c r="H806" s="241"/>
      <c r="I806" s="244"/>
      <c r="J806" s="241"/>
      <c r="K806" s="237"/>
      <c r="L806" s="237"/>
      <c r="M806" s="237"/>
      <c r="N806" s="237"/>
      <c r="O806" s="237"/>
      <c r="P806" s="237"/>
      <c r="Q806" s="237"/>
      <c r="R806" s="237"/>
      <c r="S806" s="237"/>
      <c r="T806" s="237"/>
      <c r="U806" s="237"/>
      <c r="V806" s="237"/>
      <c r="W806" s="237"/>
      <c r="X806" s="237"/>
      <c r="Y806" s="237"/>
      <c r="Z806" s="237"/>
    </row>
    <row r="807" spans="1:26" ht="24.75" customHeight="1" x14ac:dyDescent="0.25">
      <c r="A807" s="236"/>
      <c r="B807" s="237"/>
      <c r="C807" s="236"/>
      <c r="D807" s="238"/>
      <c r="E807" s="238"/>
      <c r="F807" s="238"/>
      <c r="G807" s="239"/>
      <c r="H807" s="241"/>
      <c r="I807" s="244"/>
      <c r="J807" s="241"/>
      <c r="K807" s="237"/>
      <c r="L807" s="237"/>
      <c r="M807" s="237"/>
      <c r="N807" s="237"/>
      <c r="O807" s="237"/>
      <c r="P807" s="237"/>
      <c r="Q807" s="237"/>
      <c r="R807" s="237"/>
      <c r="S807" s="237"/>
      <c r="T807" s="237"/>
      <c r="U807" s="237"/>
      <c r="V807" s="237"/>
      <c r="W807" s="237"/>
      <c r="X807" s="237"/>
      <c r="Y807" s="237"/>
      <c r="Z807" s="237"/>
    </row>
    <row r="808" spans="1:26" ht="24.75" customHeight="1" x14ac:dyDescent="0.25">
      <c r="A808" s="236"/>
      <c r="B808" s="237"/>
      <c r="C808" s="236"/>
      <c r="D808" s="238"/>
      <c r="E808" s="238"/>
      <c r="F808" s="238"/>
      <c r="G808" s="239"/>
      <c r="H808" s="241"/>
      <c r="I808" s="244"/>
      <c r="J808" s="241"/>
      <c r="K808" s="237"/>
      <c r="L808" s="237"/>
      <c r="M808" s="237"/>
      <c r="N808" s="237"/>
      <c r="O808" s="237"/>
      <c r="P808" s="237"/>
      <c r="Q808" s="237"/>
      <c r="R808" s="237"/>
      <c r="S808" s="237"/>
      <c r="T808" s="237"/>
      <c r="U808" s="237"/>
      <c r="V808" s="237"/>
      <c r="W808" s="237"/>
      <c r="X808" s="237"/>
      <c r="Y808" s="237"/>
      <c r="Z808" s="237"/>
    </row>
    <row r="809" spans="1:26" ht="24.75" customHeight="1" x14ac:dyDescent="0.25">
      <c r="A809" s="236"/>
      <c r="B809" s="237"/>
      <c r="C809" s="236"/>
      <c r="D809" s="238"/>
      <c r="E809" s="238"/>
      <c r="F809" s="238"/>
      <c r="G809" s="239"/>
      <c r="H809" s="241"/>
      <c r="I809" s="244"/>
      <c r="J809" s="241"/>
      <c r="K809" s="237"/>
      <c r="L809" s="237"/>
      <c r="M809" s="237"/>
      <c r="N809" s="237"/>
      <c r="O809" s="237"/>
      <c r="P809" s="237"/>
      <c r="Q809" s="237"/>
      <c r="R809" s="237"/>
      <c r="S809" s="237"/>
      <c r="T809" s="237"/>
      <c r="U809" s="237"/>
      <c r="V809" s="237"/>
      <c r="W809" s="237"/>
      <c r="X809" s="237"/>
      <c r="Y809" s="237"/>
      <c r="Z809" s="237"/>
    </row>
    <row r="810" spans="1:26" ht="24.75" customHeight="1" x14ac:dyDescent="0.25">
      <c r="A810" s="236"/>
      <c r="B810" s="237"/>
      <c r="C810" s="236"/>
      <c r="D810" s="238"/>
      <c r="E810" s="238"/>
      <c r="F810" s="238"/>
      <c r="G810" s="239"/>
      <c r="H810" s="241"/>
      <c r="I810" s="244"/>
      <c r="J810" s="241"/>
      <c r="K810" s="237"/>
      <c r="L810" s="237"/>
      <c r="M810" s="237"/>
      <c r="N810" s="237"/>
      <c r="O810" s="237"/>
      <c r="P810" s="237"/>
      <c r="Q810" s="237"/>
      <c r="R810" s="237"/>
      <c r="S810" s="237"/>
      <c r="T810" s="237"/>
      <c r="U810" s="237"/>
      <c r="V810" s="237"/>
      <c r="W810" s="237"/>
      <c r="X810" s="237"/>
      <c r="Y810" s="237"/>
      <c r="Z810" s="237"/>
    </row>
    <row r="811" spans="1:26" ht="24.75" customHeight="1" x14ac:dyDescent="0.25">
      <c r="A811" s="236"/>
      <c r="B811" s="237"/>
      <c r="C811" s="236"/>
      <c r="D811" s="238"/>
      <c r="E811" s="238"/>
      <c r="F811" s="238"/>
      <c r="G811" s="239"/>
      <c r="H811" s="241"/>
      <c r="I811" s="244"/>
      <c r="J811" s="241"/>
      <c r="K811" s="237"/>
      <c r="L811" s="237"/>
      <c r="M811" s="237"/>
      <c r="N811" s="237"/>
      <c r="O811" s="237"/>
      <c r="P811" s="237"/>
      <c r="Q811" s="237"/>
      <c r="R811" s="237"/>
      <c r="S811" s="237"/>
      <c r="T811" s="237"/>
      <c r="U811" s="237"/>
      <c r="V811" s="237"/>
      <c r="W811" s="237"/>
      <c r="X811" s="237"/>
      <c r="Y811" s="237"/>
      <c r="Z811" s="237"/>
    </row>
    <row r="812" spans="1:26" ht="24.75" customHeight="1" x14ac:dyDescent="0.25">
      <c r="A812" s="236"/>
      <c r="B812" s="237"/>
      <c r="C812" s="236"/>
      <c r="D812" s="238"/>
      <c r="E812" s="238"/>
      <c r="F812" s="238"/>
      <c r="G812" s="239"/>
      <c r="H812" s="241"/>
      <c r="I812" s="244"/>
      <c r="J812" s="241"/>
      <c r="K812" s="237"/>
      <c r="L812" s="237"/>
      <c r="M812" s="237"/>
      <c r="N812" s="237"/>
      <c r="O812" s="237"/>
      <c r="P812" s="237"/>
      <c r="Q812" s="237"/>
      <c r="R812" s="237"/>
      <c r="S812" s="237"/>
      <c r="T812" s="237"/>
      <c r="U812" s="237"/>
      <c r="V812" s="237"/>
      <c r="W812" s="237"/>
      <c r="X812" s="237"/>
      <c r="Y812" s="237"/>
      <c r="Z812" s="237"/>
    </row>
    <row r="813" spans="1:26" ht="24.75" customHeight="1" x14ac:dyDescent="0.25">
      <c r="A813" s="236"/>
      <c r="B813" s="237"/>
      <c r="C813" s="236"/>
      <c r="D813" s="238"/>
      <c r="E813" s="238"/>
      <c r="F813" s="238"/>
      <c r="G813" s="239"/>
      <c r="H813" s="241"/>
      <c r="I813" s="244"/>
      <c r="J813" s="241"/>
      <c r="K813" s="237"/>
      <c r="L813" s="237"/>
      <c r="M813" s="237"/>
      <c r="N813" s="237"/>
      <c r="O813" s="237"/>
      <c r="P813" s="237"/>
      <c r="Q813" s="237"/>
      <c r="R813" s="237"/>
      <c r="S813" s="237"/>
      <c r="T813" s="237"/>
      <c r="U813" s="237"/>
      <c r="V813" s="237"/>
      <c r="W813" s="237"/>
      <c r="X813" s="237"/>
      <c r="Y813" s="237"/>
      <c r="Z813" s="237"/>
    </row>
    <row r="814" spans="1:26" ht="24.75" customHeight="1" x14ac:dyDescent="0.25">
      <c r="A814" s="236"/>
      <c r="B814" s="237"/>
      <c r="C814" s="236"/>
      <c r="D814" s="238"/>
      <c r="E814" s="238"/>
      <c r="F814" s="238"/>
      <c r="G814" s="239"/>
      <c r="H814" s="241"/>
      <c r="I814" s="244"/>
      <c r="J814" s="241"/>
      <c r="K814" s="237"/>
      <c r="L814" s="237"/>
      <c r="M814" s="237"/>
      <c r="N814" s="237"/>
      <c r="O814" s="237"/>
      <c r="P814" s="237"/>
      <c r="Q814" s="237"/>
      <c r="R814" s="237"/>
      <c r="S814" s="237"/>
      <c r="T814" s="237"/>
      <c r="U814" s="237"/>
      <c r="V814" s="237"/>
      <c r="W814" s="237"/>
      <c r="X814" s="237"/>
      <c r="Y814" s="237"/>
      <c r="Z814" s="237"/>
    </row>
    <row r="815" spans="1:26" ht="24.75" customHeight="1" x14ac:dyDescent="0.25">
      <c r="A815" s="236"/>
      <c r="B815" s="237"/>
      <c r="C815" s="236"/>
      <c r="D815" s="238"/>
      <c r="E815" s="238"/>
      <c r="F815" s="238"/>
      <c r="G815" s="239"/>
      <c r="H815" s="241"/>
      <c r="I815" s="244"/>
      <c r="J815" s="241"/>
      <c r="K815" s="237"/>
      <c r="L815" s="237"/>
      <c r="M815" s="237"/>
      <c r="N815" s="237"/>
      <c r="O815" s="237"/>
      <c r="P815" s="237"/>
      <c r="Q815" s="237"/>
      <c r="R815" s="237"/>
      <c r="S815" s="237"/>
      <c r="T815" s="237"/>
      <c r="U815" s="237"/>
      <c r="V815" s="237"/>
      <c r="W815" s="237"/>
      <c r="X815" s="237"/>
      <c r="Y815" s="237"/>
      <c r="Z815" s="237"/>
    </row>
    <row r="816" spans="1:26" ht="24.75" customHeight="1" x14ac:dyDescent="0.25">
      <c r="A816" s="236"/>
      <c r="B816" s="237"/>
      <c r="C816" s="236"/>
      <c r="D816" s="238"/>
      <c r="E816" s="238"/>
      <c r="F816" s="238"/>
      <c r="G816" s="239"/>
      <c r="H816" s="241"/>
      <c r="I816" s="244"/>
      <c r="J816" s="241"/>
      <c r="K816" s="237"/>
      <c r="L816" s="237"/>
      <c r="M816" s="237"/>
      <c r="N816" s="237"/>
      <c r="O816" s="237"/>
      <c r="P816" s="237"/>
      <c r="Q816" s="237"/>
      <c r="R816" s="237"/>
      <c r="S816" s="237"/>
      <c r="T816" s="237"/>
      <c r="U816" s="237"/>
      <c r="V816" s="237"/>
      <c r="W816" s="237"/>
      <c r="X816" s="237"/>
      <c r="Y816" s="237"/>
      <c r="Z816" s="237"/>
    </row>
    <row r="817" spans="1:26" ht="24.75" customHeight="1" x14ac:dyDescent="0.25">
      <c r="A817" s="236"/>
      <c r="B817" s="237"/>
      <c r="C817" s="236"/>
      <c r="D817" s="238"/>
      <c r="E817" s="238"/>
      <c r="F817" s="238"/>
      <c r="G817" s="239"/>
      <c r="H817" s="241"/>
      <c r="I817" s="244"/>
      <c r="J817" s="241"/>
      <c r="K817" s="237"/>
      <c r="L817" s="237"/>
      <c r="M817" s="237"/>
      <c r="N817" s="237"/>
      <c r="O817" s="237"/>
      <c r="P817" s="237"/>
      <c r="Q817" s="237"/>
      <c r="R817" s="237"/>
      <c r="S817" s="237"/>
      <c r="T817" s="237"/>
      <c r="U817" s="237"/>
      <c r="V817" s="237"/>
      <c r="W817" s="237"/>
      <c r="X817" s="237"/>
      <c r="Y817" s="237"/>
      <c r="Z817" s="237"/>
    </row>
    <row r="818" spans="1:26" ht="24.75" customHeight="1" x14ac:dyDescent="0.25">
      <c r="A818" s="236"/>
      <c r="B818" s="237"/>
      <c r="C818" s="236"/>
      <c r="D818" s="238"/>
      <c r="E818" s="238"/>
      <c r="F818" s="238"/>
      <c r="G818" s="239"/>
      <c r="H818" s="241"/>
      <c r="I818" s="244"/>
      <c r="J818" s="241"/>
      <c r="K818" s="237"/>
      <c r="L818" s="237"/>
      <c r="M818" s="237"/>
      <c r="N818" s="237"/>
      <c r="O818" s="237"/>
      <c r="P818" s="237"/>
      <c r="Q818" s="237"/>
      <c r="R818" s="237"/>
      <c r="S818" s="237"/>
      <c r="T818" s="237"/>
      <c r="U818" s="237"/>
      <c r="V818" s="237"/>
      <c r="W818" s="237"/>
      <c r="X818" s="237"/>
      <c r="Y818" s="237"/>
      <c r="Z818" s="237"/>
    </row>
    <row r="819" spans="1:26" ht="24.75" customHeight="1" x14ac:dyDescent="0.25">
      <c r="A819" s="236"/>
      <c r="B819" s="237"/>
      <c r="C819" s="236"/>
      <c r="D819" s="238"/>
      <c r="E819" s="238"/>
      <c r="F819" s="238"/>
      <c r="G819" s="239"/>
      <c r="H819" s="241"/>
      <c r="I819" s="244"/>
      <c r="J819" s="241"/>
      <c r="K819" s="237"/>
      <c r="L819" s="237"/>
      <c r="M819" s="237"/>
      <c r="N819" s="237"/>
      <c r="O819" s="237"/>
      <c r="P819" s="237"/>
      <c r="Q819" s="237"/>
      <c r="R819" s="237"/>
      <c r="S819" s="237"/>
      <c r="T819" s="237"/>
      <c r="U819" s="237"/>
      <c r="V819" s="237"/>
      <c r="W819" s="237"/>
      <c r="X819" s="237"/>
      <c r="Y819" s="237"/>
      <c r="Z819" s="237"/>
    </row>
    <row r="820" spans="1:26" ht="24.75" customHeight="1" x14ac:dyDescent="0.25">
      <c r="A820" s="236"/>
      <c r="B820" s="237"/>
      <c r="C820" s="236"/>
      <c r="D820" s="238"/>
      <c r="E820" s="238"/>
      <c r="F820" s="238"/>
      <c r="G820" s="239"/>
      <c r="H820" s="241"/>
      <c r="I820" s="244"/>
      <c r="J820" s="241"/>
      <c r="K820" s="237"/>
      <c r="L820" s="237"/>
      <c r="M820" s="237"/>
      <c r="N820" s="237"/>
      <c r="O820" s="237"/>
      <c r="P820" s="237"/>
      <c r="Q820" s="237"/>
      <c r="R820" s="237"/>
      <c r="S820" s="237"/>
      <c r="T820" s="237"/>
      <c r="U820" s="237"/>
      <c r="V820" s="237"/>
      <c r="W820" s="237"/>
      <c r="X820" s="237"/>
      <c r="Y820" s="237"/>
      <c r="Z820" s="237"/>
    </row>
    <row r="821" spans="1:26" ht="24.75" customHeight="1" x14ac:dyDescent="0.25">
      <c r="A821" s="236"/>
      <c r="B821" s="237"/>
      <c r="C821" s="236"/>
      <c r="D821" s="238"/>
      <c r="E821" s="238"/>
      <c r="F821" s="238"/>
      <c r="G821" s="239"/>
      <c r="H821" s="241"/>
      <c r="I821" s="244"/>
      <c r="J821" s="241"/>
      <c r="K821" s="237"/>
      <c r="L821" s="237"/>
      <c r="M821" s="237"/>
      <c r="N821" s="237"/>
      <c r="O821" s="237"/>
      <c r="P821" s="237"/>
      <c r="Q821" s="237"/>
      <c r="R821" s="237"/>
      <c r="S821" s="237"/>
      <c r="T821" s="237"/>
      <c r="U821" s="237"/>
      <c r="V821" s="237"/>
      <c r="W821" s="237"/>
      <c r="X821" s="237"/>
      <c r="Y821" s="237"/>
      <c r="Z821" s="237"/>
    </row>
    <row r="822" spans="1:26" ht="24.75" customHeight="1" x14ac:dyDescent="0.25">
      <c r="A822" s="236"/>
      <c r="B822" s="237"/>
      <c r="C822" s="236"/>
      <c r="D822" s="238"/>
      <c r="E822" s="238"/>
      <c r="F822" s="238"/>
      <c r="G822" s="239"/>
      <c r="H822" s="241"/>
      <c r="I822" s="244"/>
      <c r="J822" s="241"/>
      <c r="K822" s="237"/>
      <c r="L822" s="237"/>
      <c r="M822" s="237"/>
      <c r="N822" s="237"/>
      <c r="O822" s="237"/>
      <c r="P822" s="237"/>
      <c r="Q822" s="237"/>
      <c r="R822" s="237"/>
      <c r="S822" s="237"/>
      <c r="T822" s="237"/>
      <c r="U822" s="237"/>
      <c r="V822" s="237"/>
      <c r="W822" s="237"/>
      <c r="X822" s="237"/>
      <c r="Y822" s="237"/>
      <c r="Z822" s="237"/>
    </row>
    <row r="823" spans="1:26" ht="24.75" customHeight="1" x14ac:dyDescent="0.25">
      <c r="A823" s="236"/>
      <c r="B823" s="237"/>
      <c r="C823" s="236"/>
      <c r="D823" s="238"/>
      <c r="E823" s="238"/>
      <c r="F823" s="238"/>
      <c r="G823" s="239"/>
      <c r="H823" s="241"/>
      <c r="I823" s="244"/>
      <c r="J823" s="241"/>
      <c r="K823" s="237"/>
      <c r="L823" s="237"/>
      <c r="M823" s="237"/>
      <c r="N823" s="237"/>
      <c r="O823" s="237"/>
      <c r="P823" s="237"/>
      <c r="Q823" s="237"/>
      <c r="R823" s="237"/>
      <c r="S823" s="237"/>
      <c r="T823" s="237"/>
      <c r="U823" s="237"/>
      <c r="V823" s="237"/>
      <c r="W823" s="237"/>
      <c r="X823" s="237"/>
      <c r="Y823" s="237"/>
      <c r="Z823" s="237"/>
    </row>
    <row r="824" spans="1:26" ht="24.75" customHeight="1" x14ac:dyDescent="0.25">
      <c r="A824" s="236"/>
      <c r="B824" s="237"/>
      <c r="C824" s="236"/>
      <c r="D824" s="238"/>
      <c r="E824" s="238"/>
      <c r="F824" s="238"/>
      <c r="G824" s="239"/>
      <c r="H824" s="241"/>
      <c r="I824" s="244"/>
      <c r="J824" s="241"/>
      <c r="K824" s="237"/>
      <c r="L824" s="237"/>
      <c r="M824" s="237"/>
      <c r="N824" s="237"/>
      <c r="O824" s="237"/>
      <c r="P824" s="237"/>
      <c r="Q824" s="237"/>
      <c r="R824" s="237"/>
      <c r="S824" s="237"/>
      <c r="T824" s="237"/>
      <c r="U824" s="237"/>
      <c r="V824" s="237"/>
      <c r="W824" s="237"/>
      <c r="X824" s="237"/>
      <c r="Y824" s="237"/>
      <c r="Z824" s="237"/>
    </row>
    <row r="825" spans="1:26" ht="24.75" customHeight="1" x14ac:dyDescent="0.25">
      <c r="A825" s="236"/>
      <c r="B825" s="237"/>
      <c r="C825" s="236"/>
      <c r="D825" s="238"/>
      <c r="E825" s="238"/>
      <c r="F825" s="238"/>
      <c r="G825" s="239"/>
      <c r="H825" s="241"/>
      <c r="I825" s="244"/>
      <c r="J825" s="241"/>
      <c r="K825" s="237"/>
      <c r="L825" s="237"/>
      <c r="M825" s="237"/>
      <c r="N825" s="237"/>
      <c r="O825" s="237"/>
      <c r="P825" s="237"/>
      <c r="Q825" s="237"/>
      <c r="R825" s="237"/>
      <c r="S825" s="237"/>
      <c r="T825" s="237"/>
      <c r="U825" s="237"/>
      <c r="V825" s="237"/>
      <c r="W825" s="237"/>
      <c r="X825" s="237"/>
      <c r="Y825" s="237"/>
      <c r="Z825" s="237"/>
    </row>
    <row r="826" spans="1:26" ht="24.75" customHeight="1" x14ac:dyDescent="0.25">
      <c r="A826" s="236"/>
      <c r="B826" s="237"/>
      <c r="C826" s="236"/>
      <c r="D826" s="238"/>
      <c r="E826" s="238"/>
      <c r="F826" s="238"/>
      <c r="G826" s="239"/>
      <c r="H826" s="241"/>
      <c r="I826" s="244"/>
      <c r="J826" s="241"/>
      <c r="K826" s="237"/>
      <c r="L826" s="237"/>
      <c r="M826" s="237"/>
      <c r="N826" s="237"/>
      <c r="O826" s="237"/>
      <c r="P826" s="237"/>
      <c r="Q826" s="237"/>
      <c r="R826" s="237"/>
      <c r="S826" s="237"/>
      <c r="T826" s="237"/>
      <c r="U826" s="237"/>
      <c r="V826" s="237"/>
      <c r="W826" s="237"/>
      <c r="X826" s="237"/>
      <c r="Y826" s="237"/>
      <c r="Z826" s="237"/>
    </row>
    <row r="827" spans="1:26" ht="24.75" customHeight="1" x14ac:dyDescent="0.25">
      <c r="A827" s="236"/>
      <c r="B827" s="237"/>
      <c r="C827" s="236"/>
      <c r="D827" s="238"/>
      <c r="E827" s="238"/>
      <c r="F827" s="238"/>
      <c r="G827" s="239"/>
      <c r="H827" s="241"/>
      <c r="I827" s="244"/>
      <c r="J827" s="241"/>
      <c r="K827" s="237"/>
      <c r="L827" s="237"/>
      <c r="M827" s="237"/>
      <c r="N827" s="237"/>
      <c r="O827" s="237"/>
      <c r="P827" s="237"/>
      <c r="Q827" s="237"/>
      <c r="R827" s="237"/>
      <c r="S827" s="237"/>
      <c r="T827" s="237"/>
      <c r="U827" s="237"/>
      <c r="V827" s="237"/>
      <c r="W827" s="237"/>
      <c r="X827" s="237"/>
      <c r="Y827" s="237"/>
      <c r="Z827" s="237"/>
    </row>
    <row r="828" spans="1:26" ht="24.75" customHeight="1" x14ac:dyDescent="0.25">
      <c r="A828" s="236"/>
      <c r="B828" s="237"/>
      <c r="C828" s="236"/>
      <c r="D828" s="238"/>
      <c r="E828" s="238"/>
      <c r="F828" s="238"/>
      <c r="G828" s="239"/>
      <c r="H828" s="241"/>
      <c r="I828" s="244"/>
      <c r="J828" s="241"/>
      <c r="K828" s="237"/>
      <c r="L828" s="237"/>
      <c r="M828" s="237"/>
      <c r="N828" s="237"/>
      <c r="O828" s="237"/>
      <c r="P828" s="237"/>
      <c r="Q828" s="237"/>
      <c r="R828" s="237"/>
      <c r="S828" s="237"/>
      <c r="T828" s="237"/>
      <c r="U828" s="237"/>
      <c r="V828" s="237"/>
      <c r="W828" s="237"/>
      <c r="X828" s="237"/>
      <c r="Y828" s="237"/>
      <c r="Z828" s="237"/>
    </row>
    <row r="829" spans="1:26" ht="24.75" customHeight="1" x14ac:dyDescent="0.25">
      <c r="A829" s="236"/>
      <c r="B829" s="237"/>
      <c r="C829" s="236"/>
      <c r="D829" s="238"/>
      <c r="E829" s="238"/>
      <c r="F829" s="238"/>
      <c r="G829" s="239"/>
      <c r="H829" s="241"/>
      <c r="I829" s="244"/>
      <c r="J829" s="241"/>
      <c r="K829" s="237"/>
      <c r="L829" s="237"/>
      <c r="M829" s="237"/>
      <c r="N829" s="237"/>
      <c r="O829" s="237"/>
      <c r="P829" s="237"/>
      <c r="Q829" s="237"/>
      <c r="R829" s="237"/>
      <c r="S829" s="237"/>
      <c r="T829" s="237"/>
      <c r="U829" s="237"/>
      <c r="V829" s="237"/>
      <c r="W829" s="237"/>
      <c r="X829" s="237"/>
      <c r="Y829" s="237"/>
      <c r="Z829" s="237"/>
    </row>
    <row r="830" spans="1:26" ht="24.75" customHeight="1" x14ac:dyDescent="0.25">
      <c r="A830" s="236"/>
      <c r="B830" s="237"/>
      <c r="C830" s="236"/>
      <c r="D830" s="238"/>
      <c r="E830" s="238"/>
      <c r="F830" s="238"/>
      <c r="G830" s="239"/>
      <c r="H830" s="241"/>
      <c r="I830" s="244"/>
      <c r="J830" s="241"/>
      <c r="K830" s="237"/>
      <c r="L830" s="237"/>
      <c r="M830" s="237"/>
      <c r="N830" s="237"/>
      <c r="O830" s="237"/>
      <c r="P830" s="237"/>
      <c r="Q830" s="237"/>
      <c r="R830" s="237"/>
      <c r="S830" s="237"/>
      <c r="T830" s="237"/>
      <c r="U830" s="237"/>
      <c r="V830" s="237"/>
      <c r="W830" s="237"/>
      <c r="X830" s="237"/>
      <c r="Y830" s="237"/>
      <c r="Z830" s="237"/>
    </row>
    <row r="831" spans="1:26" ht="24.75" customHeight="1" x14ac:dyDescent="0.25">
      <c r="A831" s="236"/>
      <c r="B831" s="237"/>
      <c r="C831" s="236"/>
      <c r="D831" s="238"/>
      <c r="E831" s="238"/>
      <c r="F831" s="238"/>
      <c r="G831" s="239"/>
      <c r="H831" s="241"/>
      <c r="I831" s="244"/>
      <c r="J831" s="241"/>
      <c r="K831" s="237"/>
      <c r="L831" s="237"/>
      <c r="M831" s="237"/>
      <c r="N831" s="237"/>
      <c r="O831" s="237"/>
      <c r="P831" s="237"/>
      <c r="Q831" s="237"/>
      <c r="R831" s="237"/>
      <c r="S831" s="237"/>
      <c r="T831" s="237"/>
      <c r="U831" s="237"/>
      <c r="V831" s="237"/>
      <c r="W831" s="237"/>
      <c r="X831" s="237"/>
      <c r="Y831" s="237"/>
      <c r="Z831" s="237"/>
    </row>
    <row r="832" spans="1:26" ht="24.75" customHeight="1" x14ac:dyDescent="0.25">
      <c r="A832" s="236"/>
      <c r="B832" s="237"/>
      <c r="C832" s="236"/>
      <c r="D832" s="238"/>
      <c r="E832" s="238"/>
      <c r="F832" s="238"/>
      <c r="G832" s="239"/>
      <c r="H832" s="241"/>
      <c r="I832" s="244"/>
      <c r="J832" s="241"/>
      <c r="K832" s="237"/>
      <c r="L832" s="237"/>
      <c r="M832" s="237"/>
      <c r="N832" s="237"/>
      <c r="O832" s="237"/>
      <c r="P832" s="237"/>
      <c r="Q832" s="237"/>
      <c r="R832" s="237"/>
      <c r="S832" s="237"/>
      <c r="T832" s="237"/>
      <c r="U832" s="237"/>
      <c r="V832" s="237"/>
      <c r="W832" s="237"/>
      <c r="X832" s="237"/>
      <c r="Y832" s="237"/>
      <c r="Z832" s="237"/>
    </row>
    <row r="833" spans="1:26" ht="24.75" customHeight="1" x14ac:dyDescent="0.25">
      <c r="A833" s="236"/>
      <c r="B833" s="237"/>
      <c r="C833" s="236"/>
      <c r="D833" s="238"/>
      <c r="E833" s="238"/>
      <c r="F833" s="238"/>
      <c r="G833" s="239"/>
      <c r="H833" s="241"/>
      <c r="I833" s="244"/>
      <c r="J833" s="241"/>
      <c r="K833" s="237"/>
      <c r="L833" s="237"/>
      <c r="M833" s="237"/>
      <c r="N833" s="237"/>
      <c r="O833" s="237"/>
      <c r="P833" s="237"/>
      <c r="Q833" s="237"/>
      <c r="R833" s="237"/>
      <c r="S833" s="237"/>
      <c r="T833" s="237"/>
      <c r="U833" s="237"/>
      <c r="V833" s="237"/>
      <c r="W833" s="237"/>
      <c r="X833" s="237"/>
      <c r="Y833" s="237"/>
      <c r="Z833" s="237"/>
    </row>
    <row r="834" spans="1:26" ht="24.75" customHeight="1" x14ac:dyDescent="0.25">
      <c r="A834" s="236"/>
      <c r="B834" s="237"/>
      <c r="C834" s="236"/>
      <c r="D834" s="238"/>
      <c r="E834" s="238"/>
      <c r="F834" s="238"/>
      <c r="G834" s="239"/>
      <c r="H834" s="241"/>
      <c r="I834" s="244"/>
      <c r="J834" s="241"/>
      <c r="K834" s="237"/>
      <c r="L834" s="237"/>
      <c r="M834" s="237"/>
      <c r="N834" s="237"/>
      <c r="O834" s="237"/>
      <c r="P834" s="237"/>
      <c r="Q834" s="237"/>
      <c r="R834" s="237"/>
      <c r="S834" s="237"/>
      <c r="T834" s="237"/>
      <c r="U834" s="237"/>
      <c r="V834" s="237"/>
      <c r="W834" s="237"/>
      <c r="X834" s="237"/>
      <c r="Y834" s="237"/>
      <c r="Z834" s="237"/>
    </row>
    <row r="835" spans="1:26" ht="24.75" customHeight="1" x14ac:dyDescent="0.25">
      <c r="A835" s="236"/>
      <c r="B835" s="237"/>
      <c r="C835" s="236"/>
      <c r="D835" s="238"/>
      <c r="E835" s="238"/>
      <c r="F835" s="238"/>
      <c r="G835" s="239"/>
      <c r="H835" s="241"/>
      <c r="I835" s="244"/>
      <c r="J835" s="241"/>
      <c r="K835" s="237"/>
      <c r="L835" s="237"/>
      <c r="M835" s="237"/>
      <c r="N835" s="237"/>
      <c r="O835" s="237"/>
      <c r="P835" s="237"/>
      <c r="Q835" s="237"/>
      <c r="R835" s="237"/>
      <c r="S835" s="237"/>
      <c r="T835" s="237"/>
      <c r="U835" s="237"/>
      <c r="V835" s="237"/>
      <c r="W835" s="237"/>
      <c r="X835" s="237"/>
      <c r="Y835" s="237"/>
      <c r="Z835" s="237"/>
    </row>
    <row r="836" spans="1:26" ht="24.75" customHeight="1" x14ac:dyDescent="0.25">
      <c r="A836" s="236"/>
      <c r="B836" s="237"/>
      <c r="C836" s="236"/>
      <c r="D836" s="238"/>
      <c r="E836" s="238"/>
      <c r="F836" s="238"/>
      <c r="G836" s="239"/>
      <c r="H836" s="241"/>
      <c r="I836" s="244"/>
      <c r="J836" s="241"/>
      <c r="K836" s="237"/>
      <c r="L836" s="237"/>
      <c r="M836" s="237"/>
      <c r="N836" s="237"/>
      <c r="O836" s="237"/>
      <c r="P836" s="237"/>
      <c r="Q836" s="237"/>
      <c r="R836" s="237"/>
      <c r="S836" s="237"/>
      <c r="T836" s="237"/>
      <c r="U836" s="237"/>
      <c r="V836" s="237"/>
      <c r="W836" s="237"/>
      <c r="X836" s="237"/>
      <c r="Y836" s="237"/>
      <c r="Z836" s="237"/>
    </row>
    <row r="837" spans="1:26" ht="24.75" customHeight="1" x14ac:dyDescent="0.25">
      <c r="A837" s="236"/>
      <c r="B837" s="237"/>
      <c r="C837" s="236"/>
      <c r="D837" s="238"/>
      <c r="E837" s="238"/>
      <c r="F837" s="238"/>
      <c r="G837" s="239"/>
      <c r="H837" s="241"/>
      <c r="I837" s="244"/>
      <c r="J837" s="241"/>
      <c r="K837" s="237"/>
      <c r="L837" s="237"/>
      <c r="M837" s="237"/>
      <c r="N837" s="237"/>
      <c r="O837" s="237"/>
      <c r="P837" s="237"/>
      <c r="Q837" s="237"/>
      <c r="R837" s="237"/>
      <c r="S837" s="237"/>
      <c r="T837" s="237"/>
      <c r="U837" s="237"/>
      <c r="V837" s="237"/>
      <c r="W837" s="237"/>
      <c r="X837" s="237"/>
      <c r="Y837" s="237"/>
      <c r="Z837" s="237"/>
    </row>
    <row r="838" spans="1:26" ht="24.75" customHeight="1" x14ac:dyDescent="0.25">
      <c r="A838" s="236"/>
      <c r="B838" s="237"/>
      <c r="C838" s="236"/>
      <c r="D838" s="238"/>
      <c r="E838" s="238"/>
      <c r="F838" s="238"/>
      <c r="G838" s="239"/>
      <c r="H838" s="241"/>
      <c r="I838" s="244"/>
      <c r="J838" s="241"/>
      <c r="K838" s="237"/>
      <c r="L838" s="237"/>
      <c r="M838" s="237"/>
      <c r="N838" s="237"/>
      <c r="O838" s="237"/>
      <c r="P838" s="237"/>
      <c r="Q838" s="237"/>
      <c r="R838" s="237"/>
      <c r="S838" s="237"/>
      <c r="T838" s="237"/>
      <c r="U838" s="237"/>
      <c r="V838" s="237"/>
      <c r="W838" s="237"/>
      <c r="X838" s="237"/>
      <c r="Y838" s="237"/>
      <c r="Z838" s="237"/>
    </row>
    <row r="839" spans="1:26" ht="24.75" customHeight="1" x14ac:dyDescent="0.25">
      <c r="A839" s="236"/>
      <c r="B839" s="237"/>
      <c r="C839" s="236"/>
      <c r="D839" s="238"/>
      <c r="E839" s="238"/>
      <c r="F839" s="238"/>
      <c r="G839" s="239"/>
      <c r="H839" s="241"/>
      <c r="I839" s="244"/>
      <c r="J839" s="241"/>
      <c r="K839" s="237"/>
      <c r="L839" s="237"/>
      <c r="M839" s="237"/>
      <c r="N839" s="237"/>
      <c r="O839" s="237"/>
      <c r="P839" s="237"/>
      <c r="Q839" s="237"/>
      <c r="R839" s="237"/>
      <c r="S839" s="237"/>
      <c r="T839" s="237"/>
      <c r="U839" s="237"/>
      <c r="V839" s="237"/>
      <c r="W839" s="237"/>
      <c r="X839" s="237"/>
      <c r="Y839" s="237"/>
      <c r="Z839" s="237"/>
    </row>
    <row r="840" spans="1:26" ht="24.75" customHeight="1" x14ac:dyDescent="0.25">
      <c r="A840" s="236"/>
      <c r="B840" s="237"/>
      <c r="C840" s="236"/>
      <c r="D840" s="238"/>
      <c r="E840" s="238"/>
      <c r="F840" s="238"/>
      <c r="G840" s="239"/>
      <c r="H840" s="241"/>
      <c r="I840" s="244"/>
      <c r="J840" s="241"/>
      <c r="K840" s="237"/>
      <c r="L840" s="237"/>
      <c r="M840" s="237"/>
      <c r="N840" s="237"/>
      <c r="O840" s="237"/>
      <c r="P840" s="237"/>
      <c r="Q840" s="237"/>
      <c r="R840" s="237"/>
      <c r="S840" s="237"/>
      <c r="T840" s="237"/>
      <c r="U840" s="237"/>
      <c r="V840" s="237"/>
      <c r="W840" s="237"/>
      <c r="X840" s="237"/>
      <c r="Y840" s="237"/>
      <c r="Z840" s="237"/>
    </row>
    <row r="841" spans="1:26" ht="24.75" customHeight="1" x14ac:dyDescent="0.25">
      <c r="A841" s="236"/>
      <c r="B841" s="237"/>
      <c r="C841" s="236"/>
      <c r="D841" s="238"/>
      <c r="E841" s="238"/>
      <c r="F841" s="238"/>
      <c r="G841" s="239"/>
      <c r="H841" s="241"/>
      <c r="I841" s="244"/>
      <c r="J841" s="241"/>
      <c r="K841" s="237"/>
      <c r="L841" s="237"/>
      <c r="M841" s="237"/>
      <c r="N841" s="237"/>
      <c r="O841" s="237"/>
      <c r="P841" s="237"/>
      <c r="Q841" s="237"/>
      <c r="R841" s="237"/>
      <c r="S841" s="237"/>
      <c r="T841" s="237"/>
      <c r="U841" s="237"/>
      <c r="V841" s="237"/>
      <c r="W841" s="237"/>
      <c r="X841" s="237"/>
      <c r="Y841" s="237"/>
      <c r="Z841" s="237"/>
    </row>
    <row r="842" spans="1:26" ht="24.75" customHeight="1" x14ac:dyDescent="0.25">
      <c r="A842" s="236"/>
      <c r="B842" s="237"/>
      <c r="C842" s="236"/>
      <c r="D842" s="238"/>
      <c r="E842" s="238"/>
      <c r="F842" s="238"/>
      <c r="G842" s="239"/>
      <c r="H842" s="241"/>
      <c r="I842" s="244"/>
      <c r="J842" s="241"/>
      <c r="K842" s="237"/>
      <c r="L842" s="237"/>
      <c r="M842" s="237"/>
      <c r="N842" s="237"/>
      <c r="O842" s="237"/>
      <c r="P842" s="237"/>
      <c r="Q842" s="237"/>
      <c r="R842" s="237"/>
      <c r="S842" s="237"/>
      <c r="T842" s="237"/>
      <c r="U842" s="237"/>
      <c r="V842" s="237"/>
      <c r="W842" s="237"/>
      <c r="X842" s="237"/>
      <c r="Y842" s="237"/>
      <c r="Z842" s="237"/>
    </row>
    <row r="843" spans="1:26" ht="24.75" customHeight="1" x14ac:dyDescent="0.25">
      <c r="A843" s="236"/>
      <c r="B843" s="237"/>
      <c r="C843" s="236"/>
      <c r="D843" s="238"/>
      <c r="E843" s="238"/>
      <c r="F843" s="238"/>
      <c r="G843" s="239"/>
      <c r="H843" s="241"/>
      <c r="I843" s="244"/>
      <c r="J843" s="241"/>
      <c r="K843" s="237"/>
      <c r="L843" s="237"/>
      <c r="M843" s="237"/>
      <c r="N843" s="237"/>
      <c r="O843" s="237"/>
      <c r="P843" s="237"/>
      <c r="Q843" s="237"/>
      <c r="R843" s="237"/>
      <c r="S843" s="237"/>
      <c r="T843" s="237"/>
      <c r="U843" s="237"/>
      <c r="V843" s="237"/>
      <c r="W843" s="237"/>
      <c r="X843" s="237"/>
      <c r="Y843" s="237"/>
      <c r="Z843" s="237"/>
    </row>
    <row r="844" spans="1:26" ht="24.75" customHeight="1" x14ac:dyDescent="0.25">
      <c r="A844" s="236"/>
      <c r="B844" s="237"/>
      <c r="C844" s="236"/>
      <c r="D844" s="238"/>
      <c r="E844" s="238"/>
      <c r="F844" s="238"/>
      <c r="G844" s="239"/>
      <c r="H844" s="241"/>
      <c r="I844" s="244"/>
      <c r="J844" s="241"/>
      <c r="K844" s="237"/>
      <c r="L844" s="237"/>
      <c r="M844" s="237"/>
      <c r="N844" s="237"/>
      <c r="O844" s="237"/>
      <c r="P844" s="237"/>
      <c r="Q844" s="237"/>
      <c r="R844" s="237"/>
      <c r="S844" s="237"/>
      <c r="T844" s="237"/>
      <c r="U844" s="237"/>
      <c r="V844" s="237"/>
      <c r="W844" s="237"/>
      <c r="X844" s="237"/>
      <c r="Y844" s="237"/>
      <c r="Z844" s="237"/>
    </row>
    <row r="845" spans="1:26" ht="24.75" customHeight="1" x14ac:dyDescent="0.25">
      <c r="A845" s="236"/>
      <c r="B845" s="237"/>
      <c r="C845" s="236"/>
      <c r="D845" s="238"/>
      <c r="E845" s="238"/>
      <c r="F845" s="238"/>
      <c r="G845" s="239"/>
      <c r="H845" s="241"/>
      <c r="I845" s="244"/>
      <c r="J845" s="241"/>
      <c r="K845" s="237"/>
      <c r="L845" s="237"/>
      <c r="M845" s="237"/>
      <c r="N845" s="237"/>
      <c r="O845" s="237"/>
      <c r="P845" s="237"/>
      <c r="Q845" s="237"/>
      <c r="R845" s="237"/>
      <c r="S845" s="237"/>
      <c r="T845" s="237"/>
      <c r="U845" s="237"/>
      <c r="V845" s="237"/>
      <c r="W845" s="237"/>
      <c r="X845" s="237"/>
      <c r="Y845" s="237"/>
      <c r="Z845" s="237"/>
    </row>
    <row r="846" spans="1:26" ht="24.75" customHeight="1" x14ac:dyDescent="0.25">
      <c r="A846" s="236"/>
      <c r="B846" s="237"/>
      <c r="C846" s="236"/>
      <c r="D846" s="238"/>
      <c r="E846" s="238"/>
      <c r="F846" s="238"/>
      <c r="G846" s="239"/>
      <c r="H846" s="241"/>
      <c r="I846" s="244"/>
      <c r="J846" s="241"/>
      <c r="K846" s="237"/>
      <c r="L846" s="237"/>
      <c r="M846" s="237"/>
      <c r="N846" s="237"/>
      <c r="O846" s="237"/>
      <c r="P846" s="237"/>
      <c r="Q846" s="237"/>
      <c r="R846" s="237"/>
      <c r="S846" s="237"/>
      <c r="T846" s="237"/>
      <c r="U846" s="237"/>
      <c r="V846" s="237"/>
      <c r="W846" s="237"/>
      <c r="X846" s="237"/>
      <c r="Y846" s="237"/>
      <c r="Z846" s="237"/>
    </row>
    <row r="847" spans="1:26" ht="24.75" customHeight="1" x14ac:dyDescent="0.25">
      <c r="A847" s="236"/>
      <c r="B847" s="237"/>
      <c r="C847" s="236"/>
      <c r="D847" s="238"/>
      <c r="E847" s="238"/>
      <c r="F847" s="238"/>
      <c r="G847" s="239"/>
      <c r="H847" s="241"/>
      <c r="I847" s="244"/>
      <c r="J847" s="241"/>
      <c r="K847" s="237"/>
      <c r="L847" s="237"/>
      <c r="M847" s="237"/>
      <c r="N847" s="237"/>
      <c r="O847" s="237"/>
      <c r="P847" s="237"/>
      <c r="Q847" s="237"/>
      <c r="R847" s="237"/>
      <c r="S847" s="237"/>
      <c r="T847" s="237"/>
      <c r="U847" s="237"/>
      <c r="V847" s="237"/>
      <c r="W847" s="237"/>
      <c r="X847" s="237"/>
      <c r="Y847" s="237"/>
      <c r="Z847" s="237"/>
    </row>
    <row r="848" spans="1:26" ht="24.75" customHeight="1" x14ac:dyDescent="0.25">
      <c r="A848" s="236"/>
      <c r="B848" s="237"/>
      <c r="C848" s="236"/>
      <c r="D848" s="238"/>
      <c r="E848" s="238"/>
      <c r="F848" s="238"/>
      <c r="G848" s="239"/>
      <c r="H848" s="241"/>
      <c r="I848" s="244"/>
      <c r="J848" s="241"/>
      <c r="K848" s="237"/>
      <c r="L848" s="237"/>
      <c r="M848" s="237"/>
      <c r="N848" s="237"/>
      <c r="O848" s="237"/>
      <c r="P848" s="237"/>
      <c r="Q848" s="237"/>
      <c r="R848" s="237"/>
      <c r="S848" s="237"/>
      <c r="T848" s="237"/>
      <c r="U848" s="237"/>
      <c r="V848" s="237"/>
      <c r="W848" s="237"/>
      <c r="X848" s="237"/>
      <c r="Y848" s="237"/>
      <c r="Z848" s="237"/>
    </row>
    <row r="849" spans="1:26" ht="24.75" customHeight="1" x14ac:dyDescent="0.25">
      <c r="A849" s="236"/>
      <c r="B849" s="237"/>
      <c r="C849" s="236"/>
      <c r="D849" s="238"/>
      <c r="E849" s="238"/>
      <c r="F849" s="238"/>
      <c r="G849" s="239"/>
      <c r="H849" s="241"/>
      <c r="I849" s="244"/>
      <c r="J849" s="241"/>
      <c r="K849" s="237"/>
      <c r="L849" s="237"/>
      <c r="M849" s="237"/>
      <c r="N849" s="237"/>
      <c r="O849" s="237"/>
      <c r="P849" s="237"/>
      <c r="Q849" s="237"/>
      <c r="R849" s="237"/>
      <c r="S849" s="237"/>
      <c r="T849" s="237"/>
      <c r="U849" s="237"/>
      <c r="V849" s="237"/>
      <c r="W849" s="237"/>
      <c r="X849" s="237"/>
      <c r="Y849" s="237"/>
      <c r="Z849" s="237"/>
    </row>
    <row r="850" spans="1:26" ht="24.75" customHeight="1" x14ac:dyDescent="0.25">
      <c r="A850" s="236"/>
      <c r="B850" s="237"/>
      <c r="C850" s="236"/>
      <c r="D850" s="238"/>
      <c r="E850" s="238"/>
      <c r="F850" s="238"/>
      <c r="G850" s="239"/>
      <c r="H850" s="241"/>
      <c r="I850" s="244"/>
      <c r="J850" s="241"/>
      <c r="K850" s="237"/>
      <c r="L850" s="237"/>
      <c r="M850" s="237"/>
      <c r="N850" s="237"/>
      <c r="O850" s="237"/>
      <c r="P850" s="237"/>
      <c r="Q850" s="237"/>
      <c r="R850" s="237"/>
      <c r="S850" s="237"/>
      <c r="T850" s="237"/>
      <c r="U850" s="237"/>
      <c r="V850" s="237"/>
      <c r="W850" s="237"/>
      <c r="X850" s="237"/>
      <c r="Y850" s="237"/>
      <c r="Z850" s="237"/>
    </row>
    <row r="851" spans="1:26" ht="24.75" customHeight="1" x14ac:dyDescent="0.25">
      <c r="A851" s="236"/>
      <c r="B851" s="237"/>
      <c r="C851" s="236"/>
      <c r="D851" s="238"/>
      <c r="E851" s="238"/>
      <c r="F851" s="238"/>
      <c r="G851" s="239"/>
      <c r="H851" s="241"/>
      <c r="I851" s="244"/>
      <c r="J851" s="241"/>
      <c r="K851" s="237"/>
      <c r="L851" s="237"/>
      <c r="M851" s="237"/>
      <c r="N851" s="237"/>
      <c r="O851" s="237"/>
      <c r="P851" s="237"/>
      <c r="Q851" s="237"/>
      <c r="R851" s="237"/>
      <c r="S851" s="237"/>
      <c r="T851" s="237"/>
      <c r="U851" s="237"/>
      <c r="V851" s="237"/>
      <c r="W851" s="237"/>
      <c r="X851" s="237"/>
      <c r="Y851" s="237"/>
      <c r="Z851" s="237"/>
    </row>
    <row r="852" spans="1:26" ht="24.75" customHeight="1" x14ac:dyDescent="0.25">
      <c r="A852" s="236"/>
      <c r="B852" s="237"/>
      <c r="C852" s="236"/>
      <c r="D852" s="238"/>
      <c r="E852" s="238"/>
      <c r="F852" s="238"/>
      <c r="G852" s="239"/>
      <c r="H852" s="241"/>
      <c r="I852" s="244"/>
      <c r="J852" s="241"/>
      <c r="K852" s="237"/>
      <c r="L852" s="237"/>
      <c r="M852" s="237"/>
      <c r="N852" s="237"/>
      <c r="O852" s="237"/>
      <c r="P852" s="237"/>
      <c r="Q852" s="237"/>
      <c r="R852" s="237"/>
      <c r="S852" s="237"/>
      <c r="T852" s="237"/>
      <c r="U852" s="237"/>
      <c r="V852" s="237"/>
      <c r="W852" s="237"/>
      <c r="X852" s="237"/>
      <c r="Y852" s="237"/>
      <c r="Z852" s="237"/>
    </row>
    <row r="853" spans="1:26" ht="24.75" customHeight="1" x14ac:dyDescent="0.25">
      <c r="A853" s="236"/>
      <c r="B853" s="237"/>
      <c r="C853" s="236"/>
      <c r="D853" s="238"/>
      <c r="E853" s="238"/>
      <c r="F853" s="238"/>
      <c r="G853" s="239"/>
      <c r="H853" s="241"/>
      <c r="I853" s="244"/>
      <c r="J853" s="241"/>
      <c r="K853" s="237"/>
      <c r="L853" s="237"/>
      <c r="M853" s="237"/>
      <c r="N853" s="237"/>
      <c r="O853" s="237"/>
      <c r="P853" s="237"/>
      <c r="Q853" s="237"/>
      <c r="R853" s="237"/>
      <c r="S853" s="237"/>
      <c r="T853" s="237"/>
      <c r="U853" s="237"/>
      <c r="V853" s="237"/>
      <c r="W853" s="237"/>
      <c r="X853" s="237"/>
      <c r="Y853" s="237"/>
      <c r="Z853" s="237"/>
    </row>
    <row r="854" spans="1:26" ht="24.75" customHeight="1" x14ac:dyDescent="0.25">
      <c r="A854" s="236"/>
      <c r="B854" s="237"/>
      <c r="C854" s="236"/>
      <c r="D854" s="238"/>
      <c r="E854" s="238"/>
      <c r="F854" s="238"/>
      <c r="G854" s="239"/>
      <c r="H854" s="241"/>
      <c r="I854" s="244"/>
      <c r="J854" s="241"/>
      <c r="K854" s="237"/>
      <c r="L854" s="237"/>
      <c r="M854" s="237"/>
      <c r="N854" s="237"/>
      <c r="O854" s="237"/>
      <c r="P854" s="237"/>
      <c r="Q854" s="237"/>
      <c r="R854" s="237"/>
      <c r="S854" s="237"/>
      <c r="T854" s="237"/>
      <c r="U854" s="237"/>
      <c r="V854" s="237"/>
      <c r="W854" s="237"/>
      <c r="X854" s="237"/>
      <c r="Y854" s="237"/>
      <c r="Z854" s="237"/>
    </row>
    <row r="855" spans="1:26" ht="24.75" customHeight="1" x14ac:dyDescent="0.25">
      <c r="A855" s="236"/>
      <c r="B855" s="237"/>
      <c r="C855" s="236"/>
      <c r="D855" s="238"/>
      <c r="E855" s="238"/>
      <c r="F855" s="238"/>
      <c r="G855" s="239"/>
      <c r="H855" s="241"/>
      <c r="I855" s="244"/>
      <c r="J855" s="241"/>
      <c r="K855" s="237"/>
      <c r="L855" s="237"/>
      <c r="M855" s="237"/>
      <c r="N855" s="237"/>
      <c r="O855" s="237"/>
      <c r="P855" s="237"/>
      <c r="Q855" s="237"/>
      <c r="R855" s="237"/>
      <c r="S855" s="237"/>
      <c r="T855" s="237"/>
      <c r="U855" s="237"/>
      <c r="V855" s="237"/>
      <c r="W855" s="237"/>
      <c r="X855" s="237"/>
      <c r="Y855" s="237"/>
      <c r="Z855" s="237"/>
    </row>
    <row r="856" spans="1:26" ht="24.75" customHeight="1" x14ac:dyDescent="0.25">
      <c r="A856" s="236"/>
      <c r="B856" s="237"/>
      <c r="C856" s="236"/>
      <c r="D856" s="238"/>
      <c r="E856" s="238"/>
      <c r="F856" s="238"/>
      <c r="G856" s="239"/>
      <c r="H856" s="241"/>
      <c r="I856" s="244"/>
      <c r="J856" s="241"/>
      <c r="K856" s="237"/>
      <c r="L856" s="237"/>
      <c r="M856" s="237"/>
      <c r="N856" s="237"/>
      <c r="O856" s="237"/>
      <c r="P856" s="237"/>
      <c r="Q856" s="237"/>
      <c r="R856" s="237"/>
      <c r="S856" s="237"/>
      <c r="T856" s="237"/>
      <c r="U856" s="237"/>
      <c r="V856" s="237"/>
      <c r="W856" s="237"/>
      <c r="X856" s="237"/>
      <c r="Y856" s="237"/>
      <c r="Z856" s="237"/>
    </row>
    <row r="857" spans="1:26" ht="24.75" customHeight="1" x14ac:dyDescent="0.25">
      <c r="A857" s="236"/>
      <c r="B857" s="237"/>
      <c r="C857" s="236"/>
      <c r="D857" s="238"/>
      <c r="E857" s="238"/>
      <c r="F857" s="238"/>
      <c r="G857" s="239"/>
      <c r="H857" s="241"/>
      <c r="I857" s="244"/>
      <c r="J857" s="241"/>
      <c r="K857" s="237"/>
      <c r="L857" s="237"/>
      <c r="M857" s="237"/>
      <c r="N857" s="237"/>
      <c r="O857" s="237"/>
      <c r="P857" s="237"/>
      <c r="Q857" s="237"/>
      <c r="R857" s="237"/>
      <c r="S857" s="237"/>
      <c r="T857" s="237"/>
      <c r="U857" s="237"/>
      <c r="V857" s="237"/>
      <c r="W857" s="237"/>
      <c r="X857" s="237"/>
      <c r="Y857" s="237"/>
      <c r="Z857" s="237"/>
    </row>
    <row r="858" spans="1:26" ht="24.75" customHeight="1" x14ac:dyDescent="0.25">
      <c r="A858" s="236"/>
      <c r="B858" s="237"/>
      <c r="C858" s="236"/>
      <c r="D858" s="238"/>
      <c r="E858" s="238"/>
      <c r="F858" s="238"/>
      <c r="G858" s="239"/>
      <c r="H858" s="241"/>
      <c r="I858" s="244"/>
      <c r="J858" s="241"/>
      <c r="K858" s="237"/>
      <c r="L858" s="237"/>
      <c r="M858" s="237"/>
      <c r="N858" s="237"/>
      <c r="O858" s="237"/>
      <c r="P858" s="237"/>
      <c r="Q858" s="237"/>
      <c r="R858" s="237"/>
      <c r="S858" s="237"/>
      <c r="T858" s="237"/>
      <c r="U858" s="237"/>
      <c r="V858" s="237"/>
      <c r="W858" s="237"/>
      <c r="X858" s="237"/>
      <c r="Y858" s="237"/>
      <c r="Z858" s="237"/>
    </row>
    <row r="859" spans="1:26" ht="24.75" customHeight="1" x14ac:dyDescent="0.25">
      <c r="A859" s="236"/>
      <c r="B859" s="237"/>
      <c r="C859" s="236"/>
      <c r="D859" s="238"/>
      <c r="E859" s="238"/>
      <c r="F859" s="238"/>
      <c r="G859" s="239"/>
      <c r="H859" s="241"/>
      <c r="I859" s="244"/>
      <c r="J859" s="241"/>
      <c r="K859" s="237"/>
      <c r="L859" s="237"/>
      <c r="M859" s="237"/>
      <c r="N859" s="237"/>
      <c r="O859" s="237"/>
      <c r="P859" s="237"/>
      <c r="Q859" s="237"/>
      <c r="R859" s="237"/>
      <c r="S859" s="237"/>
      <c r="T859" s="237"/>
      <c r="U859" s="237"/>
      <c r="V859" s="237"/>
      <c r="W859" s="237"/>
      <c r="X859" s="237"/>
      <c r="Y859" s="237"/>
      <c r="Z859" s="237"/>
    </row>
    <row r="860" spans="1:26" ht="24.75" customHeight="1" x14ac:dyDescent="0.25">
      <c r="A860" s="236"/>
      <c r="B860" s="237"/>
      <c r="C860" s="236"/>
      <c r="D860" s="238"/>
      <c r="E860" s="238"/>
      <c r="F860" s="238"/>
      <c r="G860" s="239"/>
      <c r="H860" s="241"/>
      <c r="I860" s="244"/>
      <c r="J860" s="241"/>
      <c r="K860" s="237"/>
      <c r="L860" s="237"/>
      <c r="M860" s="237"/>
      <c r="N860" s="237"/>
      <c r="O860" s="237"/>
      <c r="P860" s="237"/>
      <c r="Q860" s="237"/>
      <c r="R860" s="237"/>
      <c r="S860" s="237"/>
      <c r="T860" s="237"/>
      <c r="U860" s="237"/>
      <c r="V860" s="237"/>
      <c r="W860" s="237"/>
      <c r="X860" s="237"/>
      <c r="Y860" s="237"/>
      <c r="Z860" s="237"/>
    </row>
    <row r="861" spans="1:26" ht="24.75" customHeight="1" x14ac:dyDescent="0.25">
      <c r="A861" s="236"/>
      <c r="B861" s="237"/>
      <c r="C861" s="236"/>
      <c r="D861" s="238"/>
      <c r="E861" s="238"/>
      <c r="F861" s="238"/>
      <c r="G861" s="239"/>
      <c r="H861" s="241"/>
      <c r="I861" s="244"/>
      <c r="J861" s="241"/>
      <c r="K861" s="237"/>
      <c r="L861" s="237"/>
      <c r="M861" s="237"/>
      <c r="N861" s="237"/>
      <c r="O861" s="237"/>
      <c r="P861" s="237"/>
      <c r="Q861" s="237"/>
      <c r="R861" s="237"/>
      <c r="S861" s="237"/>
      <c r="T861" s="237"/>
      <c r="U861" s="237"/>
      <c r="V861" s="237"/>
      <c r="W861" s="237"/>
      <c r="X861" s="237"/>
      <c r="Y861" s="237"/>
      <c r="Z861" s="237"/>
    </row>
    <row r="862" spans="1:26" ht="24.75" customHeight="1" x14ac:dyDescent="0.25">
      <c r="A862" s="236"/>
      <c r="B862" s="237"/>
      <c r="C862" s="236"/>
      <c r="D862" s="238"/>
      <c r="E862" s="238"/>
      <c r="F862" s="238"/>
      <c r="G862" s="239"/>
      <c r="H862" s="241"/>
      <c r="I862" s="244"/>
      <c r="J862" s="241"/>
      <c r="K862" s="237"/>
      <c r="L862" s="237"/>
      <c r="M862" s="237"/>
      <c r="N862" s="237"/>
      <c r="O862" s="237"/>
      <c r="P862" s="237"/>
      <c r="Q862" s="237"/>
      <c r="R862" s="237"/>
      <c r="S862" s="237"/>
      <c r="T862" s="237"/>
      <c r="U862" s="237"/>
      <c r="V862" s="237"/>
      <c r="W862" s="237"/>
      <c r="X862" s="237"/>
      <c r="Y862" s="237"/>
      <c r="Z862" s="237"/>
    </row>
    <row r="863" spans="1:26" ht="24.75" customHeight="1" x14ac:dyDescent="0.25">
      <c r="A863" s="236"/>
      <c r="B863" s="237"/>
      <c r="C863" s="236"/>
      <c r="D863" s="238"/>
      <c r="E863" s="238"/>
      <c r="F863" s="238"/>
      <c r="G863" s="239"/>
      <c r="H863" s="241"/>
      <c r="I863" s="244"/>
      <c r="J863" s="241"/>
      <c r="K863" s="237"/>
      <c r="L863" s="237"/>
      <c r="M863" s="237"/>
      <c r="N863" s="237"/>
      <c r="O863" s="237"/>
      <c r="P863" s="237"/>
      <c r="Q863" s="237"/>
      <c r="R863" s="237"/>
      <c r="S863" s="237"/>
      <c r="T863" s="237"/>
      <c r="U863" s="237"/>
      <c r="V863" s="237"/>
      <c r="W863" s="237"/>
      <c r="X863" s="237"/>
      <c r="Y863" s="237"/>
      <c r="Z863" s="237"/>
    </row>
    <row r="864" spans="1:26" ht="24.75" customHeight="1" x14ac:dyDescent="0.25">
      <c r="A864" s="236"/>
      <c r="B864" s="237"/>
      <c r="C864" s="236"/>
      <c r="D864" s="238"/>
      <c r="E864" s="238"/>
      <c r="F864" s="238"/>
      <c r="G864" s="239"/>
      <c r="H864" s="241"/>
      <c r="I864" s="244"/>
      <c r="J864" s="241"/>
      <c r="K864" s="237"/>
      <c r="L864" s="237"/>
      <c r="M864" s="237"/>
      <c r="N864" s="237"/>
      <c r="O864" s="237"/>
      <c r="P864" s="237"/>
      <c r="Q864" s="237"/>
      <c r="R864" s="237"/>
      <c r="S864" s="237"/>
      <c r="T864" s="237"/>
      <c r="U864" s="237"/>
      <c r="V864" s="237"/>
      <c r="W864" s="237"/>
      <c r="X864" s="237"/>
      <c r="Y864" s="237"/>
      <c r="Z864" s="237"/>
    </row>
    <row r="865" spans="1:26" ht="24.75" customHeight="1" x14ac:dyDescent="0.25">
      <c r="A865" s="236"/>
      <c r="B865" s="237"/>
      <c r="C865" s="236"/>
      <c r="D865" s="238"/>
      <c r="E865" s="238"/>
      <c r="F865" s="238"/>
      <c r="G865" s="239"/>
      <c r="H865" s="241"/>
      <c r="I865" s="244"/>
      <c r="J865" s="241"/>
      <c r="K865" s="237"/>
      <c r="L865" s="237"/>
      <c r="M865" s="237"/>
      <c r="N865" s="237"/>
      <c r="O865" s="237"/>
      <c r="P865" s="237"/>
      <c r="Q865" s="237"/>
      <c r="R865" s="237"/>
      <c r="S865" s="237"/>
      <c r="T865" s="237"/>
      <c r="U865" s="237"/>
      <c r="V865" s="237"/>
      <c r="W865" s="237"/>
      <c r="X865" s="237"/>
      <c r="Y865" s="237"/>
      <c r="Z865" s="237"/>
    </row>
    <row r="866" spans="1:26" ht="24.75" customHeight="1" x14ac:dyDescent="0.25">
      <c r="A866" s="236"/>
      <c r="B866" s="237"/>
      <c r="C866" s="236"/>
      <c r="D866" s="238"/>
      <c r="E866" s="238"/>
      <c r="F866" s="238"/>
      <c r="G866" s="239"/>
      <c r="H866" s="241"/>
      <c r="I866" s="244"/>
      <c r="J866" s="241"/>
      <c r="K866" s="237"/>
      <c r="L866" s="237"/>
      <c r="M866" s="237"/>
      <c r="N866" s="237"/>
      <c r="O866" s="237"/>
      <c r="P866" s="237"/>
      <c r="Q866" s="237"/>
      <c r="R866" s="237"/>
      <c r="S866" s="237"/>
      <c r="T866" s="237"/>
      <c r="U866" s="237"/>
      <c r="V866" s="237"/>
      <c r="W866" s="237"/>
      <c r="X866" s="237"/>
      <c r="Y866" s="237"/>
      <c r="Z866" s="237"/>
    </row>
    <row r="867" spans="1:26" ht="24.75" customHeight="1" x14ac:dyDescent="0.25">
      <c r="A867" s="236"/>
      <c r="B867" s="237"/>
      <c r="C867" s="236"/>
      <c r="D867" s="238"/>
      <c r="E867" s="238"/>
      <c r="F867" s="238"/>
      <c r="G867" s="239"/>
      <c r="H867" s="241"/>
      <c r="I867" s="244"/>
      <c r="J867" s="241"/>
      <c r="K867" s="237"/>
      <c r="L867" s="237"/>
      <c r="M867" s="237"/>
      <c r="N867" s="237"/>
      <c r="O867" s="237"/>
      <c r="P867" s="237"/>
      <c r="Q867" s="237"/>
      <c r="R867" s="237"/>
      <c r="S867" s="237"/>
      <c r="T867" s="237"/>
      <c r="U867" s="237"/>
      <c r="V867" s="237"/>
      <c r="W867" s="237"/>
      <c r="X867" s="237"/>
      <c r="Y867" s="237"/>
      <c r="Z867" s="237"/>
    </row>
    <row r="868" spans="1:26" ht="24.75" customHeight="1" x14ac:dyDescent="0.25">
      <c r="A868" s="236"/>
      <c r="B868" s="237"/>
      <c r="C868" s="236"/>
      <c r="D868" s="238"/>
      <c r="E868" s="238"/>
      <c r="F868" s="238"/>
      <c r="G868" s="239"/>
      <c r="H868" s="241"/>
      <c r="I868" s="244"/>
      <c r="J868" s="241"/>
      <c r="K868" s="237"/>
      <c r="L868" s="237"/>
      <c r="M868" s="237"/>
      <c r="N868" s="237"/>
      <c r="O868" s="237"/>
      <c r="P868" s="237"/>
      <c r="Q868" s="237"/>
      <c r="R868" s="237"/>
      <c r="S868" s="237"/>
      <c r="T868" s="237"/>
      <c r="U868" s="237"/>
      <c r="V868" s="237"/>
      <c r="W868" s="237"/>
      <c r="X868" s="237"/>
      <c r="Y868" s="237"/>
      <c r="Z868" s="237"/>
    </row>
    <row r="869" spans="1:26" ht="24.75" customHeight="1" x14ac:dyDescent="0.25">
      <c r="A869" s="236"/>
      <c r="B869" s="237"/>
      <c r="C869" s="236"/>
      <c r="D869" s="238"/>
      <c r="E869" s="238"/>
      <c r="F869" s="238"/>
      <c r="G869" s="239"/>
      <c r="H869" s="241"/>
      <c r="I869" s="244"/>
      <c r="J869" s="241"/>
      <c r="K869" s="237"/>
      <c r="L869" s="237"/>
      <c r="M869" s="237"/>
      <c r="N869" s="237"/>
      <c r="O869" s="237"/>
      <c r="P869" s="237"/>
      <c r="Q869" s="237"/>
      <c r="R869" s="237"/>
      <c r="S869" s="237"/>
      <c r="T869" s="237"/>
      <c r="U869" s="237"/>
      <c r="V869" s="237"/>
      <c r="W869" s="237"/>
      <c r="X869" s="237"/>
      <c r="Y869" s="237"/>
      <c r="Z869" s="237"/>
    </row>
    <row r="870" spans="1:26" ht="24.75" customHeight="1" x14ac:dyDescent="0.25">
      <c r="A870" s="236"/>
      <c r="B870" s="237"/>
      <c r="C870" s="236"/>
      <c r="D870" s="238"/>
      <c r="E870" s="238"/>
      <c r="F870" s="238"/>
      <c r="G870" s="239"/>
      <c r="H870" s="241"/>
      <c r="I870" s="244"/>
      <c r="J870" s="241"/>
      <c r="K870" s="237"/>
      <c r="L870" s="237"/>
      <c r="M870" s="237"/>
      <c r="N870" s="237"/>
      <c r="O870" s="237"/>
      <c r="P870" s="237"/>
      <c r="Q870" s="237"/>
      <c r="R870" s="237"/>
      <c r="S870" s="237"/>
      <c r="T870" s="237"/>
      <c r="U870" s="237"/>
      <c r="V870" s="237"/>
      <c r="W870" s="237"/>
      <c r="X870" s="237"/>
      <c r="Y870" s="237"/>
      <c r="Z870" s="237"/>
    </row>
    <row r="871" spans="1:26" ht="24.75" customHeight="1" x14ac:dyDescent="0.25">
      <c r="A871" s="236"/>
      <c r="B871" s="237"/>
      <c r="C871" s="236"/>
      <c r="D871" s="238"/>
      <c r="E871" s="238"/>
      <c r="F871" s="238"/>
      <c r="G871" s="239"/>
      <c r="H871" s="241"/>
      <c r="I871" s="244"/>
      <c r="J871" s="241"/>
      <c r="K871" s="237"/>
      <c r="L871" s="237"/>
      <c r="M871" s="237"/>
      <c r="N871" s="237"/>
      <c r="O871" s="237"/>
      <c r="P871" s="237"/>
      <c r="Q871" s="237"/>
      <c r="R871" s="237"/>
      <c r="S871" s="237"/>
      <c r="T871" s="237"/>
      <c r="U871" s="237"/>
      <c r="V871" s="237"/>
      <c r="W871" s="237"/>
      <c r="X871" s="237"/>
      <c r="Y871" s="237"/>
      <c r="Z871" s="237"/>
    </row>
    <row r="872" spans="1:26" ht="24.75" customHeight="1" x14ac:dyDescent="0.25">
      <c r="A872" s="236"/>
      <c r="B872" s="237"/>
      <c r="C872" s="236"/>
      <c r="D872" s="238"/>
      <c r="E872" s="238"/>
      <c r="F872" s="238"/>
      <c r="G872" s="239"/>
      <c r="H872" s="241"/>
      <c r="I872" s="244"/>
      <c r="J872" s="241"/>
      <c r="K872" s="237"/>
      <c r="L872" s="237"/>
      <c r="M872" s="237"/>
      <c r="N872" s="237"/>
      <c r="O872" s="237"/>
      <c r="P872" s="237"/>
      <c r="Q872" s="237"/>
      <c r="R872" s="237"/>
      <c r="S872" s="237"/>
      <c r="T872" s="237"/>
      <c r="U872" s="237"/>
      <c r="V872" s="237"/>
      <c r="W872" s="237"/>
      <c r="X872" s="237"/>
      <c r="Y872" s="237"/>
      <c r="Z872" s="237"/>
    </row>
    <row r="873" spans="1:26" ht="24.75" customHeight="1" x14ac:dyDescent="0.25">
      <c r="A873" s="236"/>
      <c r="B873" s="237"/>
      <c r="C873" s="236"/>
      <c r="D873" s="238"/>
      <c r="E873" s="238"/>
      <c r="F873" s="238"/>
      <c r="G873" s="239"/>
      <c r="H873" s="241"/>
      <c r="I873" s="244"/>
      <c r="J873" s="241"/>
      <c r="K873" s="237"/>
      <c r="L873" s="237"/>
      <c r="M873" s="237"/>
      <c r="N873" s="237"/>
      <c r="O873" s="237"/>
      <c r="P873" s="237"/>
      <c r="Q873" s="237"/>
      <c r="R873" s="237"/>
      <c r="S873" s="237"/>
      <c r="T873" s="237"/>
      <c r="U873" s="237"/>
      <c r="V873" s="237"/>
      <c r="W873" s="237"/>
      <c r="X873" s="237"/>
      <c r="Y873" s="237"/>
      <c r="Z873" s="237"/>
    </row>
    <row r="874" spans="1:26" ht="24.75" customHeight="1" x14ac:dyDescent="0.25">
      <c r="A874" s="236"/>
      <c r="B874" s="237"/>
      <c r="C874" s="236"/>
      <c r="D874" s="238"/>
      <c r="E874" s="238"/>
      <c r="F874" s="238"/>
      <c r="G874" s="239"/>
      <c r="H874" s="241"/>
      <c r="I874" s="244"/>
      <c r="J874" s="241"/>
      <c r="K874" s="237"/>
      <c r="L874" s="237"/>
      <c r="M874" s="237"/>
      <c r="N874" s="237"/>
      <c r="O874" s="237"/>
      <c r="P874" s="237"/>
      <c r="Q874" s="237"/>
      <c r="R874" s="237"/>
      <c r="S874" s="237"/>
      <c r="T874" s="237"/>
      <c r="U874" s="237"/>
      <c r="V874" s="237"/>
      <c r="W874" s="237"/>
      <c r="X874" s="237"/>
      <c r="Y874" s="237"/>
      <c r="Z874" s="237"/>
    </row>
    <row r="875" spans="1:26" ht="24.75" customHeight="1" x14ac:dyDescent="0.25">
      <c r="A875" s="236"/>
      <c r="B875" s="237"/>
      <c r="C875" s="236"/>
      <c r="D875" s="238"/>
      <c r="E875" s="238"/>
      <c r="F875" s="238"/>
      <c r="G875" s="239"/>
      <c r="H875" s="241"/>
      <c r="I875" s="244"/>
      <c r="J875" s="241"/>
      <c r="K875" s="237"/>
      <c r="L875" s="237"/>
      <c r="M875" s="237"/>
      <c r="N875" s="237"/>
      <c r="O875" s="237"/>
      <c r="P875" s="237"/>
      <c r="Q875" s="237"/>
      <c r="R875" s="237"/>
      <c r="S875" s="237"/>
      <c r="T875" s="237"/>
      <c r="U875" s="237"/>
      <c r="V875" s="237"/>
      <c r="W875" s="237"/>
      <c r="X875" s="237"/>
      <c r="Y875" s="237"/>
      <c r="Z875" s="237"/>
    </row>
    <row r="876" spans="1:26" ht="24.75" customHeight="1" x14ac:dyDescent="0.25">
      <c r="A876" s="236"/>
      <c r="B876" s="237"/>
      <c r="C876" s="236"/>
      <c r="D876" s="238"/>
      <c r="E876" s="238"/>
      <c r="F876" s="238"/>
      <c r="G876" s="239"/>
      <c r="H876" s="241"/>
      <c r="I876" s="244"/>
      <c r="J876" s="241"/>
      <c r="K876" s="237"/>
      <c r="L876" s="237"/>
      <c r="M876" s="237"/>
      <c r="N876" s="237"/>
      <c r="O876" s="237"/>
      <c r="P876" s="237"/>
      <c r="Q876" s="237"/>
      <c r="R876" s="237"/>
      <c r="S876" s="237"/>
      <c r="T876" s="237"/>
      <c r="U876" s="237"/>
      <c r="V876" s="237"/>
      <c r="W876" s="237"/>
      <c r="X876" s="237"/>
      <c r="Y876" s="237"/>
      <c r="Z876" s="237"/>
    </row>
    <row r="877" spans="1:26" ht="24.75" customHeight="1" x14ac:dyDescent="0.25">
      <c r="A877" s="236"/>
      <c r="B877" s="237"/>
      <c r="C877" s="236"/>
      <c r="D877" s="238"/>
      <c r="E877" s="238"/>
      <c r="F877" s="238"/>
      <c r="G877" s="239"/>
      <c r="H877" s="241"/>
      <c r="I877" s="244"/>
      <c r="J877" s="241"/>
      <c r="K877" s="237"/>
      <c r="L877" s="237"/>
      <c r="M877" s="237"/>
      <c r="N877" s="237"/>
      <c r="O877" s="237"/>
      <c r="P877" s="237"/>
      <c r="Q877" s="237"/>
      <c r="R877" s="237"/>
      <c r="S877" s="237"/>
      <c r="T877" s="237"/>
      <c r="U877" s="237"/>
      <c r="V877" s="237"/>
      <c r="W877" s="237"/>
      <c r="X877" s="237"/>
      <c r="Y877" s="237"/>
      <c r="Z877" s="237"/>
    </row>
    <row r="878" spans="1:26" ht="24.75" customHeight="1" x14ac:dyDescent="0.25">
      <c r="A878" s="236"/>
      <c r="B878" s="237"/>
      <c r="C878" s="236"/>
      <c r="D878" s="238"/>
      <c r="E878" s="238"/>
      <c r="F878" s="238"/>
      <c r="G878" s="239"/>
      <c r="H878" s="241"/>
      <c r="I878" s="244"/>
      <c r="J878" s="241"/>
      <c r="K878" s="237"/>
      <c r="L878" s="237"/>
      <c r="M878" s="237"/>
      <c r="N878" s="237"/>
      <c r="O878" s="237"/>
      <c r="P878" s="237"/>
      <c r="Q878" s="237"/>
      <c r="R878" s="237"/>
      <c r="S878" s="237"/>
      <c r="T878" s="237"/>
      <c r="U878" s="237"/>
      <c r="V878" s="237"/>
      <c r="W878" s="237"/>
      <c r="X878" s="237"/>
      <c r="Y878" s="237"/>
      <c r="Z878" s="237"/>
    </row>
    <row r="879" spans="1:26" ht="24.75" customHeight="1" x14ac:dyDescent="0.25">
      <c r="A879" s="236"/>
      <c r="B879" s="237"/>
      <c r="C879" s="236"/>
      <c r="D879" s="238"/>
      <c r="E879" s="238"/>
      <c r="F879" s="238"/>
      <c r="G879" s="239"/>
      <c r="H879" s="241"/>
      <c r="I879" s="244"/>
      <c r="J879" s="241"/>
      <c r="K879" s="237"/>
      <c r="L879" s="237"/>
      <c r="M879" s="237"/>
      <c r="N879" s="237"/>
      <c r="O879" s="237"/>
      <c r="P879" s="237"/>
      <c r="Q879" s="237"/>
      <c r="R879" s="237"/>
      <c r="S879" s="237"/>
      <c r="T879" s="237"/>
      <c r="U879" s="237"/>
      <c r="V879" s="237"/>
      <c r="W879" s="237"/>
      <c r="X879" s="237"/>
      <c r="Y879" s="237"/>
      <c r="Z879" s="237"/>
    </row>
    <row r="880" spans="1:26" ht="24.75" customHeight="1" x14ac:dyDescent="0.25">
      <c r="A880" s="236"/>
      <c r="B880" s="237"/>
      <c r="C880" s="236"/>
      <c r="D880" s="238"/>
      <c r="E880" s="238"/>
      <c r="F880" s="238"/>
      <c r="G880" s="239"/>
      <c r="H880" s="241"/>
      <c r="I880" s="244"/>
      <c r="J880" s="241"/>
      <c r="K880" s="237"/>
      <c r="L880" s="237"/>
      <c r="M880" s="237"/>
      <c r="N880" s="237"/>
      <c r="O880" s="237"/>
      <c r="P880" s="237"/>
      <c r="Q880" s="237"/>
      <c r="R880" s="237"/>
      <c r="S880" s="237"/>
      <c r="T880" s="237"/>
      <c r="U880" s="237"/>
      <c r="V880" s="237"/>
      <c r="W880" s="237"/>
      <c r="X880" s="237"/>
      <c r="Y880" s="237"/>
      <c r="Z880" s="237"/>
    </row>
    <row r="881" spans="1:26" ht="24.75" customHeight="1" x14ac:dyDescent="0.25">
      <c r="A881" s="236"/>
      <c r="B881" s="237"/>
      <c r="C881" s="236"/>
      <c r="D881" s="238"/>
      <c r="E881" s="238"/>
      <c r="F881" s="238"/>
      <c r="G881" s="239"/>
      <c r="H881" s="241"/>
      <c r="I881" s="244"/>
      <c r="J881" s="241"/>
      <c r="K881" s="237"/>
      <c r="L881" s="237"/>
      <c r="M881" s="237"/>
      <c r="N881" s="237"/>
      <c r="O881" s="237"/>
      <c r="P881" s="237"/>
      <c r="Q881" s="237"/>
      <c r="R881" s="237"/>
      <c r="S881" s="237"/>
      <c r="T881" s="237"/>
      <c r="U881" s="237"/>
      <c r="V881" s="237"/>
      <c r="W881" s="237"/>
      <c r="X881" s="237"/>
      <c r="Y881" s="237"/>
      <c r="Z881" s="237"/>
    </row>
    <row r="882" spans="1:26" ht="24.75" customHeight="1" x14ac:dyDescent="0.25">
      <c r="A882" s="236"/>
      <c r="B882" s="237"/>
      <c r="C882" s="236"/>
      <c r="D882" s="238"/>
      <c r="E882" s="238"/>
      <c r="F882" s="238"/>
      <c r="G882" s="239"/>
      <c r="H882" s="241"/>
      <c r="I882" s="244"/>
      <c r="J882" s="241"/>
      <c r="K882" s="237"/>
      <c r="L882" s="237"/>
      <c r="M882" s="237"/>
      <c r="N882" s="237"/>
      <c r="O882" s="237"/>
      <c r="P882" s="237"/>
      <c r="Q882" s="237"/>
      <c r="R882" s="237"/>
      <c r="S882" s="237"/>
      <c r="T882" s="237"/>
      <c r="U882" s="237"/>
      <c r="V882" s="237"/>
      <c r="W882" s="237"/>
      <c r="X882" s="237"/>
      <c r="Y882" s="237"/>
      <c r="Z882" s="237"/>
    </row>
    <row r="883" spans="1:26" ht="24.75" customHeight="1" x14ac:dyDescent="0.25">
      <c r="A883" s="236"/>
      <c r="B883" s="237"/>
      <c r="C883" s="236"/>
      <c r="D883" s="238"/>
      <c r="E883" s="238"/>
      <c r="F883" s="238"/>
      <c r="G883" s="239"/>
      <c r="H883" s="241"/>
      <c r="I883" s="244"/>
      <c r="J883" s="241"/>
      <c r="K883" s="237"/>
      <c r="L883" s="237"/>
      <c r="M883" s="237"/>
      <c r="N883" s="237"/>
      <c r="O883" s="237"/>
      <c r="P883" s="237"/>
      <c r="Q883" s="237"/>
      <c r="R883" s="237"/>
      <c r="S883" s="237"/>
      <c r="T883" s="237"/>
      <c r="U883" s="237"/>
      <c r="V883" s="237"/>
      <c r="W883" s="237"/>
      <c r="X883" s="237"/>
      <c r="Y883" s="237"/>
      <c r="Z883" s="237"/>
    </row>
    <row r="884" spans="1:26" ht="24.75" customHeight="1" x14ac:dyDescent="0.25">
      <c r="A884" s="236"/>
      <c r="B884" s="237"/>
      <c r="C884" s="236"/>
      <c r="D884" s="238"/>
      <c r="E884" s="238"/>
      <c r="F884" s="238"/>
      <c r="G884" s="239"/>
      <c r="H884" s="241"/>
      <c r="I884" s="244"/>
      <c r="J884" s="241"/>
      <c r="K884" s="237"/>
      <c r="L884" s="237"/>
      <c r="M884" s="237"/>
      <c r="N884" s="237"/>
      <c r="O884" s="237"/>
      <c r="P884" s="237"/>
      <c r="Q884" s="237"/>
      <c r="R884" s="237"/>
      <c r="S884" s="237"/>
      <c r="T884" s="237"/>
      <c r="U884" s="237"/>
      <c r="V884" s="237"/>
      <c r="W884" s="237"/>
      <c r="X884" s="237"/>
      <c r="Y884" s="237"/>
      <c r="Z884" s="237"/>
    </row>
    <row r="885" spans="1:26" ht="24.75" customHeight="1" x14ac:dyDescent="0.25">
      <c r="A885" s="236"/>
      <c r="B885" s="237"/>
      <c r="C885" s="236"/>
      <c r="D885" s="238"/>
      <c r="E885" s="238"/>
      <c r="F885" s="238"/>
      <c r="G885" s="239"/>
      <c r="H885" s="241"/>
      <c r="I885" s="244"/>
      <c r="J885" s="241"/>
      <c r="K885" s="237"/>
      <c r="L885" s="237"/>
      <c r="M885" s="237"/>
      <c r="N885" s="237"/>
      <c r="O885" s="237"/>
      <c r="P885" s="237"/>
      <c r="Q885" s="237"/>
      <c r="R885" s="237"/>
      <c r="S885" s="237"/>
      <c r="T885" s="237"/>
      <c r="U885" s="237"/>
      <c r="V885" s="237"/>
      <c r="W885" s="237"/>
      <c r="X885" s="237"/>
      <c r="Y885" s="237"/>
      <c r="Z885" s="237"/>
    </row>
    <row r="886" spans="1:26" ht="24.75" customHeight="1" x14ac:dyDescent="0.25">
      <c r="A886" s="236"/>
      <c r="B886" s="237"/>
      <c r="C886" s="236"/>
      <c r="D886" s="238"/>
      <c r="E886" s="238"/>
      <c r="F886" s="238"/>
      <c r="G886" s="239"/>
      <c r="H886" s="241"/>
      <c r="I886" s="244"/>
      <c r="J886" s="241"/>
      <c r="K886" s="237"/>
      <c r="L886" s="237"/>
      <c r="M886" s="237"/>
      <c r="N886" s="237"/>
      <c r="O886" s="237"/>
      <c r="P886" s="237"/>
      <c r="Q886" s="237"/>
      <c r="R886" s="237"/>
      <c r="S886" s="237"/>
      <c r="T886" s="237"/>
      <c r="U886" s="237"/>
      <c r="V886" s="237"/>
      <c r="W886" s="237"/>
      <c r="X886" s="237"/>
      <c r="Y886" s="237"/>
      <c r="Z886" s="237"/>
    </row>
    <row r="887" spans="1:26" ht="24.75" customHeight="1" x14ac:dyDescent="0.25">
      <c r="A887" s="236"/>
      <c r="B887" s="237"/>
      <c r="C887" s="236"/>
      <c r="D887" s="238"/>
      <c r="E887" s="238"/>
      <c r="F887" s="238"/>
      <c r="G887" s="239"/>
      <c r="H887" s="241"/>
      <c r="I887" s="244"/>
      <c r="J887" s="241"/>
      <c r="K887" s="237"/>
      <c r="L887" s="237"/>
      <c r="M887" s="237"/>
      <c r="N887" s="237"/>
      <c r="O887" s="237"/>
      <c r="P887" s="237"/>
      <c r="Q887" s="237"/>
      <c r="R887" s="237"/>
      <c r="S887" s="237"/>
      <c r="T887" s="237"/>
      <c r="U887" s="237"/>
      <c r="V887" s="237"/>
      <c r="W887" s="237"/>
      <c r="X887" s="237"/>
      <c r="Y887" s="237"/>
      <c r="Z887" s="237"/>
    </row>
    <row r="888" spans="1:26" ht="24.75" customHeight="1" x14ac:dyDescent="0.25">
      <c r="A888" s="236"/>
      <c r="B888" s="237"/>
      <c r="C888" s="236"/>
      <c r="D888" s="238"/>
      <c r="E888" s="238"/>
      <c r="F888" s="238"/>
      <c r="G888" s="239"/>
      <c r="H888" s="241"/>
      <c r="I888" s="244"/>
      <c r="J888" s="241"/>
      <c r="K888" s="237"/>
      <c r="L888" s="237"/>
      <c r="M888" s="237"/>
      <c r="N888" s="237"/>
      <c r="O888" s="237"/>
      <c r="P888" s="237"/>
      <c r="Q888" s="237"/>
      <c r="R888" s="237"/>
      <c r="S888" s="237"/>
      <c r="T888" s="237"/>
      <c r="U888" s="237"/>
      <c r="V888" s="237"/>
      <c r="W888" s="237"/>
      <c r="X888" s="237"/>
      <c r="Y888" s="237"/>
      <c r="Z888" s="237"/>
    </row>
    <row r="889" spans="1:26" ht="24.75" customHeight="1" x14ac:dyDescent="0.25">
      <c r="A889" s="236"/>
      <c r="B889" s="237"/>
      <c r="C889" s="236"/>
      <c r="D889" s="238"/>
      <c r="E889" s="238"/>
      <c r="F889" s="238"/>
      <c r="G889" s="239"/>
      <c r="H889" s="241"/>
      <c r="I889" s="244"/>
      <c r="J889" s="241"/>
      <c r="K889" s="237"/>
      <c r="L889" s="237"/>
      <c r="M889" s="237"/>
      <c r="N889" s="237"/>
      <c r="O889" s="237"/>
      <c r="P889" s="237"/>
      <c r="Q889" s="237"/>
      <c r="R889" s="237"/>
      <c r="S889" s="237"/>
      <c r="T889" s="237"/>
      <c r="U889" s="237"/>
      <c r="V889" s="237"/>
      <c r="W889" s="237"/>
      <c r="X889" s="237"/>
      <c r="Y889" s="237"/>
      <c r="Z889" s="237"/>
    </row>
    <row r="890" spans="1:26" ht="24.75" customHeight="1" x14ac:dyDescent="0.25">
      <c r="A890" s="236"/>
      <c r="B890" s="237"/>
      <c r="C890" s="236"/>
      <c r="D890" s="238"/>
      <c r="E890" s="238"/>
      <c r="F890" s="238"/>
      <c r="G890" s="239"/>
      <c r="H890" s="241"/>
      <c r="I890" s="244"/>
      <c r="J890" s="241"/>
      <c r="K890" s="237"/>
      <c r="L890" s="237"/>
      <c r="M890" s="237"/>
      <c r="N890" s="237"/>
      <c r="O890" s="237"/>
      <c r="P890" s="237"/>
      <c r="Q890" s="237"/>
      <c r="R890" s="237"/>
      <c r="S890" s="237"/>
      <c r="T890" s="237"/>
      <c r="U890" s="237"/>
      <c r="V890" s="237"/>
      <c r="W890" s="237"/>
      <c r="X890" s="237"/>
      <c r="Y890" s="237"/>
      <c r="Z890" s="237"/>
    </row>
    <row r="891" spans="1:26" ht="24.75" customHeight="1" x14ac:dyDescent="0.25">
      <c r="A891" s="236"/>
      <c r="B891" s="237"/>
      <c r="C891" s="236"/>
      <c r="D891" s="238"/>
      <c r="E891" s="238"/>
      <c r="F891" s="238"/>
      <c r="G891" s="239"/>
      <c r="H891" s="241"/>
      <c r="I891" s="244"/>
      <c r="J891" s="241"/>
      <c r="K891" s="237"/>
      <c r="L891" s="237"/>
      <c r="M891" s="237"/>
      <c r="N891" s="237"/>
      <c r="O891" s="237"/>
      <c r="P891" s="237"/>
      <c r="Q891" s="237"/>
      <c r="R891" s="237"/>
      <c r="S891" s="237"/>
      <c r="T891" s="237"/>
      <c r="U891" s="237"/>
      <c r="V891" s="237"/>
      <c r="W891" s="237"/>
      <c r="X891" s="237"/>
      <c r="Y891" s="237"/>
      <c r="Z891" s="237"/>
    </row>
    <row r="892" spans="1:26" ht="24.75" customHeight="1" x14ac:dyDescent="0.25">
      <c r="A892" s="236"/>
      <c r="B892" s="237"/>
      <c r="C892" s="236"/>
      <c r="D892" s="238"/>
      <c r="E892" s="238"/>
      <c r="F892" s="238"/>
      <c r="G892" s="239"/>
      <c r="H892" s="241"/>
      <c r="I892" s="244"/>
      <c r="J892" s="241"/>
      <c r="K892" s="237"/>
      <c r="L892" s="237"/>
      <c r="M892" s="237"/>
      <c r="N892" s="237"/>
      <c r="O892" s="237"/>
      <c r="P892" s="237"/>
      <c r="Q892" s="237"/>
      <c r="R892" s="237"/>
      <c r="S892" s="237"/>
      <c r="T892" s="237"/>
      <c r="U892" s="237"/>
      <c r="V892" s="237"/>
      <c r="W892" s="237"/>
      <c r="X892" s="237"/>
      <c r="Y892" s="237"/>
      <c r="Z892" s="237"/>
    </row>
    <row r="893" spans="1:26" ht="24.75" customHeight="1" x14ac:dyDescent="0.25">
      <c r="A893" s="236"/>
      <c r="B893" s="237"/>
      <c r="C893" s="236"/>
      <c r="D893" s="238"/>
      <c r="E893" s="238"/>
      <c r="F893" s="238"/>
      <c r="G893" s="239"/>
      <c r="H893" s="241"/>
      <c r="I893" s="244"/>
      <c r="J893" s="241"/>
      <c r="K893" s="237"/>
      <c r="L893" s="237"/>
      <c r="M893" s="237"/>
      <c r="N893" s="237"/>
      <c r="O893" s="237"/>
      <c r="P893" s="237"/>
      <c r="Q893" s="237"/>
      <c r="R893" s="237"/>
      <c r="S893" s="237"/>
      <c r="T893" s="237"/>
      <c r="U893" s="237"/>
      <c r="V893" s="237"/>
      <c r="W893" s="237"/>
      <c r="X893" s="237"/>
      <c r="Y893" s="237"/>
      <c r="Z893" s="237"/>
    </row>
    <row r="894" spans="1:26" ht="24.75" customHeight="1" x14ac:dyDescent="0.25">
      <c r="A894" s="236"/>
      <c r="B894" s="237"/>
      <c r="C894" s="236"/>
      <c r="D894" s="238"/>
      <c r="E894" s="238"/>
      <c r="F894" s="238"/>
      <c r="G894" s="239"/>
      <c r="H894" s="241"/>
      <c r="I894" s="244"/>
      <c r="J894" s="241"/>
      <c r="K894" s="237"/>
      <c r="L894" s="237"/>
      <c r="M894" s="237"/>
      <c r="N894" s="237"/>
      <c r="O894" s="237"/>
      <c r="P894" s="237"/>
      <c r="Q894" s="237"/>
      <c r="R894" s="237"/>
      <c r="S894" s="237"/>
      <c r="T894" s="237"/>
      <c r="U894" s="237"/>
      <c r="V894" s="237"/>
      <c r="W894" s="237"/>
      <c r="X894" s="237"/>
      <c r="Y894" s="237"/>
      <c r="Z894" s="237"/>
    </row>
    <row r="895" spans="1:26" ht="24.75" customHeight="1" x14ac:dyDescent="0.25">
      <c r="A895" s="236"/>
      <c r="B895" s="237"/>
      <c r="C895" s="236"/>
      <c r="D895" s="238"/>
      <c r="E895" s="238"/>
      <c r="F895" s="238"/>
      <c r="G895" s="239"/>
      <c r="H895" s="241"/>
      <c r="I895" s="244"/>
      <c r="J895" s="241"/>
      <c r="K895" s="237"/>
      <c r="L895" s="237"/>
      <c r="M895" s="237"/>
      <c r="N895" s="237"/>
      <c r="O895" s="237"/>
      <c r="P895" s="237"/>
      <c r="Q895" s="237"/>
      <c r="R895" s="237"/>
      <c r="S895" s="237"/>
      <c r="T895" s="237"/>
      <c r="U895" s="237"/>
      <c r="V895" s="237"/>
      <c r="W895" s="237"/>
      <c r="X895" s="237"/>
      <c r="Y895" s="237"/>
      <c r="Z895" s="237"/>
    </row>
    <row r="896" spans="1:26" ht="24.75" customHeight="1" x14ac:dyDescent="0.25">
      <c r="A896" s="236"/>
      <c r="B896" s="237"/>
      <c r="C896" s="236"/>
      <c r="D896" s="238"/>
      <c r="E896" s="238"/>
      <c r="F896" s="238"/>
      <c r="G896" s="239"/>
      <c r="H896" s="241"/>
      <c r="I896" s="244"/>
      <c r="J896" s="241"/>
      <c r="K896" s="237"/>
      <c r="L896" s="237"/>
      <c r="M896" s="237"/>
      <c r="N896" s="237"/>
      <c r="O896" s="237"/>
      <c r="P896" s="237"/>
      <c r="Q896" s="237"/>
      <c r="R896" s="237"/>
      <c r="S896" s="237"/>
      <c r="T896" s="237"/>
      <c r="U896" s="237"/>
      <c r="V896" s="237"/>
      <c r="W896" s="237"/>
      <c r="X896" s="237"/>
      <c r="Y896" s="237"/>
      <c r="Z896" s="237"/>
    </row>
    <row r="897" spans="1:26" ht="24.75" customHeight="1" x14ac:dyDescent="0.25">
      <c r="A897" s="236"/>
      <c r="B897" s="237"/>
      <c r="C897" s="236"/>
      <c r="D897" s="238"/>
      <c r="E897" s="238"/>
      <c r="F897" s="238"/>
      <c r="G897" s="239"/>
      <c r="H897" s="241"/>
      <c r="I897" s="244"/>
      <c r="J897" s="241"/>
      <c r="K897" s="237"/>
      <c r="L897" s="237"/>
      <c r="M897" s="237"/>
      <c r="N897" s="237"/>
      <c r="O897" s="237"/>
      <c r="P897" s="237"/>
      <c r="Q897" s="237"/>
      <c r="R897" s="237"/>
      <c r="S897" s="237"/>
      <c r="T897" s="237"/>
      <c r="U897" s="237"/>
      <c r="V897" s="237"/>
      <c r="W897" s="237"/>
      <c r="X897" s="237"/>
      <c r="Y897" s="237"/>
      <c r="Z897" s="237"/>
    </row>
    <row r="898" spans="1:26" ht="24.75" customHeight="1" x14ac:dyDescent="0.25">
      <c r="A898" s="236"/>
      <c r="B898" s="237"/>
      <c r="C898" s="236"/>
      <c r="D898" s="238"/>
      <c r="E898" s="238"/>
      <c r="F898" s="238"/>
      <c r="G898" s="239"/>
      <c r="H898" s="241"/>
      <c r="I898" s="244"/>
      <c r="J898" s="241"/>
      <c r="K898" s="237"/>
      <c r="L898" s="237"/>
      <c r="M898" s="237"/>
      <c r="N898" s="237"/>
      <c r="O898" s="237"/>
      <c r="P898" s="237"/>
      <c r="Q898" s="237"/>
      <c r="R898" s="237"/>
      <c r="S898" s="237"/>
      <c r="T898" s="237"/>
      <c r="U898" s="237"/>
      <c r="V898" s="237"/>
      <c r="W898" s="237"/>
      <c r="X898" s="237"/>
      <c r="Y898" s="237"/>
      <c r="Z898" s="237"/>
    </row>
    <row r="899" spans="1:26" ht="24.75" customHeight="1" x14ac:dyDescent="0.25">
      <c r="A899" s="236"/>
      <c r="B899" s="237"/>
      <c r="C899" s="236"/>
      <c r="D899" s="238"/>
      <c r="E899" s="238"/>
      <c r="F899" s="238"/>
      <c r="G899" s="239"/>
      <c r="H899" s="241"/>
      <c r="I899" s="244"/>
      <c r="J899" s="241"/>
      <c r="K899" s="237"/>
      <c r="L899" s="237"/>
      <c r="M899" s="237"/>
      <c r="N899" s="237"/>
      <c r="O899" s="237"/>
      <c r="P899" s="237"/>
      <c r="Q899" s="237"/>
      <c r="R899" s="237"/>
      <c r="S899" s="237"/>
      <c r="T899" s="237"/>
      <c r="U899" s="237"/>
      <c r="V899" s="237"/>
      <c r="W899" s="237"/>
      <c r="X899" s="237"/>
      <c r="Y899" s="237"/>
      <c r="Z899" s="237"/>
    </row>
    <row r="900" spans="1:26" ht="24.75" customHeight="1" x14ac:dyDescent="0.25">
      <c r="A900" s="236"/>
      <c r="B900" s="237"/>
      <c r="C900" s="236"/>
      <c r="D900" s="238"/>
      <c r="E900" s="238"/>
      <c r="F900" s="238"/>
      <c r="G900" s="239"/>
      <c r="H900" s="241"/>
      <c r="I900" s="244"/>
      <c r="J900" s="241"/>
      <c r="K900" s="237"/>
      <c r="L900" s="237"/>
      <c r="M900" s="237"/>
      <c r="N900" s="237"/>
      <c r="O900" s="237"/>
      <c r="P900" s="237"/>
      <c r="Q900" s="237"/>
      <c r="R900" s="237"/>
      <c r="S900" s="237"/>
      <c r="T900" s="237"/>
      <c r="U900" s="237"/>
      <c r="V900" s="237"/>
      <c r="W900" s="237"/>
      <c r="X900" s="237"/>
      <c r="Y900" s="237"/>
      <c r="Z900" s="237"/>
    </row>
    <row r="901" spans="1:26" ht="24.75" customHeight="1" x14ac:dyDescent="0.25">
      <c r="A901" s="236"/>
      <c r="B901" s="237"/>
      <c r="C901" s="236"/>
      <c r="D901" s="238"/>
      <c r="E901" s="238"/>
      <c r="F901" s="238"/>
      <c r="G901" s="239"/>
      <c r="H901" s="241"/>
      <c r="I901" s="244"/>
      <c r="J901" s="241"/>
      <c r="K901" s="237"/>
      <c r="L901" s="237"/>
      <c r="M901" s="237"/>
      <c r="N901" s="237"/>
      <c r="O901" s="237"/>
      <c r="P901" s="237"/>
      <c r="Q901" s="237"/>
      <c r="R901" s="237"/>
      <c r="S901" s="237"/>
      <c r="T901" s="237"/>
      <c r="U901" s="237"/>
      <c r="V901" s="237"/>
      <c r="W901" s="237"/>
      <c r="X901" s="237"/>
      <c r="Y901" s="237"/>
      <c r="Z901" s="237"/>
    </row>
    <row r="902" spans="1:26" ht="24.75" customHeight="1" x14ac:dyDescent="0.25">
      <c r="A902" s="236"/>
      <c r="B902" s="237"/>
      <c r="C902" s="236"/>
      <c r="D902" s="238"/>
      <c r="E902" s="238"/>
      <c r="F902" s="238"/>
      <c r="G902" s="239"/>
      <c r="H902" s="241"/>
      <c r="I902" s="244"/>
      <c r="J902" s="241"/>
      <c r="K902" s="237"/>
      <c r="L902" s="237"/>
      <c r="M902" s="237"/>
      <c r="N902" s="237"/>
      <c r="O902" s="237"/>
      <c r="P902" s="237"/>
      <c r="Q902" s="237"/>
      <c r="R902" s="237"/>
      <c r="S902" s="237"/>
      <c r="T902" s="237"/>
      <c r="U902" s="237"/>
      <c r="V902" s="237"/>
      <c r="W902" s="237"/>
      <c r="X902" s="237"/>
      <c r="Y902" s="237"/>
      <c r="Z902" s="237"/>
    </row>
    <row r="903" spans="1:26" ht="24.75" customHeight="1" x14ac:dyDescent="0.25">
      <c r="A903" s="236"/>
      <c r="B903" s="237"/>
      <c r="C903" s="236"/>
      <c r="D903" s="238"/>
      <c r="E903" s="238"/>
      <c r="F903" s="238"/>
      <c r="G903" s="239"/>
      <c r="H903" s="241"/>
      <c r="I903" s="244"/>
      <c r="J903" s="241"/>
      <c r="K903" s="237"/>
      <c r="L903" s="237"/>
      <c r="M903" s="237"/>
      <c r="N903" s="237"/>
      <c r="O903" s="237"/>
      <c r="P903" s="237"/>
      <c r="Q903" s="237"/>
      <c r="R903" s="237"/>
      <c r="S903" s="237"/>
      <c r="T903" s="237"/>
      <c r="U903" s="237"/>
      <c r="V903" s="237"/>
      <c r="W903" s="237"/>
      <c r="X903" s="237"/>
      <c r="Y903" s="237"/>
      <c r="Z903" s="237"/>
    </row>
    <row r="904" spans="1:26" ht="24.75" customHeight="1" x14ac:dyDescent="0.25">
      <c r="A904" s="236"/>
      <c r="B904" s="237"/>
      <c r="C904" s="236"/>
      <c r="D904" s="238"/>
      <c r="E904" s="238"/>
      <c r="F904" s="238"/>
      <c r="G904" s="239"/>
      <c r="H904" s="241"/>
      <c r="I904" s="244"/>
      <c r="J904" s="241"/>
      <c r="K904" s="237"/>
      <c r="L904" s="237"/>
      <c r="M904" s="237"/>
      <c r="N904" s="237"/>
      <c r="O904" s="237"/>
      <c r="P904" s="237"/>
      <c r="Q904" s="237"/>
      <c r="R904" s="237"/>
      <c r="S904" s="237"/>
      <c r="T904" s="237"/>
      <c r="U904" s="237"/>
      <c r="V904" s="237"/>
      <c r="W904" s="237"/>
      <c r="X904" s="237"/>
      <c r="Y904" s="237"/>
      <c r="Z904" s="237"/>
    </row>
    <row r="905" spans="1:26" ht="24.75" customHeight="1" x14ac:dyDescent="0.25">
      <c r="A905" s="236"/>
      <c r="B905" s="237"/>
      <c r="C905" s="236"/>
      <c r="D905" s="238"/>
      <c r="E905" s="238"/>
      <c r="F905" s="238"/>
      <c r="G905" s="239"/>
      <c r="H905" s="241"/>
      <c r="I905" s="244"/>
      <c r="J905" s="241"/>
      <c r="K905" s="237"/>
      <c r="L905" s="237"/>
      <c r="M905" s="237"/>
      <c r="N905" s="237"/>
      <c r="O905" s="237"/>
      <c r="P905" s="237"/>
      <c r="Q905" s="237"/>
      <c r="R905" s="237"/>
      <c r="S905" s="237"/>
      <c r="T905" s="237"/>
      <c r="U905" s="237"/>
      <c r="V905" s="237"/>
      <c r="W905" s="237"/>
      <c r="X905" s="237"/>
      <c r="Y905" s="237"/>
      <c r="Z905" s="237"/>
    </row>
    <row r="906" spans="1:26" ht="24.75" customHeight="1" x14ac:dyDescent="0.25">
      <c r="A906" s="236"/>
      <c r="B906" s="237"/>
      <c r="C906" s="236"/>
      <c r="D906" s="238"/>
      <c r="E906" s="238"/>
      <c r="F906" s="238"/>
      <c r="G906" s="239"/>
      <c r="H906" s="241"/>
      <c r="I906" s="244"/>
      <c r="J906" s="241"/>
      <c r="K906" s="237"/>
      <c r="L906" s="237"/>
      <c r="M906" s="237"/>
      <c r="N906" s="237"/>
      <c r="O906" s="237"/>
      <c r="P906" s="237"/>
      <c r="Q906" s="237"/>
      <c r="R906" s="237"/>
      <c r="S906" s="237"/>
      <c r="T906" s="237"/>
      <c r="U906" s="237"/>
      <c r="V906" s="237"/>
      <c r="W906" s="237"/>
      <c r="X906" s="237"/>
      <c r="Y906" s="237"/>
      <c r="Z906" s="237"/>
    </row>
    <row r="907" spans="1:26" ht="24.75" customHeight="1" x14ac:dyDescent="0.25">
      <c r="A907" s="236"/>
      <c r="B907" s="237"/>
      <c r="C907" s="236"/>
      <c r="D907" s="238"/>
      <c r="E907" s="238"/>
      <c r="F907" s="238"/>
      <c r="G907" s="239"/>
      <c r="H907" s="241"/>
      <c r="I907" s="244"/>
      <c r="J907" s="241"/>
      <c r="K907" s="237"/>
      <c r="L907" s="237"/>
      <c r="M907" s="237"/>
      <c r="N907" s="237"/>
      <c r="O907" s="237"/>
      <c r="P907" s="237"/>
      <c r="Q907" s="237"/>
      <c r="R907" s="237"/>
      <c r="S907" s="237"/>
      <c r="T907" s="237"/>
      <c r="U907" s="237"/>
      <c r="V907" s="237"/>
      <c r="W907" s="237"/>
      <c r="X907" s="237"/>
      <c r="Y907" s="237"/>
      <c r="Z907" s="237"/>
    </row>
    <row r="908" spans="1:26" ht="24.75" customHeight="1" x14ac:dyDescent="0.25">
      <c r="A908" s="236"/>
      <c r="B908" s="237"/>
      <c r="C908" s="236"/>
      <c r="D908" s="238"/>
      <c r="E908" s="238"/>
      <c r="F908" s="238"/>
      <c r="G908" s="239"/>
      <c r="H908" s="241"/>
      <c r="I908" s="244"/>
      <c r="J908" s="241"/>
      <c r="K908" s="237"/>
      <c r="L908" s="237"/>
      <c r="M908" s="237"/>
      <c r="N908" s="237"/>
      <c r="O908" s="237"/>
      <c r="P908" s="237"/>
      <c r="Q908" s="237"/>
      <c r="R908" s="237"/>
      <c r="S908" s="237"/>
      <c r="T908" s="237"/>
      <c r="U908" s="237"/>
      <c r="V908" s="237"/>
      <c r="W908" s="237"/>
      <c r="X908" s="237"/>
      <c r="Y908" s="237"/>
      <c r="Z908" s="237"/>
    </row>
    <row r="909" spans="1:26" ht="24.75" customHeight="1" x14ac:dyDescent="0.25">
      <c r="A909" s="236"/>
      <c r="B909" s="237"/>
      <c r="C909" s="236"/>
      <c r="D909" s="238"/>
      <c r="E909" s="238"/>
      <c r="F909" s="238"/>
      <c r="G909" s="239"/>
      <c r="H909" s="241"/>
      <c r="I909" s="244"/>
      <c r="J909" s="241"/>
      <c r="K909" s="237"/>
      <c r="L909" s="237"/>
      <c r="M909" s="237"/>
      <c r="N909" s="237"/>
      <c r="O909" s="237"/>
      <c r="P909" s="237"/>
      <c r="Q909" s="237"/>
      <c r="R909" s="237"/>
      <c r="S909" s="237"/>
      <c r="T909" s="237"/>
      <c r="U909" s="237"/>
      <c r="V909" s="237"/>
      <c r="W909" s="237"/>
      <c r="X909" s="237"/>
      <c r="Y909" s="237"/>
      <c r="Z909" s="237"/>
    </row>
    <row r="910" spans="1:26" ht="24.75" customHeight="1" x14ac:dyDescent="0.25">
      <c r="A910" s="236"/>
      <c r="B910" s="237"/>
      <c r="C910" s="236"/>
      <c r="D910" s="238"/>
      <c r="E910" s="238"/>
      <c r="F910" s="238"/>
      <c r="G910" s="239"/>
      <c r="H910" s="241"/>
      <c r="I910" s="244"/>
      <c r="J910" s="241"/>
      <c r="K910" s="237"/>
      <c r="L910" s="237"/>
      <c r="M910" s="237"/>
      <c r="N910" s="237"/>
      <c r="O910" s="237"/>
      <c r="P910" s="237"/>
      <c r="Q910" s="237"/>
      <c r="R910" s="237"/>
      <c r="S910" s="237"/>
      <c r="T910" s="237"/>
      <c r="U910" s="237"/>
      <c r="V910" s="237"/>
      <c r="W910" s="237"/>
      <c r="X910" s="237"/>
      <c r="Y910" s="237"/>
      <c r="Z910" s="237"/>
    </row>
    <row r="911" spans="1:26" ht="24.75" customHeight="1" x14ac:dyDescent="0.25">
      <c r="A911" s="236"/>
      <c r="B911" s="237"/>
      <c r="C911" s="236"/>
      <c r="D911" s="238"/>
      <c r="E911" s="238"/>
      <c r="F911" s="238"/>
      <c r="G911" s="239"/>
      <c r="H911" s="241"/>
      <c r="I911" s="244"/>
      <c r="J911" s="241"/>
      <c r="K911" s="237"/>
      <c r="L911" s="237"/>
      <c r="M911" s="237"/>
      <c r="N911" s="237"/>
      <c r="O911" s="237"/>
      <c r="P911" s="237"/>
      <c r="Q911" s="237"/>
      <c r="R911" s="237"/>
      <c r="S911" s="237"/>
      <c r="T911" s="237"/>
      <c r="U911" s="237"/>
      <c r="V911" s="237"/>
      <c r="W911" s="237"/>
      <c r="X911" s="237"/>
      <c r="Y911" s="237"/>
      <c r="Z911" s="237"/>
    </row>
    <row r="912" spans="1:26" ht="24.75" customHeight="1" x14ac:dyDescent="0.25">
      <c r="A912" s="236"/>
      <c r="B912" s="237"/>
      <c r="C912" s="236"/>
      <c r="D912" s="238"/>
      <c r="E912" s="238"/>
      <c r="F912" s="238"/>
      <c r="G912" s="239"/>
      <c r="H912" s="241"/>
      <c r="I912" s="244"/>
      <c r="J912" s="241"/>
      <c r="K912" s="237"/>
      <c r="L912" s="237"/>
      <c r="M912" s="237"/>
      <c r="N912" s="237"/>
      <c r="O912" s="237"/>
      <c r="P912" s="237"/>
      <c r="Q912" s="237"/>
      <c r="R912" s="237"/>
      <c r="S912" s="237"/>
      <c r="T912" s="237"/>
      <c r="U912" s="237"/>
      <c r="V912" s="237"/>
      <c r="W912" s="237"/>
      <c r="X912" s="237"/>
      <c r="Y912" s="237"/>
      <c r="Z912" s="237"/>
    </row>
    <row r="913" spans="1:26" ht="24.75" customHeight="1" x14ac:dyDescent="0.25">
      <c r="A913" s="236"/>
      <c r="B913" s="237"/>
      <c r="C913" s="236"/>
      <c r="D913" s="238"/>
      <c r="E913" s="238"/>
      <c r="F913" s="238"/>
      <c r="G913" s="239"/>
      <c r="H913" s="241"/>
      <c r="I913" s="244"/>
      <c r="J913" s="241"/>
      <c r="K913" s="237"/>
      <c r="L913" s="237"/>
      <c r="M913" s="237"/>
      <c r="N913" s="237"/>
      <c r="O913" s="237"/>
      <c r="P913" s="237"/>
      <c r="Q913" s="237"/>
      <c r="R913" s="237"/>
      <c r="S913" s="237"/>
      <c r="T913" s="237"/>
      <c r="U913" s="237"/>
      <c r="V913" s="237"/>
      <c r="W913" s="237"/>
      <c r="X913" s="237"/>
      <c r="Y913" s="237"/>
      <c r="Z913" s="237"/>
    </row>
    <row r="914" spans="1:26" ht="24.75" customHeight="1" x14ac:dyDescent="0.25">
      <c r="A914" s="236"/>
      <c r="B914" s="237"/>
      <c r="C914" s="236"/>
      <c r="D914" s="238"/>
      <c r="E914" s="238"/>
      <c r="F914" s="238"/>
      <c r="G914" s="239"/>
      <c r="H914" s="241"/>
      <c r="I914" s="244"/>
      <c r="J914" s="241"/>
      <c r="K914" s="237"/>
      <c r="L914" s="237"/>
      <c r="M914" s="237"/>
      <c r="N914" s="237"/>
      <c r="O914" s="237"/>
      <c r="P914" s="237"/>
      <c r="Q914" s="237"/>
      <c r="R914" s="237"/>
      <c r="S914" s="237"/>
      <c r="T914" s="237"/>
      <c r="U914" s="237"/>
      <c r="V914" s="237"/>
      <c r="W914" s="237"/>
      <c r="X914" s="237"/>
      <c r="Y914" s="237"/>
      <c r="Z914" s="237"/>
    </row>
    <row r="915" spans="1:26" ht="24.75" customHeight="1" x14ac:dyDescent="0.25">
      <c r="A915" s="236"/>
      <c r="B915" s="237"/>
      <c r="C915" s="236"/>
      <c r="D915" s="238"/>
      <c r="E915" s="238"/>
      <c r="F915" s="238"/>
      <c r="G915" s="239"/>
      <c r="H915" s="241"/>
      <c r="I915" s="244"/>
      <c r="J915" s="241"/>
      <c r="K915" s="237"/>
      <c r="L915" s="237"/>
      <c r="M915" s="237"/>
      <c r="N915" s="237"/>
      <c r="O915" s="237"/>
      <c r="P915" s="237"/>
      <c r="Q915" s="237"/>
      <c r="R915" s="237"/>
      <c r="S915" s="237"/>
      <c r="T915" s="237"/>
      <c r="U915" s="237"/>
      <c r="V915" s="237"/>
      <c r="W915" s="237"/>
      <c r="X915" s="237"/>
      <c r="Y915" s="237"/>
      <c r="Z915" s="237"/>
    </row>
    <row r="916" spans="1:26" ht="24.75" customHeight="1" x14ac:dyDescent="0.25">
      <c r="A916" s="236"/>
      <c r="B916" s="237"/>
      <c r="C916" s="236"/>
      <c r="D916" s="238"/>
      <c r="E916" s="238"/>
      <c r="F916" s="238"/>
      <c r="G916" s="239"/>
      <c r="H916" s="241"/>
      <c r="I916" s="244"/>
      <c r="J916" s="241"/>
      <c r="K916" s="237"/>
      <c r="L916" s="237"/>
      <c r="M916" s="237"/>
      <c r="N916" s="237"/>
      <c r="O916" s="237"/>
      <c r="P916" s="237"/>
      <c r="Q916" s="237"/>
      <c r="R916" s="237"/>
      <c r="S916" s="237"/>
      <c r="T916" s="237"/>
      <c r="U916" s="237"/>
      <c r="V916" s="237"/>
      <c r="W916" s="237"/>
      <c r="X916" s="237"/>
      <c r="Y916" s="237"/>
      <c r="Z916" s="237"/>
    </row>
    <row r="917" spans="1:26" ht="24.75" customHeight="1" x14ac:dyDescent="0.25">
      <c r="A917" s="236"/>
      <c r="B917" s="237"/>
      <c r="C917" s="236"/>
      <c r="D917" s="238"/>
      <c r="E917" s="238"/>
      <c r="F917" s="238"/>
      <c r="G917" s="239"/>
      <c r="H917" s="241"/>
      <c r="I917" s="244"/>
      <c r="J917" s="241"/>
      <c r="K917" s="237"/>
      <c r="L917" s="237"/>
      <c r="M917" s="237"/>
      <c r="N917" s="237"/>
      <c r="O917" s="237"/>
      <c r="P917" s="237"/>
      <c r="Q917" s="237"/>
      <c r="R917" s="237"/>
      <c r="S917" s="237"/>
      <c r="T917" s="237"/>
      <c r="U917" s="237"/>
      <c r="V917" s="237"/>
      <c r="W917" s="237"/>
      <c r="X917" s="237"/>
      <c r="Y917" s="237"/>
      <c r="Z917" s="237"/>
    </row>
    <row r="918" spans="1:26" ht="24.75" customHeight="1" x14ac:dyDescent="0.25">
      <c r="A918" s="236"/>
      <c r="B918" s="237"/>
      <c r="C918" s="236"/>
      <c r="D918" s="238"/>
      <c r="E918" s="238"/>
      <c r="F918" s="238"/>
      <c r="G918" s="239"/>
      <c r="H918" s="241"/>
      <c r="I918" s="244"/>
      <c r="J918" s="241"/>
      <c r="K918" s="237"/>
      <c r="L918" s="237"/>
      <c r="M918" s="237"/>
      <c r="N918" s="237"/>
      <c r="O918" s="237"/>
      <c r="P918" s="237"/>
      <c r="Q918" s="237"/>
      <c r="R918" s="237"/>
      <c r="S918" s="237"/>
      <c r="T918" s="237"/>
      <c r="U918" s="237"/>
      <c r="V918" s="237"/>
      <c r="W918" s="237"/>
      <c r="X918" s="237"/>
      <c r="Y918" s="237"/>
      <c r="Z918" s="237"/>
    </row>
    <row r="919" spans="1:26" ht="24.75" customHeight="1" x14ac:dyDescent="0.25">
      <c r="A919" s="236"/>
      <c r="B919" s="237"/>
      <c r="C919" s="236"/>
      <c r="D919" s="238"/>
      <c r="E919" s="238"/>
      <c r="F919" s="238"/>
      <c r="G919" s="239"/>
      <c r="H919" s="241"/>
      <c r="I919" s="244"/>
      <c r="J919" s="241"/>
      <c r="K919" s="237"/>
      <c r="L919" s="237"/>
      <c r="M919" s="237"/>
      <c r="N919" s="237"/>
      <c r="O919" s="237"/>
      <c r="P919" s="237"/>
      <c r="Q919" s="237"/>
      <c r="R919" s="237"/>
      <c r="S919" s="237"/>
      <c r="T919" s="237"/>
      <c r="U919" s="237"/>
      <c r="V919" s="237"/>
      <c r="W919" s="237"/>
      <c r="X919" s="237"/>
      <c r="Y919" s="237"/>
      <c r="Z919" s="237"/>
    </row>
    <row r="920" spans="1:26" ht="24.75" customHeight="1" x14ac:dyDescent="0.25">
      <c r="A920" s="236"/>
      <c r="B920" s="237"/>
      <c r="C920" s="236"/>
      <c r="D920" s="238"/>
      <c r="E920" s="238"/>
      <c r="F920" s="238"/>
      <c r="G920" s="239"/>
      <c r="H920" s="241"/>
      <c r="I920" s="244"/>
      <c r="J920" s="241"/>
      <c r="K920" s="237"/>
      <c r="L920" s="237"/>
      <c r="M920" s="237"/>
      <c r="N920" s="237"/>
      <c r="O920" s="237"/>
      <c r="P920" s="237"/>
      <c r="Q920" s="237"/>
      <c r="R920" s="237"/>
      <c r="S920" s="237"/>
      <c r="T920" s="237"/>
      <c r="U920" s="237"/>
      <c r="V920" s="237"/>
      <c r="W920" s="237"/>
      <c r="X920" s="237"/>
      <c r="Y920" s="237"/>
      <c r="Z920" s="237"/>
    </row>
    <row r="921" spans="1:26" ht="24.75" customHeight="1" x14ac:dyDescent="0.25">
      <c r="A921" s="236"/>
      <c r="B921" s="237"/>
      <c r="C921" s="236"/>
      <c r="D921" s="238"/>
      <c r="E921" s="238"/>
      <c r="F921" s="238"/>
      <c r="G921" s="239"/>
      <c r="H921" s="241"/>
      <c r="I921" s="244"/>
      <c r="J921" s="241"/>
      <c r="K921" s="237"/>
      <c r="L921" s="237"/>
      <c r="M921" s="237"/>
      <c r="N921" s="237"/>
      <c r="O921" s="237"/>
      <c r="P921" s="237"/>
      <c r="Q921" s="237"/>
      <c r="R921" s="237"/>
      <c r="S921" s="237"/>
      <c r="T921" s="237"/>
      <c r="U921" s="237"/>
      <c r="V921" s="237"/>
      <c r="W921" s="237"/>
      <c r="X921" s="237"/>
      <c r="Y921" s="237"/>
      <c r="Z921" s="237"/>
    </row>
    <row r="922" spans="1:26" ht="24.75" customHeight="1" x14ac:dyDescent="0.25">
      <c r="A922" s="236"/>
      <c r="B922" s="237"/>
      <c r="C922" s="236"/>
      <c r="D922" s="238"/>
      <c r="E922" s="238"/>
      <c r="F922" s="238"/>
      <c r="G922" s="239"/>
      <c r="H922" s="241"/>
      <c r="I922" s="244"/>
      <c r="J922" s="241"/>
      <c r="K922" s="237"/>
      <c r="L922" s="237"/>
      <c r="M922" s="237"/>
      <c r="N922" s="237"/>
      <c r="O922" s="237"/>
      <c r="P922" s="237"/>
      <c r="Q922" s="237"/>
      <c r="R922" s="237"/>
      <c r="S922" s="237"/>
      <c r="T922" s="237"/>
      <c r="U922" s="237"/>
      <c r="V922" s="237"/>
      <c r="W922" s="237"/>
      <c r="X922" s="237"/>
      <c r="Y922" s="237"/>
      <c r="Z922" s="237"/>
    </row>
    <row r="923" spans="1:26" ht="24.75" customHeight="1" x14ac:dyDescent="0.25">
      <c r="A923" s="236"/>
      <c r="B923" s="237"/>
      <c r="C923" s="236"/>
      <c r="D923" s="238"/>
      <c r="E923" s="238"/>
      <c r="F923" s="238"/>
      <c r="G923" s="239"/>
      <c r="H923" s="241"/>
      <c r="I923" s="244"/>
      <c r="J923" s="241"/>
      <c r="K923" s="237"/>
      <c r="L923" s="237"/>
      <c r="M923" s="237"/>
      <c r="N923" s="237"/>
      <c r="O923" s="237"/>
      <c r="P923" s="237"/>
      <c r="Q923" s="237"/>
      <c r="R923" s="237"/>
      <c r="S923" s="237"/>
      <c r="T923" s="237"/>
      <c r="U923" s="237"/>
      <c r="V923" s="237"/>
      <c r="W923" s="237"/>
      <c r="X923" s="237"/>
      <c r="Y923" s="237"/>
      <c r="Z923" s="237"/>
    </row>
    <row r="924" spans="1:26" ht="24.75" customHeight="1" x14ac:dyDescent="0.25">
      <c r="A924" s="236"/>
      <c r="B924" s="237"/>
      <c r="C924" s="236"/>
      <c r="D924" s="238"/>
      <c r="E924" s="238"/>
      <c r="F924" s="238"/>
      <c r="G924" s="239"/>
      <c r="H924" s="241"/>
      <c r="I924" s="244"/>
      <c r="J924" s="241"/>
      <c r="K924" s="237"/>
      <c r="L924" s="237"/>
      <c r="M924" s="237"/>
      <c r="N924" s="237"/>
      <c r="O924" s="237"/>
      <c r="P924" s="237"/>
      <c r="Q924" s="237"/>
      <c r="R924" s="237"/>
      <c r="S924" s="237"/>
      <c r="T924" s="237"/>
      <c r="U924" s="237"/>
      <c r="V924" s="237"/>
      <c r="W924" s="237"/>
      <c r="X924" s="237"/>
      <c r="Y924" s="237"/>
      <c r="Z924" s="237"/>
    </row>
    <row r="925" spans="1:26" ht="24.75" customHeight="1" x14ac:dyDescent="0.25">
      <c r="A925" s="236"/>
      <c r="B925" s="237"/>
      <c r="C925" s="236"/>
      <c r="D925" s="238"/>
      <c r="E925" s="238"/>
      <c r="F925" s="238"/>
      <c r="G925" s="239"/>
      <c r="H925" s="241"/>
      <c r="I925" s="244"/>
      <c r="J925" s="241"/>
      <c r="K925" s="237"/>
      <c r="L925" s="237"/>
      <c r="M925" s="237"/>
      <c r="N925" s="237"/>
      <c r="O925" s="237"/>
      <c r="P925" s="237"/>
      <c r="Q925" s="237"/>
      <c r="R925" s="237"/>
      <c r="S925" s="237"/>
      <c r="T925" s="237"/>
      <c r="U925" s="237"/>
      <c r="V925" s="237"/>
      <c r="W925" s="237"/>
      <c r="X925" s="237"/>
      <c r="Y925" s="237"/>
      <c r="Z925" s="237"/>
    </row>
    <row r="926" spans="1:26" ht="24.75" customHeight="1" x14ac:dyDescent="0.25">
      <c r="A926" s="236"/>
      <c r="B926" s="237"/>
      <c r="C926" s="236"/>
      <c r="D926" s="238"/>
      <c r="E926" s="238"/>
      <c r="F926" s="238"/>
      <c r="G926" s="239"/>
      <c r="H926" s="241"/>
      <c r="I926" s="244"/>
      <c r="J926" s="241"/>
      <c r="K926" s="237"/>
      <c r="L926" s="237"/>
      <c r="M926" s="237"/>
      <c r="N926" s="237"/>
      <c r="O926" s="237"/>
      <c r="P926" s="237"/>
      <c r="Q926" s="237"/>
      <c r="R926" s="237"/>
      <c r="S926" s="237"/>
      <c r="T926" s="237"/>
      <c r="U926" s="237"/>
      <c r="V926" s="237"/>
      <c r="W926" s="237"/>
      <c r="X926" s="237"/>
      <c r="Y926" s="237"/>
      <c r="Z926" s="237"/>
    </row>
    <row r="927" spans="1:26" ht="24.75" customHeight="1" x14ac:dyDescent="0.25">
      <c r="A927" s="236"/>
      <c r="B927" s="237"/>
      <c r="C927" s="236"/>
      <c r="D927" s="238"/>
      <c r="E927" s="238"/>
      <c r="F927" s="238"/>
      <c r="G927" s="239"/>
      <c r="H927" s="241"/>
      <c r="I927" s="244"/>
      <c r="J927" s="241"/>
      <c r="K927" s="237"/>
      <c r="L927" s="237"/>
      <c r="M927" s="237"/>
      <c r="N927" s="237"/>
      <c r="O927" s="237"/>
      <c r="P927" s="237"/>
      <c r="Q927" s="237"/>
      <c r="R927" s="237"/>
      <c r="S927" s="237"/>
      <c r="T927" s="237"/>
      <c r="U927" s="237"/>
      <c r="V927" s="237"/>
      <c r="W927" s="237"/>
      <c r="X927" s="237"/>
      <c r="Y927" s="237"/>
      <c r="Z927" s="237"/>
    </row>
    <row r="928" spans="1:26" ht="24.75" customHeight="1" x14ac:dyDescent="0.25">
      <c r="A928" s="236"/>
      <c r="B928" s="237"/>
      <c r="C928" s="236"/>
      <c r="D928" s="238"/>
      <c r="E928" s="238"/>
      <c r="F928" s="238"/>
      <c r="G928" s="239"/>
      <c r="H928" s="241"/>
      <c r="I928" s="244"/>
      <c r="J928" s="241"/>
      <c r="K928" s="237"/>
      <c r="L928" s="237"/>
      <c r="M928" s="237"/>
      <c r="N928" s="237"/>
      <c r="O928" s="237"/>
      <c r="P928" s="237"/>
      <c r="Q928" s="237"/>
      <c r="R928" s="237"/>
      <c r="S928" s="237"/>
      <c r="T928" s="237"/>
      <c r="U928" s="237"/>
      <c r="V928" s="237"/>
      <c r="W928" s="237"/>
      <c r="X928" s="237"/>
      <c r="Y928" s="237"/>
      <c r="Z928" s="237"/>
    </row>
    <row r="929" spans="1:26" ht="24.75" customHeight="1" x14ac:dyDescent="0.25">
      <c r="A929" s="236"/>
      <c r="B929" s="237"/>
      <c r="C929" s="236"/>
      <c r="D929" s="238"/>
      <c r="E929" s="238"/>
      <c r="F929" s="238"/>
      <c r="G929" s="239"/>
      <c r="H929" s="241"/>
      <c r="I929" s="244"/>
      <c r="J929" s="241"/>
      <c r="K929" s="237"/>
      <c r="L929" s="237"/>
      <c r="M929" s="237"/>
      <c r="N929" s="237"/>
      <c r="O929" s="237"/>
      <c r="P929" s="237"/>
      <c r="Q929" s="237"/>
      <c r="R929" s="237"/>
      <c r="S929" s="237"/>
      <c r="T929" s="237"/>
      <c r="U929" s="237"/>
      <c r="V929" s="237"/>
      <c r="W929" s="237"/>
      <c r="X929" s="237"/>
      <c r="Y929" s="237"/>
      <c r="Z929" s="237"/>
    </row>
    <row r="930" spans="1:26" ht="24.75" customHeight="1" x14ac:dyDescent="0.25">
      <c r="A930" s="236"/>
      <c r="B930" s="237"/>
      <c r="C930" s="236"/>
      <c r="D930" s="238"/>
      <c r="E930" s="238"/>
      <c r="F930" s="238"/>
      <c r="G930" s="239"/>
      <c r="H930" s="241"/>
      <c r="I930" s="244"/>
      <c r="J930" s="241"/>
      <c r="K930" s="237"/>
      <c r="L930" s="237"/>
      <c r="M930" s="237"/>
      <c r="N930" s="237"/>
      <c r="O930" s="237"/>
      <c r="P930" s="237"/>
      <c r="Q930" s="237"/>
      <c r="R930" s="237"/>
      <c r="S930" s="237"/>
      <c r="T930" s="237"/>
      <c r="U930" s="237"/>
      <c r="V930" s="237"/>
      <c r="W930" s="237"/>
      <c r="X930" s="237"/>
      <c r="Y930" s="237"/>
      <c r="Z930" s="237"/>
    </row>
    <row r="931" spans="1:26" ht="24.75" customHeight="1" x14ac:dyDescent="0.25">
      <c r="A931" s="236"/>
      <c r="B931" s="237"/>
      <c r="C931" s="236"/>
      <c r="D931" s="238"/>
      <c r="E931" s="238"/>
      <c r="F931" s="238"/>
      <c r="G931" s="239"/>
      <c r="H931" s="241"/>
      <c r="I931" s="244"/>
      <c r="J931" s="241"/>
      <c r="K931" s="237"/>
      <c r="L931" s="237"/>
      <c r="M931" s="237"/>
      <c r="N931" s="237"/>
      <c r="O931" s="237"/>
      <c r="P931" s="237"/>
      <c r="Q931" s="237"/>
      <c r="R931" s="237"/>
      <c r="S931" s="237"/>
      <c r="T931" s="237"/>
      <c r="U931" s="237"/>
      <c r="V931" s="237"/>
      <c r="W931" s="237"/>
      <c r="X931" s="237"/>
      <c r="Y931" s="237"/>
      <c r="Z931" s="237"/>
    </row>
    <row r="932" spans="1:26" ht="24.75" customHeight="1" x14ac:dyDescent="0.25">
      <c r="A932" s="236"/>
      <c r="B932" s="237"/>
      <c r="C932" s="236"/>
      <c r="D932" s="238"/>
      <c r="E932" s="238"/>
      <c r="F932" s="238"/>
      <c r="G932" s="239"/>
      <c r="H932" s="241"/>
      <c r="I932" s="244"/>
      <c r="J932" s="241"/>
      <c r="K932" s="237"/>
      <c r="L932" s="237"/>
      <c r="M932" s="237"/>
      <c r="N932" s="237"/>
      <c r="O932" s="237"/>
      <c r="P932" s="237"/>
      <c r="Q932" s="237"/>
      <c r="R932" s="237"/>
      <c r="S932" s="237"/>
      <c r="T932" s="237"/>
      <c r="U932" s="237"/>
      <c r="V932" s="237"/>
      <c r="W932" s="237"/>
      <c r="X932" s="237"/>
      <c r="Y932" s="237"/>
      <c r="Z932" s="237"/>
    </row>
    <row r="933" spans="1:26" ht="24.75" customHeight="1" x14ac:dyDescent="0.25">
      <c r="A933" s="236"/>
      <c r="B933" s="237"/>
      <c r="C933" s="236"/>
      <c r="D933" s="238"/>
      <c r="E933" s="238"/>
      <c r="F933" s="238"/>
      <c r="G933" s="239"/>
      <c r="H933" s="241"/>
      <c r="I933" s="244"/>
      <c r="J933" s="241"/>
      <c r="K933" s="237"/>
      <c r="L933" s="237"/>
      <c r="M933" s="237"/>
      <c r="N933" s="237"/>
      <c r="O933" s="237"/>
      <c r="P933" s="237"/>
      <c r="Q933" s="237"/>
      <c r="R933" s="237"/>
      <c r="S933" s="237"/>
      <c r="T933" s="237"/>
      <c r="U933" s="237"/>
      <c r="V933" s="237"/>
      <c r="W933" s="237"/>
      <c r="X933" s="237"/>
      <c r="Y933" s="237"/>
      <c r="Z933" s="237"/>
    </row>
    <row r="934" spans="1:26" ht="24.75" customHeight="1" x14ac:dyDescent="0.25">
      <c r="A934" s="236"/>
      <c r="B934" s="237"/>
      <c r="C934" s="236"/>
      <c r="D934" s="238"/>
      <c r="E934" s="238"/>
      <c r="F934" s="238"/>
      <c r="G934" s="239"/>
      <c r="H934" s="241"/>
      <c r="I934" s="244"/>
      <c r="J934" s="241"/>
      <c r="K934" s="237"/>
      <c r="L934" s="237"/>
      <c r="M934" s="237"/>
      <c r="N934" s="237"/>
      <c r="O934" s="237"/>
      <c r="P934" s="237"/>
      <c r="Q934" s="237"/>
      <c r="R934" s="237"/>
      <c r="S934" s="237"/>
      <c r="T934" s="237"/>
      <c r="U934" s="237"/>
      <c r="V934" s="237"/>
      <c r="W934" s="237"/>
      <c r="X934" s="237"/>
      <c r="Y934" s="237"/>
      <c r="Z934" s="237"/>
    </row>
    <row r="935" spans="1:26" ht="24.75" customHeight="1" x14ac:dyDescent="0.25">
      <c r="A935" s="236"/>
      <c r="B935" s="237"/>
      <c r="C935" s="236"/>
      <c r="D935" s="238"/>
      <c r="E935" s="238"/>
      <c r="F935" s="238"/>
      <c r="G935" s="239"/>
      <c r="H935" s="241"/>
      <c r="I935" s="244"/>
      <c r="J935" s="241"/>
      <c r="K935" s="237"/>
      <c r="L935" s="237"/>
      <c r="M935" s="237"/>
      <c r="N935" s="237"/>
      <c r="O935" s="237"/>
      <c r="P935" s="237"/>
      <c r="Q935" s="237"/>
      <c r="R935" s="237"/>
      <c r="S935" s="237"/>
      <c r="T935" s="237"/>
      <c r="U935" s="237"/>
      <c r="V935" s="237"/>
      <c r="W935" s="237"/>
      <c r="X935" s="237"/>
      <c r="Y935" s="237"/>
      <c r="Z935" s="237"/>
    </row>
    <row r="936" spans="1:26" ht="24.75" customHeight="1" x14ac:dyDescent="0.25">
      <c r="A936" s="236"/>
      <c r="B936" s="237"/>
      <c r="C936" s="236"/>
      <c r="D936" s="238"/>
      <c r="E936" s="238"/>
      <c r="F936" s="238"/>
      <c r="G936" s="239"/>
      <c r="H936" s="241"/>
      <c r="I936" s="244"/>
      <c r="J936" s="241"/>
      <c r="K936" s="237"/>
      <c r="L936" s="237"/>
      <c r="M936" s="237"/>
      <c r="N936" s="237"/>
      <c r="O936" s="237"/>
      <c r="P936" s="237"/>
      <c r="Q936" s="237"/>
      <c r="R936" s="237"/>
      <c r="S936" s="237"/>
      <c r="T936" s="237"/>
      <c r="U936" s="237"/>
      <c r="V936" s="237"/>
      <c r="W936" s="237"/>
      <c r="X936" s="237"/>
      <c r="Y936" s="237"/>
      <c r="Z936" s="237"/>
    </row>
    <row r="937" spans="1:26" ht="24.75" customHeight="1" x14ac:dyDescent="0.25">
      <c r="A937" s="236"/>
      <c r="B937" s="237"/>
      <c r="C937" s="236"/>
      <c r="D937" s="238"/>
      <c r="E937" s="238"/>
      <c r="F937" s="238"/>
      <c r="G937" s="239"/>
      <c r="H937" s="241"/>
      <c r="I937" s="244"/>
      <c r="J937" s="241"/>
      <c r="K937" s="237"/>
      <c r="L937" s="237"/>
      <c r="M937" s="237"/>
      <c r="N937" s="237"/>
      <c r="O937" s="237"/>
      <c r="P937" s="237"/>
      <c r="Q937" s="237"/>
      <c r="R937" s="237"/>
      <c r="S937" s="237"/>
      <c r="T937" s="237"/>
      <c r="U937" s="237"/>
      <c r="V937" s="237"/>
      <c r="W937" s="237"/>
      <c r="X937" s="237"/>
      <c r="Y937" s="237"/>
      <c r="Z937" s="237"/>
    </row>
    <row r="938" spans="1:26" ht="24.75" customHeight="1" x14ac:dyDescent="0.25">
      <c r="A938" s="236"/>
      <c r="B938" s="237"/>
      <c r="C938" s="236"/>
      <c r="D938" s="238"/>
      <c r="E938" s="238"/>
      <c r="F938" s="238"/>
      <c r="G938" s="239"/>
      <c r="H938" s="241"/>
      <c r="I938" s="244"/>
      <c r="J938" s="241"/>
      <c r="K938" s="237"/>
      <c r="L938" s="237"/>
      <c r="M938" s="237"/>
      <c r="N938" s="237"/>
      <c r="O938" s="237"/>
      <c r="P938" s="237"/>
      <c r="Q938" s="237"/>
      <c r="R938" s="237"/>
      <c r="S938" s="237"/>
      <c r="T938" s="237"/>
      <c r="U938" s="237"/>
      <c r="V938" s="237"/>
      <c r="W938" s="237"/>
      <c r="X938" s="237"/>
      <c r="Y938" s="237"/>
      <c r="Z938" s="237"/>
    </row>
    <row r="939" spans="1:26" ht="24.75" customHeight="1" x14ac:dyDescent="0.25">
      <c r="A939" s="236"/>
      <c r="B939" s="237"/>
      <c r="C939" s="236"/>
      <c r="D939" s="238"/>
      <c r="E939" s="238"/>
      <c r="F939" s="238"/>
      <c r="G939" s="239"/>
      <c r="H939" s="241"/>
      <c r="I939" s="244"/>
      <c r="J939" s="241"/>
      <c r="K939" s="237"/>
      <c r="L939" s="237"/>
      <c r="M939" s="237"/>
      <c r="N939" s="237"/>
      <c r="O939" s="237"/>
      <c r="P939" s="237"/>
      <c r="Q939" s="237"/>
      <c r="R939" s="237"/>
      <c r="S939" s="237"/>
      <c r="T939" s="237"/>
      <c r="U939" s="237"/>
      <c r="V939" s="237"/>
      <c r="W939" s="237"/>
      <c r="X939" s="237"/>
      <c r="Y939" s="237"/>
      <c r="Z939" s="237"/>
    </row>
    <row r="940" spans="1:26" ht="24.75" customHeight="1" x14ac:dyDescent="0.25">
      <c r="A940" s="236"/>
      <c r="B940" s="237"/>
      <c r="C940" s="236"/>
      <c r="D940" s="238"/>
      <c r="E940" s="238"/>
      <c r="F940" s="238"/>
      <c r="G940" s="239"/>
      <c r="H940" s="241"/>
      <c r="I940" s="244"/>
      <c r="J940" s="241"/>
      <c r="K940" s="237"/>
      <c r="L940" s="237"/>
      <c r="M940" s="237"/>
      <c r="N940" s="237"/>
      <c r="O940" s="237"/>
      <c r="P940" s="237"/>
      <c r="Q940" s="237"/>
      <c r="R940" s="237"/>
      <c r="S940" s="237"/>
      <c r="T940" s="237"/>
      <c r="U940" s="237"/>
      <c r="V940" s="237"/>
      <c r="W940" s="237"/>
      <c r="X940" s="237"/>
      <c r="Y940" s="237"/>
      <c r="Z940" s="237"/>
    </row>
    <row r="941" spans="1:26" ht="24.75" customHeight="1" x14ac:dyDescent="0.25">
      <c r="A941" s="236"/>
      <c r="B941" s="237"/>
      <c r="C941" s="236"/>
      <c r="D941" s="238"/>
      <c r="E941" s="238"/>
      <c r="F941" s="238"/>
      <c r="G941" s="239"/>
      <c r="H941" s="241"/>
      <c r="I941" s="244"/>
      <c r="J941" s="241"/>
      <c r="K941" s="237"/>
      <c r="L941" s="237"/>
      <c r="M941" s="237"/>
      <c r="N941" s="237"/>
      <c r="O941" s="237"/>
      <c r="P941" s="237"/>
      <c r="Q941" s="237"/>
      <c r="R941" s="237"/>
      <c r="S941" s="237"/>
      <c r="T941" s="237"/>
      <c r="U941" s="237"/>
      <c r="V941" s="237"/>
      <c r="W941" s="237"/>
      <c r="X941" s="237"/>
      <c r="Y941" s="237"/>
      <c r="Z941" s="237"/>
    </row>
    <row r="942" spans="1:26" ht="24.75" customHeight="1" x14ac:dyDescent="0.25">
      <c r="A942" s="236"/>
      <c r="B942" s="237"/>
      <c r="C942" s="236"/>
      <c r="D942" s="238"/>
      <c r="E942" s="238"/>
      <c r="F942" s="238"/>
      <c r="G942" s="239"/>
      <c r="H942" s="241"/>
      <c r="I942" s="244"/>
      <c r="J942" s="241"/>
      <c r="K942" s="237"/>
      <c r="L942" s="237"/>
      <c r="M942" s="237"/>
      <c r="N942" s="237"/>
      <c r="O942" s="237"/>
      <c r="P942" s="237"/>
      <c r="Q942" s="237"/>
      <c r="R942" s="237"/>
      <c r="S942" s="237"/>
      <c r="T942" s="237"/>
      <c r="U942" s="237"/>
      <c r="V942" s="237"/>
      <c r="W942" s="237"/>
      <c r="X942" s="237"/>
      <c r="Y942" s="237"/>
      <c r="Z942" s="237"/>
    </row>
    <row r="943" spans="1:26" ht="24.75" customHeight="1" x14ac:dyDescent="0.25">
      <c r="A943" s="236"/>
      <c r="B943" s="237"/>
      <c r="C943" s="236"/>
      <c r="D943" s="238"/>
      <c r="E943" s="238"/>
      <c r="F943" s="238"/>
      <c r="G943" s="239"/>
      <c r="H943" s="241"/>
      <c r="I943" s="244"/>
      <c r="J943" s="241"/>
      <c r="K943" s="237"/>
      <c r="L943" s="237"/>
      <c r="M943" s="237"/>
      <c r="N943" s="237"/>
      <c r="O943" s="237"/>
      <c r="P943" s="237"/>
      <c r="Q943" s="237"/>
      <c r="R943" s="237"/>
      <c r="S943" s="237"/>
      <c r="T943" s="237"/>
      <c r="U943" s="237"/>
      <c r="V943" s="237"/>
      <c r="W943" s="237"/>
      <c r="X943" s="237"/>
      <c r="Y943" s="237"/>
      <c r="Z943" s="237"/>
    </row>
    <row r="944" spans="1:26" ht="24.75" customHeight="1" x14ac:dyDescent="0.25">
      <c r="A944" s="236"/>
      <c r="B944" s="237"/>
      <c r="C944" s="236"/>
      <c r="D944" s="238"/>
      <c r="E944" s="238"/>
      <c r="F944" s="238"/>
      <c r="G944" s="239"/>
      <c r="H944" s="241"/>
      <c r="I944" s="244"/>
      <c r="J944" s="241"/>
      <c r="K944" s="237"/>
      <c r="L944" s="237"/>
      <c r="M944" s="237"/>
      <c r="N944" s="237"/>
      <c r="O944" s="237"/>
      <c r="P944" s="237"/>
      <c r="Q944" s="237"/>
      <c r="R944" s="237"/>
      <c r="S944" s="237"/>
      <c r="T944" s="237"/>
      <c r="U944" s="237"/>
      <c r="V944" s="237"/>
      <c r="W944" s="237"/>
      <c r="X944" s="237"/>
      <c r="Y944" s="237"/>
      <c r="Z944" s="237"/>
    </row>
    <row r="945" spans="1:26" ht="24.75" customHeight="1" x14ac:dyDescent="0.25">
      <c r="A945" s="236"/>
      <c r="B945" s="237"/>
      <c r="C945" s="236"/>
      <c r="D945" s="238"/>
      <c r="E945" s="238"/>
      <c r="F945" s="238"/>
      <c r="G945" s="239"/>
      <c r="H945" s="241"/>
      <c r="I945" s="244"/>
      <c r="J945" s="241"/>
      <c r="K945" s="237"/>
      <c r="L945" s="237"/>
      <c r="M945" s="237"/>
      <c r="N945" s="237"/>
      <c r="O945" s="237"/>
      <c r="P945" s="237"/>
      <c r="Q945" s="237"/>
      <c r="R945" s="237"/>
      <c r="S945" s="237"/>
      <c r="T945" s="237"/>
      <c r="U945" s="237"/>
      <c r="V945" s="237"/>
      <c r="W945" s="237"/>
      <c r="X945" s="237"/>
      <c r="Y945" s="237"/>
      <c r="Z945" s="237"/>
    </row>
    <row r="946" spans="1:26" ht="24.75" customHeight="1" x14ac:dyDescent="0.25">
      <c r="A946" s="236"/>
      <c r="B946" s="237"/>
      <c r="C946" s="236"/>
      <c r="D946" s="238"/>
      <c r="E946" s="238"/>
      <c r="F946" s="238"/>
      <c r="G946" s="239"/>
      <c r="H946" s="241"/>
      <c r="I946" s="244"/>
      <c r="J946" s="241"/>
      <c r="K946" s="237"/>
      <c r="L946" s="237"/>
      <c r="M946" s="237"/>
      <c r="N946" s="237"/>
      <c r="O946" s="237"/>
      <c r="P946" s="237"/>
      <c r="Q946" s="237"/>
      <c r="R946" s="237"/>
      <c r="S946" s="237"/>
      <c r="T946" s="237"/>
      <c r="U946" s="237"/>
      <c r="V946" s="237"/>
      <c r="W946" s="237"/>
      <c r="X946" s="237"/>
      <c r="Y946" s="237"/>
      <c r="Z946" s="237"/>
    </row>
    <row r="947" spans="1:26" ht="24.75" customHeight="1" x14ac:dyDescent="0.25">
      <c r="A947" s="236"/>
      <c r="B947" s="237"/>
      <c r="C947" s="236"/>
      <c r="D947" s="238"/>
      <c r="E947" s="238"/>
      <c r="F947" s="238"/>
      <c r="G947" s="239"/>
      <c r="H947" s="241"/>
      <c r="I947" s="244"/>
      <c r="J947" s="241"/>
      <c r="K947" s="237"/>
      <c r="L947" s="237"/>
      <c r="M947" s="237"/>
      <c r="N947" s="237"/>
      <c r="O947" s="237"/>
      <c r="P947" s="237"/>
      <c r="Q947" s="237"/>
      <c r="R947" s="237"/>
      <c r="S947" s="237"/>
      <c r="T947" s="237"/>
      <c r="U947" s="237"/>
      <c r="V947" s="237"/>
      <c r="W947" s="237"/>
      <c r="X947" s="237"/>
      <c r="Y947" s="237"/>
      <c r="Z947" s="237"/>
    </row>
    <row r="948" spans="1:26" ht="24.75" customHeight="1" x14ac:dyDescent="0.25">
      <c r="A948" s="236"/>
      <c r="B948" s="237"/>
      <c r="C948" s="236"/>
      <c r="D948" s="238"/>
      <c r="E948" s="238"/>
      <c r="F948" s="238"/>
      <c r="G948" s="239"/>
      <c r="H948" s="241"/>
      <c r="I948" s="244"/>
      <c r="J948" s="241"/>
      <c r="K948" s="237"/>
      <c r="L948" s="237"/>
      <c r="M948" s="237"/>
      <c r="N948" s="237"/>
      <c r="O948" s="237"/>
      <c r="P948" s="237"/>
      <c r="Q948" s="237"/>
      <c r="R948" s="237"/>
      <c r="S948" s="237"/>
      <c r="T948" s="237"/>
      <c r="U948" s="237"/>
      <c r="V948" s="237"/>
      <c r="W948" s="237"/>
      <c r="X948" s="237"/>
      <c r="Y948" s="237"/>
      <c r="Z948" s="237"/>
    </row>
    <row r="949" spans="1:26" ht="24.75" customHeight="1" x14ac:dyDescent="0.25">
      <c r="A949" s="236"/>
      <c r="B949" s="237"/>
      <c r="C949" s="236"/>
      <c r="D949" s="238"/>
      <c r="E949" s="238"/>
      <c r="F949" s="238"/>
      <c r="G949" s="239"/>
      <c r="H949" s="241"/>
      <c r="I949" s="244"/>
      <c r="J949" s="241"/>
      <c r="K949" s="237"/>
      <c r="L949" s="237"/>
      <c r="M949" s="237"/>
      <c r="N949" s="237"/>
      <c r="O949" s="237"/>
      <c r="P949" s="237"/>
      <c r="Q949" s="237"/>
      <c r="R949" s="237"/>
      <c r="S949" s="237"/>
      <c r="T949" s="237"/>
      <c r="U949" s="237"/>
      <c r="V949" s="237"/>
      <c r="W949" s="237"/>
      <c r="X949" s="237"/>
      <c r="Y949" s="237"/>
      <c r="Z949" s="237"/>
    </row>
    <row r="950" spans="1:26" ht="24.75" customHeight="1" x14ac:dyDescent="0.25">
      <c r="A950" s="236"/>
      <c r="B950" s="237"/>
      <c r="C950" s="236"/>
      <c r="D950" s="238"/>
      <c r="E950" s="238"/>
      <c r="F950" s="238"/>
      <c r="G950" s="239"/>
      <c r="H950" s="241"/>
      <c r="I950" s="244"/>
      <c r="J950" s="241"/>
      <c r="K950" s="237"/>
      <c r="L950" s="237"/>
      <c r="M950" s="237"/>
      <c r="N950" s="237"/>
      <c r="O950" s="237"/>
      <c r="P950" s="237"/>
      <c r="Q950" s="237"/>
      <c r="R950" s="237"/>
      <c r="S950" s="237"/>
      <c r="T950" s="237"/>
      <c r="U950" s="237"/>
      <c r="V950" s="237"/>
      <c r="W950" s="237"/>
      <c r="X950" s="237"/>
      <c r="Y950" s="237"/>
      <c r="Z950" s="237"/>
    </row>
    <row r="951" spans="1:26" ht="24.75" customHeight="1" x14ac:dyDescent="0.25">
      <c r="A951" s="236"/>
      <c r="B951" s="237"/>
      <c r="C951" s="236"/>
      <c r="D951" s="238"/>
      <c r="E951" s="238"/>
      <c r="F951" s="238"/>
      <c r="G951" s="239"/>
      <c r="H951" s="241"/>
      <c r="I951" s="244"/>
      <c r="J951" s="241"/>
      <c r="K951" s="237"/>
      <c r="L951" s="237"/>
      <c r="M951" s="237"/>
      <c r="N951" s="237"/>
      <c r="O951" s="237"/>
      <c r="P951" s="237"/>
      <c r="Q951" s="237"/>
      <c r="R951" s="237"/>
      <c r="S951" s="237"/>
      <c r="T951" s="237"/>
      <c r="U951" s="237"/>
      <c r="V951" s="237"/>
      <c r="W951" s="237"/>
      <c r="X951" s="237"/>
      <c r="Y951" s="237"/>
      <c r="Z951" s="237"/>
    </row>
    <row r="952" spans="1:26" ht="24.75" customHeight="1" x14ac:dyDescent="0.25">
      <c r="A952" s="236"/>
      <c r="B952" s="237"/>
      <c r="C952" s="236"/>
      <c r="D952" s="238"/>
      <c r="E952" s="238"/>
      <c r="F952" s="238"/>
      <c r="G952" s="239"/>
      <c r="H952" s="241"/>
      <c r="I952" s="244"/>
      <c r="J952" s="241"/>
      <c r="K952" s="237"/>
      <c r="L952" s="237"/>
      <c r="M952" s="237"/>
      <c r="N952" s="237"/>
      <c r="O952" s="237"/>
      <c r="P952" s="237"/>
      <c r="Q952" s="237"/>
      <c r="R952" s="237"/>
      <c r="S952" s="237"/>
      <c r="T952" s="237"/>
      <c r="U952" s="237"/>
      <c r="V952" s="237"/>
      <c r="W952" s="237"/>
      <c r="X952" s="237"/>
      <c r="Y952" s="237"/>
      <c r="Z952" s="237"/>
    </row>
    <row r="953" spans="1:26" ht="24.75" customHeight="1" x14ac:dyDescent="0.25">
      <c r="A953" s="236"/>
      <c r="B953" s="237"/>
      <c r="C953" s="236"/>
      <c r="D953" s="238"/>
      <c r="E953" s="238"/>
      <c r="F953" s="238"/>
      <c r="G953" s="239"/>
      <c r="H953" s="241"/>
      <c r="I953" s="244"/>
      <c r="J953" s="241"/>
      <c r="K953" s="237"/>
      <c r="L953" s="237"/>
      <c r="M953" s="237"/>
      <c r="N953" s="237"/>
      <c r="O953" s="237"/>
      <c r="P953" s="237"/>
      <c r="Q953" s="237"/>
      <c r="R953" s="237"/>
      <c r="S953" s="237"/>
      <c r="T953" s="237"/>
      <c r="U953" s="237"/>
      <c r="V953" s="237"/>
      <c r="W953" s="237"/>
      <c r="X953" s="237"/>
      <c r="Y953" s="237"/>
      <c r="Z953" s="237"/>
    </row>
    <row r="954" spans="1:26" ht="24.75" customHeight="1" x14ac:dyDescent="0.25">
      <c r="A954" s="236"/>
      <c r="B954" s="237"/>
      <c r="C954" s="236"/>
      <c r="D954" s="238"/>
      <c r="E954" s="238"/>
      <c r="F954" s="238"/>
      <c r="G954" s="239"/>
      <c r="H954" s="241"/>
      <c r="I954" s="244"/>
      <c r="J954" s="241"/>
      <c r="K954" s="237"/>
      <c r="L954" s="237"/>
      <c r="M954" s="237"/>
      <c r="N954" s="237"/>
      <c r="O954" s="237"/>
      <c r="P954" s="237"/>
      <c r="Q954" s="237"/>
      <c r="R954" s="237"/>
      <c r="S954" s="237"/>
      <c r="T954" s="237"/>
      <c r="U954" s="237"/>
      <c r="V954" s="237"/>
      <c r="W954" s="237"/>
      <c r="X954" s="237"/>
      <c r="Y954" s="237"/>
      <c r="Z954" s="237"/>
    </row>
    <row r="955" spans="1:26" ht="24.75" customHeight="1" x14ac:dyDescent="0.25">
      <c r="A955" s="236"/>
      <c r="B955" s="237"/>
      <c r="C955" s="236"/>
      <c r="D955" s="238"/>
      <c r="E955" s="238"/>
      <c r="F955" s="238"/>
      <c r="G955" s="239"/>
      <c r="H955" s="241"/>
      <c r="I955" s="244"/>
      <c r="J955" s="241"/>
      <c r="K955" s="237"/>
      <c r="L955" s="237"/>
      <c r="M955" s="237"/>
      <c r="N955" s="237"/>
      <c r="O955" s="237"/>
      <c r="P955" s="237"/>
      <c r="Q955" s="237"/>
      <c r="R955" s="237"/>
      <c r="S955" s="237"/>
      <c r="T955" s="237"/>
      <c r="U955" s="237"/>
      <c r="V955" s="237"/>
      <c r="W955" s="237"/>
      <c r="X955" s="237"/>
      <c r="Y955" s="237"/>
      <c r="Z955" s="237"/>
    </row>
    <row r="956" spans="1:26" ht="24.75" customHeight="1" x14ac:dyDescent="0.25">
      <c r="A956" s="236"/>
      <c r="B956" s="237"/>
      <c r="C956" s="236"/>
      <c r="D956" s="238"/>
      <c r="E956" s="238"/>
      <c r="F956" s="238"/>
      <c r="G956" s="239"/>
      <c r="H956" s="241"/>
      <c r="I956" s="244"/>
      <c r="J956" s="241"/>
      <c r="K956" s="237"/>
      <c r="L956" s="237"/>
      <c r="M956" s="237"/>
      <c r="N956" s="237"/>
      <c r="O956" s="237"/>
      <c r="P956" s="237"/>
      <c r="Q956" s="237"/>
      <c r="R956" s="237"/>
      <c r="S956" s="237"/>
      <c r="T956" s="237"/>
      <c r="U956" s="237"/>
      <c r="V956" s="237"/>
      <c r="W956" s="237"/>
      <c r="X956" s="237"/>
      <c r="Y956" s="237"/>
      <c r="Z956" s="237"/>
    </row>
    <row r="957" spans="1:26" ht="24.75" customHeight="1" x14ac:dyDescent="0.25">
      <c r="A957" s="236"/>
      <c r="B957" s="237"/>
      <c r="C957" s="236"/>
      <c r="D957" s="238"/>
      <c r="E957" s="238"/>
      <c r="F957" s="238"/>
      <c r="G957" s="239"/>
      <c r="H957" s="241"/>
      <c r="I957" s="244"/>
      <c r="J957" s="241"/>
      <c r="K957" s="237"/>
      <c r="L957" s="237"/>
      <c r="M957" s="237"/>
      <c r="N957" s="237"/>
      <c r="O957" s="237"/>
      <c r="P957" s="237"/>
      <c r="Q957" s="237"/>
      <c r="R957" s="237"/>
      <c r="S957" s="237"/>
      <c r="T957" s="237"/>
      <c r="U957" s="237"/>
      <c r="V957" s="237"/>
      <c r="W957" s="237"/>
      <c r="X957" s="237"/>
      <c r="Y957" s="237"/>
      <c r="Z957" s="237"/>
    </row>
    <row r="958" spans="1:26" ht="24.75" customHeight="1" x14ac:dyDescent="0.25">
      <c r="A958" s="236"/>
      <c r="B958" s="237"/>
      <c r="C958" s="236"/>
      <c r="D958" s="238"/>
      <c r="E958" s="238"/>
      <c r="F958" s="238"/>
      <c r="G958" s="239"/>
      <c r="H958" s="241"/>
      <c r="I958" s="244"/>
      <c r="J958" s="241"/>
      <c r="K958" s="237"/>
      <c r="L958" s="237"/>
      <c r="M958" s="237"/>
      <c r="N958" s="237"/>
      <c r="O958" s="237"/>
      <c r="P958" s="237"/>
      <c r="Q958" s="237"/>
      <c r="R958" s="237"/>
      <c r="S958" s="237"/>
      <c r="T958" s="237"/>
      <c r="U958" s="237"/>
      <c r="V958" s="237"/>
      <c r="W958" s="237"/>
      <c r="X958" s="237"/>
      <c r="Y958" s="237"/>
      <c r="Z958" s="237"/>
    </row>
    <row r="959" spans="1:26" ht="24.75" customHeight="1" x14ac:dyDescent="0.25">
      <c r="A959" s="236"/>
      <c r="B959" s="237"/>
      <c r="C959" s="236"/>
      <c r="D959" s="238"/>
      <c r="E959" s="238"/>
      <c r="F959" s="238"/>
      <c r="G959" s="239"/>
      <c r="H959" s="241"/>
      <c r="I959" s="244"/>
      <c r="J959" s="241"/>
      <c r="K959" s="237"/>
      <c r="L959" s="237"/>
      <c r="M959" s="237"/>
      <c r="N959" s="237"/>
      <c r="O959" s="237"/>
      <c r="P959" s="237"/>
      <c r="Q959" s="237"/>
      <c r="R959" s="237"/>
      <c r="S959" s="237"/>
      <c r="T959" s="237"/>
      <c r="U959" s="237"/>
      <c r="V959" s="237"/>
      <c r="W959" s="237"/>
      <c r="X959" s="237"/>
      <c r="Y959" s="237"/>
      <c r="Z959" s="237"/>
    </row>
    <row r="960" spans="1:26" ht="24.75" customHeight="1" x14ac:dyDescent="0.25">
      <c r="A960" s="236"/>
      <c r="B960" s="237"/>
      <c r="C960" s="236"/>
      <c r="D960" s="238"/>
      <c r="E960" s="238"/>
      <c r="F960" s="238"/>
      <c r="G960" s="239"/>
      <c r="H960" s="241"/>
      <c r="I960" s="244"/>
      <c r="J960" s="241"/>
      <c r="K960" s="237"/>
      <c r="L960" s="237"/>
      <c r="M960" s="237"/>
      <c r="N960" s="237"/>
      <c r="O960" s="237"/>
      <c r="P960" s="237"/>
      <c r="Q960" s="237"/>
      <c r="R960" s="237"/>
      <c r="S960" s="237"/>
      <c r="T960" s="237"/>
      <c r="U960" s="237"/>
      <c r="V960" s="237"/>
      <c r="W960" s="237"/>
      <c r="X960" s="237"/>
      <c r="Y960" s="237"/>
      <c r="Z960" s="237"/>
    </row>
    <row r="961" spans="1:26" ht="24.75" customHeight="1" x14ac:dyDescent="0.25">
      <c r="A961" s="236"/>
      <c r="B961" s="237"/>
      <c r="C961" s="236"/>
      <c r="D961" s="238"/>
      <c r="E961" s="238"/>
      <c r="F961" s="238"/>
      <c r="G961" s="239"/>
      <c r="H961" s="241"/>
      <c r="I961" s="244"/>
      <c r="J961" s="241"/>
      <c r="K961" s="237"/>
      <c r="L961" s="237"/>
      <c r="M961" s="237"/>
      <c r="N961" s="237"/>
      <c r="O961" s="237"/>
      <c r="P961" s="237"/>
      <c r="Q961" s="237"/>
      <c r="R961" s="237"/>
      <c r="S961" s="237"/>
      <c r="T961" s="237"/>
      <c r="U961" s="237"/>
      <c r="V961" s="237"/>
      <c r="W961" s="237"/>
      <c r="X961" s="237"/>
      <c r="Y961" s="237"/>
      <c r="Z961" s="237"/>
    </row>
    <row r="962" spans="1:26" ht="24.75" customHeight="1" x14ac:dyDescent="0.25">
      <c r="A962" s="236"/>
      <c r="B962" s="237"/>
      <c r="C962" s="236"/>
      <c r="D962" s="238"/>
      <c r="E962" s="238"/>
      <c r="F962" s="238"/>
      <c r="G962" s="239"/>
      <c r="H962" s="241"/>
      <c r="I962" s="244"/>
      <c r="J962" s="241"/>
      <c r="K962" s="237"/>
      <c r="L962" s="237"/>
      <c r="M962" s="237"/>
      <c r="N962" s="237"/>
      <c r="O962" s="237"/>
      <c r="P962" s="237"/>
      <c r="Q962" s="237"/>
      <c r="R962" s="237"/>
      <c r="S962" s="237"/>
      <c r="T962" s="237"/>
      <c r="U962" s="237"/>
      <c r="V962" s="237"/>
      <c r="W962" s="237"/>
      <c r="X962" s="237"/>
      <c r="Y962" s="237"/>
      <c r="Z962" s="237"/>
    </row>
    <row r="963" spans="1:26" ht="24.75" customHeight="1" x14ac:dyDescent="0.25">
      <c r="A963" s="236"/>
      <c r="B963" s="237"/>
      <c r="C963" s="236"/>
      <c r="D963" s="238"/>
      <c r="E963" s="238"/>
      <c r="F963" s="238"/>
      <c r="G963" s="239"/>
      <c r="H963" s="241"/>
      <c r="I963" s="244"/>
      <c r="J963" s="241"/>
      <c r="K963" s="237"/>
      <c r="L963" s="237"/>
      <c r="M963" s="237"/>
      <c r="N963" s="237"/>
      <c r="O963" s="237"/>
      <c r="P963" s="237"/>
      <c r="Q963" s="237"/>
      <c r="R963" s="237"/>
      <c r="S963" s="237"/>
      <c r="T963" s="237"/>
      <c r="U963" s="237"/>
      <c r="V963" s="237"/>
      <c r="W963" s="237"/>
      <c r="X963" s="237"/>
      <c r="Y963" s="237"/>
      <c r="Z963" s="237"/>
    </row>
    <row r="964" spans="1:26" ht="24.75" customHeight="1" x14ac:dyDescent="0.25">
      <c r="A964" s="236"/>
      <c r="B964" s="237"/>
      <c r="C964" s="236"/>
      <c r="D964" s="238"/>
      <c r="E964" s="238"/>
      <c r="F964" s="238"/>
      <c r="G964" s="239"/>
      <c r="H964" s="241"/>
      <c r="I964" s="244"/>
      <c r="J964" s="241"/>
      <c r="K964" s="237"/>
      <c r="L964" s="237"/>
      <c r="M964" s="237"/>
      <c r="N964" s="237"/>
      <c r="O964" s="237"/>
      <c r="P964" s="237"/>
      <c r="Q964" s="237"/>
      <c r="R964" s="237"/>
      <c r="S964" s="237"/>
      <c r="T964" s="237"/>
      <c r="U964" s="237"/>
      <c r="V964" s="237"/>
      <c r="W964" s="237"/>
      <c r="X964" s="237"/>
      <c r="Y964" s="237"/>
      <c r="Z964" s="237"/>
    </row>
    <row r="965" spans="1:26" ht="24.75" customHeight="1" x14ac:dyDescent="0.25">
      <c r="A965" s="236"/>
      <c r="B965" s="237"/>
      <c r="C965" s="236"/>
      <c r="D965" s="238"/>
      <c r="E965" s="238"/>
      <c r="F965" s="238"/>
      <c r="G965" s="239"/>
      <c r="H965" s="241"/>
      <c r="I965" s="244"/>
      <c r="J965" s="241"/>
      <c r="K965" s="237"/>
      <c r="L965" s="237"/>
      <c r="M965" s="237"/>
      <c r="N965" s="237"/>
      <c r="O965" s="237"/>
      <c r="P965" s="237"/>
      <c r="Q965" s="237"/>
      <c r="R965" s="237"/>
      <c r="S965" s="237"/>
      <c r="T965" s="237"/>
      <c r="U965" s="237"/>
      <c r="V965" s="237"/>
      <c r="W965" s="237"/>
      <c r="X965" s="237"/>
      <c r="Y965" s="237"/>
      <c r="Z965" s="237"/>
    </row>
    <row r="966" spans="1:26" ht="24.75" customHeight="1" x14ac:dyDescent="0.25">
      <c r="A966" s="236"/>
      <c r="B966" s="237"/>
      <c r="C966" s="236"/>
      <c r="D966" s="238"/>
      <c r="E966" s="238"/>
      <c r="F966" s="238"/>
      <c r="G966" s="239"/>
      <c r="H966" s="241"/>
      <c r="I966" s="244"/>
      <c r="J966" s="241"/>
      <c r="K966" s="237"/>
      <c r="L966" s="237"/>
      <c r="M966" s="237"/>
      <c r="N966" s="237"/>
      <c r="O966" s="237"/>
      <c r="P966" s="237"/>
      <c r="Q966" s="237"/>
      <c r="R966" s="237"/>
      <c r="S966" s="237"/>
      <c r="T966" s="237"/>
      <c r="U966" s="237"/>
      <c r="V966" s="237"/>
      <c r="W966" s="237"/>
      <c r="X966" s="237"/>
      <c r="Y966" s="237"/>
      <c r="Z966" s="237"/>
    </row>
    <row r="967" spans="1:26" ht="24.75" customHeight="1" x14ac:dyDescent="0.25">
      <c r="A967" s="236"/>
      <c r="B967" s="237"/>
      <c r="C967" s="236"/>
      <c r="D967" s="238"/>
      <c r="E967" s="238"/>
      <c r="F967" s="238"/>
      <c r="G967" s="239"/>
      <c r="H967" s="241"/>
      <c r="I967" s="244"/>
      <c r="J967" s="241"/>
      <c r="K967" s="237"/>
      <c r="L967" s="237"/>
      <c r="M967" s="237"/>
      <c r="N967" s="237"/>
      <c r="O967" s="237"/>
      <c r="P967" s="237"/>
      <c r="Q967" s="237"/>
      <c r="R967" s="237"/>
      <c r="S967" s="237"/>
      <c r="T967" s="237"/>
      <c r="U967" s="237"/>
      <c r="V967" s="237"/>
      <c r="W967" s="237"/>
      <c r="X967" s="237"/>
      <c r="Y967" s="237"/>
      <c r="Z967" s="237"/>
    </row>
    <row r="968" spans="1:26" ht="24.75" customHeight="1" x14ac:dyDescent="0.25">
      <c r="A968" s="236"/>
      <c r="B968" s="237"/>
      <c r="C968" s="236"/>
      <c r="D968" s="238"/>
      <c r="E968" s="238"/>
      <c r="F968" s="238"/>
      <c r="G968" s="239"/>
      <c r="H968" s="241"/>
      <c r="I968" s="244"/>
      <c r="J968" s="241"/>
      <c r="K968" s="237"/>
      <c r="L968" s="237"/>
      <c r="M968" s="237"/>
      <c r="N968" s="237"/>
      <c r="O968" s="237"/>
      <c r="P968" s="237"/>
      <c r="Q968" s="237"/>
      <c r="R968" s="237"/>
      <c r="S968" s="237"/>
      <c r="T968" s="237"/>
      <c r="U968" s="237"/>
      <c r="V968" s="237"/>
      <c r="W968" s="237"/>
      <c r="X968" s="237"/>
      <c r="Y968" s="237"/>
      <c r="Z968" s="237"/>
    </row>
    <row r="969" spans="1:26" ht="24.75" customHeight="1" x14ac:dyDescent="0.25">
      <c r="A969" s="236"/>
      <c r="B969" s="237"/>
      <c r="C969" s="236"/>
      <c r="D969" s="238"/>
      <c r="E969" s="238"/>
      <c r="F969" s="238"/>
      <c r="G969" s="239"/>
      <c r="H969" s="241"/>
      <c r="I969" s="244"/>
      <c r="J969" s="241"/>
      <c r="K969" s="237"/>
      <c r="L969" s="237"/>
      <c r="M969" s="237"/>
      <c r="N969" s="237"/>
      <c r="O969" s="237"/>
      <c r="P969" s="237"/>
      <c r="Q969" s="237"/>
      <c r="R969" s="237"/>
      <c r="S969" s="237"/>
      <c r="T969" s="237"/>
      <c r="U969" s="237"/>
      <c r="V969" s="237"/>
      <c r="W969" s="237"/>
      <c r="X969" s="237"/>
      <c r="Y969" s="237"/>
      <c r="Z969" s="237"/>
    </row>
    <row r="970" spans="1:26" ht="24.75" customHeight="1" x14ac:dyDescent="0.25">
      <c r="A970" s="236"/>
      <c r="B970" s="237"/>
      <c r="C970" s="236"/>
      <c r="D970" s="238"/>
      <c r="E970" s="238"/>
      <c r="F970" s="238"/>
      <c r="G970" s="239"/>
      <c r="H970" s="241"/>
      <c r="I970" s="244"/>
      <c r="J970" s="241"/>
      <c r="K970" s="237"/>
      <c r="L970" s="237"/>
      <c r="M970" s="237"/>
      <c r="N970" s="237"/>
      <c r="O970" s="237"/>
      <c r="P970" s="237"/>
      <c r="Q970" s="237"/>
      <c r="R970" s="237"/>
      <c r="S970" s="237"/>
      <c r="T970" s="237"/>
      <c r="U970" s="237"/>
      <c r="V970" s="237"/>
      <c r="W970" s="237"/>
      <c r="X970" s="237"/>
      <c r="Y970" s="237"/>
      <c r="Z970" s="237"/>
    </row>
    <row r="971" spans="1:26" ht="24.75" customHeight="1" x14ac:dyDescent="0.25">
      <c r="A971" s="236"/>
      <c r="B971" s="237"/>
      <c r="C971" s="236"/>
      <c r="D971" s="238"/>
      <c r="E971" s="238"/>
      <c r="F971" s="238"/>
      <c r="G971" s="239"/>
      <c r="H971" s="241"/>
      <c r="I971" s="244"/>
      <c r="J971" s="241"/>
      <c r="K971" s="237"/>
      <c r="L971" s="237"/>
      <c r="M971" s="237"/>
      <c r="N971" s="237"/>
      <c r="O971" s="237"/>
      <c r="P971" s="237"/>
      <c r="Q971" s="237"/>
      <c r="R971" s="237"/>
      <c r="S971" s="237"/>
      <c r="T971" s="237"/>
      <c r="U971" s="237"/>
      <c r="V971" s="237"/>
      <c r="W971" s="237"/>
      <c r="X971" s="237"/>
      <c r="Y971" s="237"/>
      <c r="Z971" s="237"/>
    </row>
    <row r="972" spans="1:26" ht="24.75" customHeight="1" x14ac:dyDescent="0.25">
      <c r="A972" s="236"/>
      <c r="B972" s="237"/>
      <c r="C972" s="236"/>
      <c r="D972" s="238"/>
      <c r="E972" s="238"/>
      <c r="F972" s="238"/>
      <c r="G972" s="239"/>
      <c r="H972" s="241"/>
      <c r="I972" s="244"/>
      <c r="J972" s="241"/>
      <c r="K972" s="237"/>
      <c r="L972" s="237"/>
      <c r="M972" s="237"/>
      <c r="N972" s="237"/>
      <c r="O972" s="237"/>
      <c r="P972" s="237"/>
      <c r="Q972" s="237"/>
      <c r="R972" s="237"/>
      <c r="S972" s="237"/>
      <c r="T972" s="237"/>
      <c r="U972" s="237"/>
      <c r="V972" s="237"/>
      <c r="W972" s="237"/>
      <c r="X972" s="237"/>
      <c r="Y972" s="237"/>
      <c r="Z972" s="237"/>
    </row>
    <row r="973" spans="1:26" ht="24.75" customHeight="1" x14ac:dyDescent="0.25">
      <c r="A973" s="236"/>
      <c r="B973" s="237"/>
      <c r="C973" s="236"/>
      <c r="D973" s="238"/>
      <c r="E973" s="238"/>
      <c r="F973" s="238"/>
      <c r="G973" s="239"/>
      <c r="H973" s="241"/>
      <c r="I973" s="244"/>
      <c r="J973" s="241"/>
      <c r="K973" s="237"/>
      <c r="L973" s="237"/>
      <c r="M973" s="237"/>
      <c r="N973" s="237"/>
      <c r="O973" s="237"/>
      <c r="P973" s="237"/>
      <c r="Q973" s="237"/>
      <c r="R973" s="237"/>
      <c r="S973" s="237"/>
      <c r="T973" s="237"/>
      <c r="U973" s="237"/>
      <c r="V973" s="237"/>
      <c r="W973" s="237"/>
      <c r="X973" s="237"/>
      <c r="Y973" s="237"/>
      <c r="Z973" s="237"/>
    </row>
    <row r="974" spans="1:26" ht="24.75" customHeight="1" x14ac:dyDescent="0.25">
      <c r="A974" s="236"/>
      <c r="B974" s="237"/>
      <c r="C974" s="236"/>
      <c r="D974" s="238"/>
      <c r="E974" s="238"/>
      <c r="F974" s="238"/>
      <c r="G974" s="239"/>
      <c r="H974" s="241"/>
      <c r="I974" s="244"/>
      <c r="J974" s="241"/>
      <c r="K974" s="237"/>
      <c r="L974" s="237"/>
      <c r="M974" s="237"/>
      <c r="N974" s="237"/>
      <c r="O974" s="237"/>
      <c r="P974" s="237"/>
      <c r="Q974" s="237"/>
      <c r="R974" s="237"/>
      <c r="S974" s="237"/>
      <c r="T974" s="237"/>
      <c r="U974" s="237"/>
      <c r="V974" s="237"/>
      <c r="W974" s="237"/>
      <c r="X974" s="237"/>
      <c r="Y974" s="237"/>
      <c r="Z974" s="237"/>
    </row>
    <row r="975" spans="1:26" ht="24.75" customHeight="1" x14ac:dyDescent="0.25">
      <c r="A975" s="236"/>
      <c r="B975" s="237"/>
      <c r="C975" s="236"/>
      <c r="D975" s="238"/>
      <c r="E975" s="238"/>
      <c r="F975" s="238"/>
      <c r="G975" s="239"/>
      <c r="H975" s="241"/>
      <c r="I975" s="244"/>
      <c r="J975" s="241"/>
      <c r="K975" s="237"/>
      <c r="L975" s="237"/>
      <c r="M975" s="237"/>
      <c r="N975" s="237"/>
      <c r="O975" s="237"/>
      <c r="P975" s="237"/>
      <c r="Q975" s="237"/>
      <c r="R975" s="237"/>
      <c r="S975" s="237"/>
      <c r="T975" s="237"/>
      <c r="U975" s="237"/>
      <c r="V975" s="237"/>
      <c r="W975" s="237"/>
      <c r="X975" s="237"/>
      <c r="Y975" s="237"/>
      <c r="Z975" s="237"/>
    </row>
    <row r="976" spans="1:26" ht="24.75" customHeight="1" x14ac:dyDescent="0.25">
      <c r="A976" s="236"/>
      <c r="B976" s="237"/>
      <c r="C976" s="236"/>
      <c r="D976" s="238"/>
      <c r="E976" s="238"/>
      <c r="F976" s="238"/>
      <c r="G976" s="239"/>
      <c r="H976" s="241"/>
      <c r="I976" s="244"/>
      <c r="J976" s="241"/>
      <c r="K976" s="237"/>
      <c r="L976" s="237"/>
      <c r="M976" s="237"/>
      <c r="N976" s="237"/>
      <c r="O976" s="237"/>
      <c r="P976" s="237"/>
      <c r="Q976" s="237"/>
      <c r="R976" s="237"/>
      <c r="S976" s="237"/>
      <c r="T976" s="237"/>
      <c r="U976" s="237"/>
      <c r="V976" s="237"/>
      <c r="W976" s="237"/>
      <c r="X976" s="237"/>
      <c r="Y976" s="237"/>
      <c r="Z976" s="237"/>
    </row>
    <row r="977" spans="1:26" ht="24.75" customHeight="1" x14ac:dyDescent="0.25">
      <c r="A977" s="236"/>
      <c r="B977" s="237"/>
      <c r="C977" s="236"/>
      <c r="D977" s="238"/>
      <c r="E977" s="238"/>
      <c r="F977" s="238"/>
      <c r="G977" s="239"/>
      <c r="H977" s="241"/>
      <c r="I977" s="244"/>
      <c r="J977" s="241"/>
      <c r="K977" s="237"/>
      <c r="L977" s="237"/>
      <c r="M977" s="237"/>
      <c r="N977" s="237"/>
      <c r="O977" s="237"/>
      <c r="P977" s="237"/>
      <c r="Q977" s="237"/>
      <c r="R977" s="237"/>
      <c r="S977" s="237"/>
      <c r="T977" s="237"/>
      <c r="U977" s="237"/>
      <c r="V977" s="237"/>
      <c r="W977" s="237"/>
      <c r="X977" s="237"/>
      <c r="Y977" s="237"/>
      <c r="Z977" s="237"/>
    </row>
    <row r="978" spans="1:26" ht="24.75" customHeight="1" x14ac:dyDescent="0.25">
      <c r="A978" s="236"/>
      <c r="B978" s="237"/>
      <c r="C978" s="236"/>
      <c r="D978" s="238"/>
      <c r="E978" s="238"/>
      <c r="F978" s="238"/>
      <c r="G978" s="239"/>
      <c r="H978" s="241"/>
      <c r="I978" s="244"/>
      <c r="J978" s="241"/>
      <c r="K978" s="237"/>
      <c r="L978" s="237"/>
      <c r="M978" s="237"/>
      <c r="N978" s="237"/>
      <c r="O978" s="237"/>
      <c r="P978" s="237"/>
      <c r="Q978" s="237"/>
      <c r="R978" s="237"/>
      <c r="S978" s="237"/>
      <c r="T978" s="237"/>
      <c r="U978" s="237"/>
      <c r="V978" s="237"/>
      <c r="W978" s="237"/>
      <c r="X978" s="237"/>
      <c r="Y978" s="237"/>
      <c r="Z978" s="237"/>
    </row>
    <row r="979" spans="1:26" ht="24.75" customHeight="1" x14ac:dyDescent="0.25">
      <c r="A979" s="236"/>
      <c r="B979" s="237"/>
      <c r="C979" s="236"/>
      <c r="D979" s="238"/>
      <c r="E979" s="238"/>
      <c r="F979" s="238"/>
      <c r="G979" s="239"/>
      <c r="H979" s="241"/>
      <c r="I979" s="244"/>
      <c r="J979" s="241"/>
      <c r="K979" s="237"/>
      <c r="L979" s="237"/>
      <c r="M979" s="237"/>
      <c r="N979" s="237"/>
      <c r="O979" s="237"/>
      <c r="P979" s="237"/>
      <c r="Q979" s="237"/>
      <c r="R979" s="237"/>
      <c r="S979" s="237"/>
      <c r="T979" s="237"/>
      <c r="U979" s="237"/>
      <c r="V979" s="237"/>
      <c r="W979" s="237"/>
      <c r="X979" s="237"/>
      <c r="Y979" s="237"/>
      <c r="Z979" s="237"/>
    </row>
    <row r="980" spans="1:26" ht="24.75" customHeight="1" x14ac:dyDescent="0.25">
      <c r="A980" s="236"/>
      <c r="B980" s="237"/>
      <c r="C980" s="236"/>
      <c r="D980" s="238"/>
      <c r="E980" s="238"/>
      <c r="F980" s="238"/>
      <c r="G980" s="239"/>
      <c r="H980" s="241"/>
      <c r="I980" s="244"/>
      <c r="J980" s="241"/>
      <c r="K980" s="237"/>
      <c r="L980" s="237"/>
      <c r="M980" s="237"/>
      <c r="N980" s="237"/>
      <c r="O980" s="237"/>
      <c r="P980" s="237"/>
      <c r="Q980" s="237"/>
      <c r="R980" s="237"/>
      <c r="S980" s="237"/>
      <c r="T980" s="237"/>
      <c r="U980" s="237"/>
      <c r="V980" s="237"/>
      <c r="W980" s="237"/>
      <c r="X980" s="237"/>
      <c r="Y980" s="237"/>
      <c r="Z980" s="237"/>
    </row>
    <row r="981" spans="1:26" ht="24.75" customHeight="1" x14ac:dyDescent="0.25">
      <c r="A981" s="236"/>
      <c r="B981" s="237"/>
      <c r="C981" s="236"/>
      <c r="D981" s="238"/>
      <c r="E981" s="238"/>
      <c r="F981" s="238"/>
      <c r="G981" s="239"/>
      <c r="H981" s="241"/>
      <c r="I981" s="244"/>
      <c r="J981" s="241"/>
      <c r="K981" s="237"/>
      <c r="L981" s="237"/>
      <c r="M981" s="237"/>
      <c r="N981" s="237"/>
      <c r="O981" s="237"/>
      <c r="P981" s="237"/>
      <c r="Q981" s="237"/>
      <c r="R981" s="237"/>
      <c r="S981" s="237"/>
      <c r="T981" s="237"/>
      <c r="U981" s="237"/>
      <c r="V981" s="237"/>
      <c r="W981" s="237"/>
      <c r="X981" s="237"/>
      <c r="Y981" s="237"/>
      <c r="Z981" s="237"/>
    </row>
    <row r="982" spans="1:26" ht="24.75" customHeight="1" x14ac:dyDescent="0.25">
      <c r="A982" s="236"/>
      <c r="B982" s="237"/>
      <c r="C982" s="236"/>
      <c r="D982" s="238"/>
      <c r="E982" s="238"/>
      <c r="F982" s="238"/>
      <c r="G982" s="239"/>
      <c r="H982" s="241"/>
      <c r="I982" s="244"/>
      <c r="J982" s="241"/>
      <c r="K982" s="237"/>
      <c r="L982" s="237"/>
      <c r="M982" s="237"/>
      <c r="N982" s="237"/>
      <c r="O982" s="237"/>
      <c r="P982" s="237"/>
      <c r="Q982" s="237"/>
      <c r="R982" s="237"/>
      <c r="S982" s="237"/>
      <c r="T982" s="237"/>
      <c r="U982" s="237"/>
      <c r="V982" s="237"/>
      <c r="W982" s="237"/>
      <c r="X982" s="237"/>
      <c r="Y982" s="237"/>
      <c r="Z982" s="237"/>
    </row>
    <row r="983" spans="1:26" ht="24.75" customHeight="1" x14ac:dyDescent="0.25">
      <c r="A983" s="236"/>
      <c r="B983" s="237"/>
      <c r="C983" s="236"/>
      <c r="D983" s="238"/>
      <c r="E983" s="238"/>
      <c r="F983" s="238"/>
      <c r="G983" s="239"/>
      <c r="H983" s="241"/>
      <c r="I983" s="244"/>
      <c r="J983" s="241"/>
      <c r="K983" s="237"/>
      <c r="L983" s="237"/>
      <c r="M983" s="237"/>
      <c r="N983" s="237"/>
      <c r="O983" s="237"/>
      <c r="P983" s="237"/>
      <c r="Q983" s="237"/>
      <c r="R983" s="237"/>
      <c r="S983" s="237"/>
      <c r="T983" s="237"/>
      <c r="U983" s="237"/>
      <c r="V983" s="237"/>
      <c r="W983" s="237"/>
      <c r="X983" s="237"/>
      <c r="Y983" s="237"/>
      <c r="Z983" s="237"/>
    </row>
    <row r="984" spans="1:26" ht="24.75" customHeight="1" x14ac:dyDescent="0.25">
      <c r="A984" s="236"/>
      <c r="B984" s="237"/>
      <c r="C984" s="236"/>
      <c r="D984" s="238"/>
      <c r="E984" s="238"/>
      <c r="F984" s="238"/>
      <c r="G984" s="239"/>
      <c r="H984" s="241"/>
      <c r="I984" s="244"/>
      <c r="J984" s="241"/>
      <c r="K984" s="237"/>
      <c r="L984" s="237"/>
      <c r="M984" s="237"/>
      <c r="N984" s="237"/>
      <c r="O984" s="237"/>
      <c r="P984" s="237"/>
      <c r="Q984" s="237"/>
      <c r="R984" s="237"/>
      <c r="S984" s="237"/>
      <c r="T984" s="237"/>
      <c r="U984" s="237"/>
      <c r="V984" s="237"/>
      <c r="W984" s="237"/>
      <c r="X984" s="237"/>
      <c r="Y984" s="237"/>
      <c r="Z984" s="237"/>
    </row>
    <row r="985" spans="1:26" ht="24.75" customHeight="1" x14ac:dyDescent="0.25">
      <c r="A985" s="236"/>
      <c r="B985" s="237"/>
      <c r="C985" s="236"/>
      <c r="D985" s="238"/>
      <c r="E985" s="238"/>
      <c r="F985" s="238"/>
      <c r="G985" s="239"/>
      <c r="H985" s="241"/>
      <c r="I985" s="244"/>
      <c r="J985" s="241"/>
      <c r="K985" s="237"/>
      <c r="L985" s="237"/>
      <c r="M985" s="237"/>
      <c r="N985" s="237"/>
      <c r="O985" s="237"/>
      <c r="P985" s="237"/>
      <c r="Q985" s="237"/>
      <c r="R985" s="237"/>
      <c r="S985" s="237"/>
      <c r="T985" s="237"/>
      <c r="U985" s="237"/>
      <c r="V985" s="237"/>
      <c r="W985" s="237"/>
      <c r="X985" s="237"/>
      <c r="Y985" s="237"/>
      <c r="Z985" s="237"/>
    </row>
    <row r="986" spans="1:26" ht="24.75" customHeight="1" x14ac:dyDescent="0.25">
      <c r="A986" s="236"/>
      <c r="B986" s="237"/>
      <c r="C986" s="236"/>
      <c r="D986" s="238"/>
      <c r="E986" s="238"/>
      <c r="F986" s="238"/>
      <c r="G986" s="239"/>
      <c r="H986" s="241"/>
      <c r="I986" s="244"/>
      <c r="J986" s="241"/>
      <c r="K986" s="237"/>
      <c r="L986" s="237"/>
      <c r="M986" s="237"/>
      <c r="N986" s="237"/>
      <c r="O986" s="237"/>
      <c r="P986" s="237"/>
      <c r="Q986" s="237"/>
      <c r="R986" s="237"/>
      <c r="S986" s="237"/>
      <c r="T986" s="237"/>
      <c r="U986" s="237"/>
      <c r="V986" s="237"/>
      <c r="W986" s="237"/>
      <c r="X986" s="237"/>
      <c r="Y986" s="237"/>
      <c r="Z986" s="237"/>
    </row>
    <row r="987" spans="1:26" ht="24.75" customHeight="1" x14ac:dyDescent="0.25">
      <c r="A987" s="236"/>
      <c r="B987" s="237"/>
      <c r="C987" s="236"/>
      <c r="D987" s="238"/>
      <c r="E987" s="238"/>
      <c r="F987" s="238"/>
      <c r="G987" s="239"/>
      <c r="H987" s="241"/>
      <c r="I987" s="244"/>
      <c r="J987" s="241"/>
      <c r="K987" s="237"/>
      <c r="L987" s="237"/>
      <c r="M987" s="237"/>
      <c r="N987" s="237"/>
      <c r="O987" s="237"/>
      <c r="P987" s="237"/>
      <c r="Q987" s="237"/>
      <c r="R987" s="237"/>
      <c r="S987" s="237"/>
      <c r="T987" s="237"/>
      <c r="U987" s="237"/>
      <c r="V987" s="237"/>
      <c r="W987" s="237"/>
      <c r="X987" s="237"/>
      <c r="Y987" s="237"/>
      <c r="Z987" s="237"/>
    </row>
    <row r="988" spans="1:26" ht="24.75" customHeight="1" x14ac:dyDescent="0.25">
      <c r="A988" s="236"/>
      <c r="B988" s="237"/>
      <c r="C988" s="236"/>
      <c r="D988" s="238"/>
      <c r="E988" s="238"/>
      <c r="F988" s="238"/>
      <c r="G988" s="239"/>
      <c r="H988" s="241"/>
      <c r="I988" s="244"/>
      <c r="J988" s="241"/>
      <c r="K988" s="237"/>
      <c r="L988" s="237"/>
      <c r="M988" s="237"/>
      <c r="N988" s="237"/>
      <c r="O988" s="237"/>
      <c r="P988" s="237"/>
      <c r="Q988" s="237"/>
      <c r="R988" s="237"/>
      <c r="S988" s="237"/>
      <c r="T988" s="237"/>
      <c r="U988" s="237"/>
      <c r="V988" s="237"/>
      <c r="W988" s="237"/>
      <c r="X988" s="237"/>
      <c r="Y988" s="237"/>
      <c r="Z988" s="237"/>
    </row>
    <row r="989" spans="1:26" ht="24.75" customHeight="1" x14ac:dyDescent="0.25">
      <c r="A989" s="236"/>
      <c r="B989" s="237"/>
      <c r="C989" s="236"/>
      <c r="D989" s="238"/>
      <c r="E989" s="238"/>
      <c r="F989" s="238"/>
      <c r="G989" s="239"/>
      <c r="H989" s="241"/>
      <c r="I989" s="244"/>
      <c r="J989" s="241"/>
      <c r="K989" s="237"/>
      <c r="L989" s="237"/>
      <c r="M989" s="237"/>
      <c r="N989" s="237"/>
      <c r="O989" s="237"/>
      <c r="P989" s="237"/>
      <c r="Q989" s="237"/>
      <c r="R989" s="237"/>
      <c r="S989" s="237"/>
      <c r="T989" s="237"/>
      <c r="U989" s="237"/>
      <c r="V989" s="237"/>
      <c r="W989" s="237"/>
      <c r="X989" s="237"/>
      <c r="Y989" s="237"/>
      <c r="Z989" s="237"/>
    </row>
    <row r="990" spans="1:26" ht="24.75" customHeight="1" x14ac:dyDescent="0.25">
      <c r="A990" s="236"/>
      <c r="B990" s="237"/>
      <c r="C990" s="236"/>
      <c r="D990" s="238"/>
      <c r="E990" s="238"/>
      <c r="F990" s="238"/>
      <c r="G990" s="239"/>
      <c r="H990" s="241"/>
      <c r="I990" s="244"/>
      <c r="J990" s="241"/>
      <c r="K990" s="237"/>
      <c r="L990" s="237"/>
      <c r="M990" s="237"/>
      <c r="N990" s="237"/>
      <c r="O990" s="237"/>
      <c r="P990" s="237"/>
      <c r="Q990" s="237"/>
      <c r="R990" s="237"/>
      <c r="S990" s="237"/>
      <c r="T990" s="237"/>
      <c r="U990" s="237"/>
      <c r="V990" s="237"/>
      <c r="W990" s="237"/>
      <c r="X990" s="237"/>
      <c r="Y990" s="237"/>
      <c r="Z990" s="237"/>
    </row>
    <row r="991" spans="1:26" ht="24.75" customHeight="1" x14ac:dyDescent="0.25">
      <c r="A991" s="236"/>
      <c r="B991" s="237"/>
      <c r="C991" s="236"/>
      <c r="D991" s="238"/>
      <c r="E991" s="238"/>
      <c r="F991" s="238"/>
      <c r="G991" s="239"/>
      <c r="H991" s="241"/>
      <c r="I991" s="244"/>
      <c r="J991" s="241"/>
      <c r="K991" s="237"/>
      <c r="L991" s="237"/>
      <c r="M991" s="237"/>
      <c r="N991" s="237"/>
      <c r="O991" s="237"/>
      <c r="P991" s="237"/>
      <c r="Q991" s="237"/>
      <c r="R991" s="237"/>
      <c r="S991" s="237"/>
      <c r="T991" s="237"/>
      <c r="U991" s="237"/>
      <c r="V991" s="237"/>
      <c r="W991" s="237"/>
      <c r="X991" s="237"/>
      <c r="Y991" s="237"/>
      <c r="Z991" s="237"/>
    </row>
    <row r="992" spans="1:26" ht="24.75" customHeight="1" x14ac:dyDescent="0.25">
      <c r="A992" s="236"/>
      <c r="B992" s="237"/>
      <c r="C992" s="236"/>
      <c r="D992" s="238"/>
      <c r="E992" s="238"/>
      <c r="F992" s="238"/>
      <c r="G992" s="239"/>
      <c r="H992" s="241"/>
      <c r="I992" s="244"/>
      <c r="J992" s="241"/>
      <c r="K992" s="237"/>
      <c r="L992" s="237"/>
      <c r="M992" s="237"/>
      <c r="N992" s="237"/>
      <c r="O992" s="237"/>
      <c r="P992" s="237"/>
      <c r="Q992" s="237"/>
      <c r="R992" s="237"/>
      <c r="S992" s="237"/>
      <c r="T992" s="237"/>
      <c r="U992" s="237"/>
      <c r="V992" s="237"/>
      <c r="W992" s="237"/>
      <c r="X992" s="237"/>
      <c r="Y992" s="237"/>
      <c r="Z992" s="237"/>
    </row>
    <row r="993" spans="1:26" ht="24.75" customHeight="1" x14ac:dyDescent="0.25">
      <c r="A993" s="236"/>
      <c r="B993" s="237"/>
      <c r="C993" s="236"/>
      <c r="D993" s="238"/>
      <c r="E993" s="238"/>
      <c r="F993" s="238"/>
      <c r="G993" s="239"/>
      <c r="H993" s="241"/>
      <c r="I993" s="244"/>
      <c r="J993" s="241"/>
      <c r="K993" s="237"/>
      <c r="L993" s="237"/>
      <c r="M993" s="237"/>
      <c r="N993" s="237"/>
      <c r="O993" s="237"/>
      <c r="P993" s="237"/>
      <c r="Q993" s="237"/>
      <c r="R993" s="237"/>
      <c r="S993" s="237"/>
      <c r="T993" s="237"/>
      <c r="U993" s="237"/>
      <c r="V993" s="237"/>
      <c r="W993" s="237"/>
      <c r="X993" s="237"/>
      <c r="Y993" s="237"/>
      <c r="Z993" s="237"/>
    </row>
    <row r="994" spans="1:26" ht="24.75" customHeight="1" x14ac:dyDescent="0.25">
      <c r="A994" s="236"/>
      <c r="B994" s="237"/>
      <c r="C994" s="236"/>
      <c r="D994" s="238"/>
      <c r="E994" s="238"/>
      <c r="F994" s="238"/>
      <c r="G994" s="239"/>
      <c r="H994" s="241"/>
      <c r="I994" s="244"/>
      <c r="J994" s="241"/>
      <c r="K994" s="237"/>
      <c r="L994" s="237"/>
      <c r="M994" s="237"/>
      <c r="N994" s="237"/>
      <c r="O994" s="237"/>
      <c r="P994" s="237"/>
      <c r="Q994" s="237"/>
      <c r="R994" s="237"/>
      <c r="S994" s="237"/>
      <c r="T994" s="237"/>
      <c r="U994" s="237"/>
      <c r="V994" s="237"/>
      <c r="W994" s="237"/>
      <c r="X994" s="237"/>
      <c r="Y994" s="237"/>
      <c r="Z994" s="237"/>
    </row>
    <row r="995" spans="1:26" ht="24.75" customHeight="1" x14ac:dyDescent="0.25">
      <c r="A995" s="236"/>
      <c r="B995" s="237"/>
      <c r="C995" s="236"/>
      <c r="D995" s="238"/>
      <c r="E995" s="238"/>
      <c r="F995" s="238"/>
      <c r="G995" s="239"/>
      <c r="H995" s="241"/>
      <c r="I995" s="244"/>
      <c r="J995" s="241"/>
      <c r="K995" s="237"/>
      <c r="L995" s="237"/>
      <c r="M995" s="237"/>
      <c r="N995" s="237"/>
      <c r="O995" s="237"/>
      <c r="P995" s="237"/>
      <c r="Q995" s="237"/>
      <c r="R995" s="237"/>
      <c r="S995" s="237"/>
      <c r="T995" s="237"/>
      <c r="U995" s="237"/>
      <c r="V995" s="237"/>
      <c r="W995" s="237"/>
      <c r="X995" s="237"/>
      <c r="Y995" s="237"/>
      <c r="Z995" s="237"/>
    </row>
    <row r="996" spans="1:26" ht="24.75" customHeight="1" x14ac:dyDescent="0.25">
      <c r="A996" s="236"/>
      <c r="B996" s="237"/>
      <c r="C996" s="236"/>
      <c r="D996" s="238"/>
      <c r="E996" s="238"/>
      <c r="F996" s="238"/>
      <c r="G996" s="239"/>
      <c r="H996" s="241"/>
      <c r="I996" s="244"/>
      <c r="J996" s="241"/>
      <c r="K996" s="237"/>
      <c r="L996" s="237"/>
      <c r="M996" s="237"/>
      <c r="N996" s="237"/>
      <c r="O996" s="237"/>
      <c r="P996" s="237"/>
      <c r="Q996" s="237"/>
      <c r="R996" s="237"/>
      <c r="S996" s="237"/>
      <c r="T996" s="237"/>
      <c r="U996" s="237"/>
      <c r="V996" s="237"/>
      <c r="W996" s="237"/>
      <c r="X996" s="237"/>
      <c r="Y996" s="237"/>
      <c r="Z996" s="237"/>
    </row>
    <row r="997" spans="1:26" ht="24.75" customHeight="1" x14ac:dyDescent="0.25">
      <c r="A997" s="236"/>
      <c r="B997" s="237"/>
      <c r="C997" s="236"/>
      <c r="D997" s="238"/>
      <c r="E997" s="238"/>
      <c r="F997" s="238"/>
      <c r="G997" s="239"/>
      <c r="H997" s="241"/>
      <c r="I997" s="244"/>
      <c r="J997" s="241"/>
      <c r="K997" s="237"/>
      <c r="L997" s="237"/>
      <c r="M997" s="237"/>
      <c r="N997" s="237"/>
      <c r="O997" s="237"/>
      <c r="P997" s="237"/>
      <c r="Q997" s="237"/>
      <c r="R997" s="237"/>
      <c r="S997" s="237"/>
      <c r="T997" s="237"/>
      <c r="U997" s="237"/>
      <c r="V997" s="237"/>
      <c r="W997" s="237"/>
      <c r="X997" s="237"/>
      <c r="Y997" s="237"/>
      <c r="Z997" s="237"/>
    </row>
    <row r="998" spans="1:26" ht="24.75" customHeight="1" x14ac:dyDescent="0.25">
      <c r="A998" s="236"/>
      <c r="B998" s="237"/>
      <c r="C998" s="236"/>
      <c r="D998" s="238"/>
      <c r="E998" s="238"/>
      <c r="F998" s="238"/>
      <c r="G998" s="239"/>
      <c r="H998" s="241"/>
      <c r="I998" s="244"/>
      <c r="J998" s="241"/>
      <c r="K998" s="237"/>
      <c r="L998" s="237"/>
      <c r="M998" s="237"/>
      <c r="N998" s="237"/>
      <c r="O998" s="237"/>
      <c r="P998" s="237"/>
      <c r="Q998" s="237"/>
      <c r="R998" s="237"/>
      <c r="S998" s="237"/>
      <c r="T998" s="237"/>
      <c r="U998" s="237"/>
      <c r="V998" s="237"/>
      <c r="W998" s="237"/>
      <c r="X998" s="237"/>
      <c r="Y998" s="237"/>
      <c r="Z998" s="237"/>
    </row>
    <row r="999" spans="1:26" ht="24.75" customHeight="1" x14ac:dyDescent="0.25">
      <c r="A999" s="236"/>
      <c r="B999" s="237"/>
      <c r="C999" s="236"/>
      <c r="D999" s="238"/>
      <c r="E999" s="238"/>
      <c r="F999" s="238"/>
      <c r="G999" s="239"/>
      <c r="H999" s="241"/>
      <c r="I999" s="244"/>
      <c r="J999" s="241"/>
      <c r="K999" s="237"/>
      <c r="L999" s="237"/>
      <c r="M999" s="237"/>
      <c r="N999" s="237"/>
      <c r="O999" s="237"/>
      <c r="P999" s="237"/>
      <c r="Q999" s="237"/>
      <c r="R999" s="237"/>
      <c r="S999" s="237"/>
      <c r="T999" s="237"/>
      <c r="U999" s="237"/>
      <c r="V999" s="237"/>
      <c r="W999" s="237"/>
      <c r="X999" s="237"/>
      <c r="Y999" s="237"/>
      <c r="Z999" s="237"/>
    </row>
    <row r="1000" spans="1:26" ht="24.75" customHeight="1" x14ac:dyDescent="0.25">
      <c r="A1000" s="236"/>
      <c r="B1000" s="237"/>
      <c r="C1000" s="236"/>
      <c r="D1000" s="238"/>
      <c r="E1000" s="238"/>
      <c r="F1000" s="238"/>
      <c r="G1000" s="239"/>
      <c r="H1000" s="241"/>
      <c r="I1000" s="244"/>
      <c r="J1000" s="241"/>
      <c r="K1000" s="237"/>
      <c r="L1000" s="237"/>
      <c r="M1000" s="237"/>
      <c r="N1000" s="237"/>
      <c r="O1000" s="237"/>
      <c r="P1000" s="237"/>
      <c r="Q1000" s="237"/>
      <c r="R1000" s="237"/>
      <c r="S1000" s="237"/>
      <c r="T1000" s="237"/>
      <c r="U1000" s="237"/>
      <c r="V1000" s="237"/>
      <c r="W1000" s="237"/>
      <c r="X1000" s="237"/>
      <c r="Y1000" s="237"/>
      <c r="Z1000" s="237"/>
    </row>
  </sheetData>
  <mergeCells count="213">
    <mergeCell ref="H1:M1"/>
    <mergeCell ref="H2:M2"/>
    <mergeCell ref="H9:M9"/>
    <mergeCell ref="A10:M10"/>
    <mergeCell ref="A11:M11"/>
    <mergeCell ref="A12:M12"/>
    <mergeCell ref="H14:J14"/>
    <mergeCell ref="B16:M16"/>
    <mergeCell ref="B17:G17"/>
    <mergeCell ref="B18:G18"/>
    <mergeCell ref="B19:G19"/>
    <mergeCell ref="B20:G20"/>
    <mergeCell ref="B21:G21"/>
    <mergeCell ref="B22:G22"/>
    <mergeCell ref="H29:M29"/>
    <mergeCell ref="H30:J30"/>
    <mergeCell ref="K30:M30"/>
    <mergeCell ref="B23:G23"/>
    <mergeCell ref="B24:G24"/>
    <mergeCell ref="B25:G25"/>
    <mergeCell ref="B26:G26"/>
    <mergeCell ref="A28:A31"/>
    <mergeCell ref="B28:M28"/>
    <mergeCell ref="B29:G31"/>
    <mergeCell ref="B32:G32"/>
    <mergeCell ref="B33:G33"/>
    <mergeCell ref="C34:G34"/>
    <mergeCell ref="D35:G35"/>
    <mergeCell ref="C37:G37"/>
    <mergeCell ref="B39:G39"/>
    <mergeCell ref="C40:G40"/>
    <mergeCell ref="D41:G41"/>
    <mergeCell ref="A43:A46"/>
    <mergeCell ref="B43:M43"/>
    <mergeCell ref="B44:G46"/>
    <mergeCell ref="H44:M44"/>
    <mergeCell ref="H45:J45"/>
    <mergeCell ref="K45:M45"/>
    <mergeCell ref="B47:G47"/>
    <mergeCell ref="C48:G48"/>
    <mergeCell ref="D49:G49"/>
    <mergeCell ref="C50:G50"/>
    <mergeCell ref="D51:G51"/>
    <mergeCell ref="C52:G52"/>
    <mergeCell ref="D53:G53"/>
    <mergeCell ref="B90:G92"/>
    <mergeCell ref="B93:G93"/>
    <mergeCell ref="D94:G94"/>
    <mergeCell ref="D76:G76"/>
    <mergeCell ref="D77:G77"/>
    <mergeCell ref="D78:G78"/>
    <mergeCell ref="D79:G79"/>
    <mergeCell ref="D80:G80"/>
    <mergeCell ref="D81:G81"/>
    <mergeCell ref="D88:G88"/>
    <mergeCell ref="B89:M89"/>
    <mergeCell ref="H90:M90"/>
    <mergeCell ref="H91:J91"/>
    <mergeCell ref="K91:M91"/>
    <mergeCell ref="D82:G82"/>
    <mergeCell ref="D83:G83"/>
    <mergeCell ref="C84:G84"/>
    <mergeCell ref="D85:G85"/>
    <mergeCell ref="D72:G72"/>
    <mergeCell ref="C73:G73"/>
    <mergeCell ref="D74:G74"/>
    <mergeCell ref="C75:G75"/>
    <mergeCell ref="C95:G95"/>
    <mergeCell ref="D96:G96"/>
    <mergeCell ref="D97:G97"/>
    <mergeCell ref="D98:G98"/>
    <mergeCell ref="D99:G99"/>
    <mergeCell ref="D86:G86"/>
    <mergeCell ref="C87:G87"/>
    <mergeCell ref="C63:G63"/>
    <mergeCell ref="D64:G64"/>
    <mergeCell ref="D65:G65"/>
    <mergeCell ref="C66:G66"/>
    <mergeCell ref="D67:G67"/>
    <mergeCell ref="C68:G68"/>
    <mergeCell ref="D69:G69"/>
    <mergeCell ref="C70:G70"/>
    <mergeCell ref="D71:G71"/>
    <mergeCell ref="E54:G54"/>
    <mergeCell ref="E55:G55"/>
    <mergeCell ref="E56:G56"/>
    <mergeCell ref="E57:G57"/>
    <mergeCell ref="D58:G58"/>
    <mergeCell ref="E59:G59"/>
    <mergeCell ref="E60:G60"/>
    <mergeCell ref="E61:G61"/>
    <mergeCell ref="E62:G62"/>
    <mergeCell ref="A89:A92"/>
    <mergeCell ref="E106:G106"/>
    <mergeCell ref="F107:G107"/>
    <mergeCell ref="F108:G108"/>
    <mergeCell ref="E109:G109"/>
    <mergeCell ref="F110:G110"/>
    <mergeCell ref="F111:G111"/>
    <mergeCell ref="C104:G104"/>
    <mergeCell ref="D105:G105"/>
    <mergeCell ref="D100:G100"/>
    <mergeCell ref="D101:G101"/>
    <mergeCell ref="D102:G102"/>
    <mergeCell ref="B103:G103"/>
    <mergeCell ref="F112:G112"/>
    <mergeCell ref="D163:G163"/>
    <mergeCell ref="D164:G164"/>
    <mergeCell ref="C165:G165"/>
    <mergeCell ref="D166:G166"/>
    <mergeCell ref="E167:G167"/>
    <mergeCell ref="E168:G168"/>
    <mergeCell ref="D169:G169"/>
    <mergeCell ref="E170:G170"/>
    <mergeCell ref="E113:G113"/>
    <mergeCell ref="F114:G114"/>
    <mergeCell ref="F117:G117"/>
    <mergeCell ref="E120:G120"/>
    <mergeCell ref="D121:G121"/>
    <mergeCell ref="C122:G122"/>
    <mergeCell ref="D123:G123"/>
    <mergeCell ref="C124:G124"/>
    <mergeCell ref="D125:G125"/>
    <mergeCell ref="C126:G126"/>
    <mergeCell ref="D127:G127"/>
    <mergeCell ref="D128:G128"/>
    <mergeCell ref="C129:G129"/>
    <mergeCell ref="D130:G130"/>
    <mergeCell ref="D131:G131"/>
    <mergeCell ref="B197:G197"/>
    <mergeCell ref="C198:G198"/>
    <mergeCell ref="D199:G199"/>
    <mergeCell ref="E200:G200"/>
    <mergeCell ref="E201:G201"/>
    <mergeCell ref="E202:G202"/>
    <mergeCell ref="D203:G203"/>
    <mergeCell ref="E180:G180"/>
    <mergeCell ref="C181:G181"/>
    <mergeCell ref="D182:G182"/>
    <mergeCell ref="C183:G183"/>
    <mergeCell ref="D184:G184"/>
    <mergeCell ref="D185:G185"/>
    <mergeCell ref="C186:G186"/>
    <mergeCell ref="D187:G187"/>
    <mergeCell ref="E188:G188"/>
    <mergeCell ref="E204:G204"/>
    <mergeCell ref="E205:G205"/>
    <mergeCell ref="E206:G206"/>
    <mergeCell ref="C207:G207"/>
    <mergeCell ref="D208:G208"/>
    <mergeCell ref="D209:G209"/>
    <mergeCell ref="D210:G210"/>
    <mergeCell ref="C211:G211"/>
    <mergeCell ref="C215:G215"/>
    <mergeCell ref="D216:G216"/>
    <mergeCell ref="B217:G217"/>
    <mergeCell ref="C222:G222"/>
    <mergeCell ref="C223:G223"/>
    <mergeCell ref="C224:G224"/>
    <mergeCell ref="I266:L266"/>
    <mergeCell ref="I269:L269"/>
    <mergeCell ref="I226:L226"/>
    <mergeCell ref="I239:L239"/>
    <mergeCell ref="I243:L243"/>
    <mergeCell ref="I250:L250"/>
    <mergeCell ref="I253:L253"/>
    <mergeCell ref="I255:L255"/>
    <mergeCell ref="I259:L259"/>
    <mergeCell ref="D132:G132"/>
    <mergeCell ref="B133:G133"/>
    <mergeCell ref="C134:G134"/>
    <mergeCell ref="D135:G135"/>
    <mergeCell ref="C136:G136"/>
    <mergeCell ref="D137:G137"/>
    <mergeCell ref="C138:G138"/>
    <mergeCell ref="D139:G139"/>
    <mergeCell ref="A140:A143"/>
    <mergeCell ref="B140:M140"/>
    <mergeCell ref="H141:M141"/>
    <mergeCell ref="H142:J142"/>
    <mergeCell ref="K142:M142"/>
    <mergeCell ref="B141:G143"/>
    <mergeCell ref="B144:G144"/>
    <mergeCell ref="E145:G145"/>
    <mergeCell ref="E149:G149"/>
    <mergeCell ref="D153:G153"/>
    <mergeCell ref="C154:G154"/>
    <mergeCell ref="D155:G155"/>
    <mergeCell ref="D156:G156"/>
    <mergeCell ref="D157:G157"/>
    <mergeCell ref="C158:G158"/>
    <mergeCell ref="D159:G159"/>
    <mergeCell ref="B160:G160"/>
    <mergeCell ref="B161:G161"/>
    <mergeCell ref="C162:G162"/>
    <mergeCell ref="E191:G191"/>
    <mergeCell ref="A193:A196"/>
    <mergeCell ref="B193:M193"/>
    <mergeCell ref="B194:G196"/>
    <mergeCell ref="H194:M194"/>
    <mergeCell ref="H195:J195"/>
    <mergeCell ref="K195:M195"/>
    <mergeCell ref="E189:G189"/>
    <mergeCell ref="D190:G190"/>
    <mergeCell ref="E171:G171"/>
    <mergeCell ref="C172:G172"/>
    <mergeCell ref="D173:G173"/>
    <mergeCell ref="E174:G174"/>
    <mergeCell ref="E175:G175"/>
    <mergeCell ref="E176:G176"/>
    <mergeCell ref="D177:G177"/>
    <mergeCell ref="E178:G178"/>
    <mergeCell ref="E179:G179"/>
  </mergeCells>
  <pageMargins left="0.74803149606299213" right="0.23622047244094491" top="0.74803149606299213" bottom="0.51181102362204722" header="0" footer="0"/>
  <pageSetup paperSize="5" orientation="portrait"/>
  <headerFooter>
    <oddHeader>&amp;C- &amp;P -</oddHeader>
  </headerFooter>
  <rowBreaks count="5" manualBreakCount="5">
    <brk id="192" man="1"/>
    <brk id="245" man="1"/>
    <brk id="88" man="1"/>
    <brk id="42" man="1"/>
    <brk id="13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LAMPIRAN I DONE</vt:lpstr>
      <vt:lpstr>LAMPIRAN II DONE</vt:lpstr>
      <vt:lpstr>LAMPIRAN III DONE</vt:lpstr>
      <vt:lpstr>List</vt:lpstr>
      <vt:lpstr>LAMPIRAN IV DONE</vt:lpstr>
      <vt:lpstr>LAMPIRAN V DONE</vt:lpstr>
      <vt:lpstr>Reviewer Eksternal (LK&amp;GB)1</vt:lpstr>
      <vt:lpstr>ID &amp; Link Publikasi</vt:lpstr>
      <vt:lpstr>Rekap Similarity</vt:lpstr>
      <vt:lpstr>Rekapitulasi (S3)</vt:lpstr>
      <vt:lpstr>Rekapitulasi (S2)</vt:lpstr>
      <vt:lpstr>DUPAK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MP</dc:creator>
  <cp:keywords/>
  <dc:description/>
  <cp:lastModifiedBy>E'EN AHMADAN YOGA WILANDA</cp:lastModifiedBy>
  <cp:revision/>
  <dcterms:created xsi:type="dcterms:W3CDTF">2010-10-04T07:38:28Z</dcterms:created>
  <dcterms:modified xsi:type="dcterms:W3CDTF">2026-04-23T08:50:31Z</dcterms:modified>
  <cp:category/>
  <cp:contentStatus/>
</cp:coreProperties>
</file>